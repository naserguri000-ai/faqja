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E04B353C-F1E1-4A62-9BDE-ED42A0DA6FCE}" xr6:coauthVersionLast="47" xr6:coauthVersionMax="47" xr10:uidLastSave="{00000000-0000-0000-0000-000000000000}"/>
  <bookViews>
    <workbookView xWindow="-120" yWindow="-120" windowWidth="20730" windowHeight="11160" tabRatio="621" activeTab="6" xr2:uid="{00000000-000D-0000-FFFF-FFFF00000000}"/>
  </bookViews>
  <sheets>
    <sheet name="Shpjegim" sheetId="17" r:id="rId1"/>
    <sheet name="6-1" sheetId="24" r:id="rId2"/>
    <sheet name="6-2" sheetId="34" r:id="rId3"/>
    <sheet name="6-3" sheetId="36" r:id="rId4"/>
    <sheet name="6-4" sheetId="37" r:id="rId5"/>
    <sheet name="6-5" sheetId="38" r:id="rId6"/>
    <sheet name="6-6" sheetId="39" r:id="rId7"/>
    <sheet name="Kalendari" sheetId="43" r:id="rId8"/>
    <sheet name="Orari i ziles" sheetId="41" r:id="rId9"/>
    <sheet name="Koveri" sheetId="9" r:id="rId10"/>
  </sheets>
  <definedNames>
    <definedName name="_xlnm.Print_Area" localSheetId="1">'6-1'!$A$1:$AZ$72</definedName>
    <definedName name="_xlnm.Print_Area" localSheetId="2">'6-2'!$A$1:$AZ$72</definedName>
    <definedName name="_xlnm.Print_Area" localSheetId="3">'6-3'!$A$1:$AZ$72</definedName>
    <definedName name="_xlnm.Print_Area" localSheetId="4">'6-4'!$A$1:$AZ$72</definedName>
    <definedName name="_xlnm.Print_Area" localSheetId="5">'6-5'!$A$1:$AZ$72</definedName>
    <definedName name="_xlnm.Print_Area" localSheetId="6">'6-6'!$A$1:$AZ$72</definedName>
    <definedName name="_xlnm.Print_Area" localSheetId="7">Kalendari!$A$1:$X$60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j1yPaD2RGczE8nwCoB8jKZV3Phaw=="/>
    </ext>
  </extLst>
</workbook>
</file>

<file path=xl/calcChain.xml><?xml version="1.0" encoding="utf-8"?>
<calcChain xmlns="http://schemas.openxmlformats.org/spreadsheetml/2006/main">
  <c r="W57" i="43" l="1"/>
  <c r="W55" i="43"/>
  <c r="W53" i="43"/>
  <c r="W52" i="43"/>
  <c r="W50" i="43"/>
  <c r="W48" i="43"/>
  <c r="R45" i="43"/>
  <c r="R44" i="43"/>
  <c r="R43" i="43"/>
  <c r="R42" i="43"/>
  <c r="O42" i="43"/>
  <c r="N42" i="43"/>
  <c r="M42" i="43"/>
  <c r="L42" i="43"/>
  <c r="W41" i="43"/>
  <c r="R41" i="43"/>
  <c r="W39" i="43"/>
  <c r="R39" i="43"/>
  <c r="R38" i="43"/>
  <c r="W37" i="43"/>
  <c r="P38" i="43" s="1"/>
  <c r="R37" i="43"/>
  <c r="O37" i="43"/>
  <c r="N37" i="43"/>
  <c r="M37" i="43"/>
  <c r="L37" i="43"/>
  <c r="K37" i="43"/>
  <c r="R36" i="43"/>
  <c r="O49" i="43" s="1"/>
  <c r="H36" i="43"/>
  <c r="G36" i="43"/>
  <c r="F36" i="43"/>
  <c r="E36" i="43"/>
  <c r="D36" i="43"/>
  <c r="C36" i="43"/>
  <c r="B36" i="43"/>
  <c r="X28" i="43"/>
  <c r="W28" i="43"/>
  <c r="V28" i="43"/>
  <c r="U28" i="43"/>
  <c r="T28" i="43"/>
  <c r="S28" i="43"/>
  <c r="R28" i="43"/>
  <c r="P28" i="43"/>
  <c r="O28" i="43"/>
  <c r="N28" i="43"/>
  <c r="M28" i="43"/>
  <c r="L28" i="43"/>
  <c r="K28" i="43"/>
  <c r="J28" i="43"/>
  <c r="H28" i="43"/>
  <c r="G28" i="43"/>
  <c r="F28" i="43"/>
  <c r="E28" i="43"/>
  <c r="D28" i="43"/>
  <c r="C28" i="43"/>
  <c r="B28" i="43"/>
  <c r="X19" i="43"/>
  <c r="W19" i="43"/>
  <c r="V19" i="43"/>
  <c r="U19" i="43"/>
  <c r="T19" i="43"/>
  <c r="S19" i="43"/>
  <c r="R19" i="43"/>
  <c r="P19" i="43"/>
  <c r="O19" i="43"/>
  <c r="N19" i="43"/>
  <c r="M19" i="43"/>
  <c r="L19" i="43"/>
  <c r="K19" i="43"/>
  <c r="J19" i="43"/>
  <c r="H19" i="43"/>
  <c r="G19" i="43"/>
  <c r="F19" i="43"/>
  <c r="E19" i="43"/>
  <c r="D19" i="43"/>
  <c r="C19" i="43"/>
  <c r="B19" i="43"/>
  <c r="X10" i="43"/>
  <c r="W10" i="43"/>
  <c r="V10" i="43"/>
  <c r="U10" i="43"/>
  <c r="T10" i="43"/>
  <c r="S10" i="43"/>
  <c r="R10" i="43"/>
  <c r="P10" i="43"/>
  <c r="O10" i="43"/>
  <c r="N10" i="43"/>
  <c r="M10" i="43"/>
  <c r="L10" i="43"/>
  <c r="K10" i="43"/>
  <c r="J10" i="43"/>
  <c r="H10" i="43"/>
  <c r="G10" i="43"/>
  <c r="F10" i="43"/>
  <c r="E10" i="43"/>
  <c r="D10" i="43"/>
  <c r="C10" i="43"/>
  <c r="B10" i="43"/>
  <c r="J9" i="43"/>
  <c r="B9" i="43"/>
  <c r="B11" i="43" s="1"/>
  <c r="C11" i="43" s="1"/>
  <c r="D11" i="43" s="1"/>
  <c r="E11" i="43" s="1"/>
  <c r="F11" i="43" s="1"/>
  <c r="G11" i="43" s="1"/>
  <c r="H11" i="43" s="1"/>
  <c r="B12" i="43" s="1"/>
  <c r="C12" i="43" s="1"/>
  <c r="D12" i="43" s="1"/>
  <c r="E12" i="43" s="1"/>
  <c r="F12" i="43" s="1"/>
  <c r="G12" i="43" s="1"/>
  <c r="H12" i="43" s="1"/>
  <c r="B13" i="43" s="1"/>
  <c r="C13" i="43" s="1"/>
  <c r="D13" i="43" s="1"/>
  <c r="E13" i="43" s="1"/>
  <c r="F13" i="43" s="1"/>
  <c r="G13" i="43" s="1"/>
  <c r="H13" i="43" s="1"/>
  <c r="B14" i="43" s="1"/>
  <c r="C14" i="43" s="1"/>
  <c r="D14" i="43" s="1"/>
  <c r="E14" i="43" s="1"/>
  <c r="F14" i="43" s="1"/>
  <c r="G14" i="43" s="1"/>
  <c r="H14" i="43" s="1"/>
  <c r="B15" i="43" s="1"/>
  <c r="C15" i="43" s="1"/>
  <c r="D15" i="43" s="1"/>
  <c r="E15" i="43" s="1"/>
  <c r="F15" i="43" s="1"/>
  <c r="G15" i="43" s="1"/>
  <c r="H15" i="43" s="1"/>
  <c r="B16" i="43" s="1"/>
  <c r="C16" i="43" s="1"/>
  <c r="D16" i="43" s="1"/>
  <c r="E16" i="43" s="1"/>
  <c r="F16" i="43" s="1"/>
  <c r="G16" i="43" s="1"/>
  <c r="H16" i="43" s="1"/>
  <c r="P1" i="43"/>
  <c r="O45" i="43" l="1"/>
  <c r="K49" i="43"/>
  <c r="L38" i="43"/>
  <c r="P49" i="43"/>
  <c r="L45" i="43"/>
  <c r="O48" i="43"/>
  <c r="R9" i="43"/>
  <c r="J11" i="43"/>
  <c r="K11" i="43" s="1"/>
  <c r="L11" i="43" s="1"/>
  <c r="M11" i="43" s="1"/>
  <c r="N11" i="43" s="1"/>
  <c r="O11" i="43" s="1"/>
  <c r="P11" i="43" s="1"/>
  <c r="J12" i="43" s="1"/>
  <c r="K12" i="43" s="1"/>
  <c r="L12" i="43" s="1"/>
  <c r="M12" i="43" s="1"/>
  <c r="N12" i="43" s="1"/>
  <c r="O12" i="43" s="1"/>
  <c r="P12" i="43" s="1"/>
  <c r="J13" i="43" s="1"/>
  <c r="K13" i="43" s="1"/>
  <c r="L13" i="43" s="1"/>
  <c r="M13" i="43" s="1"/>
  <c r="N13" i="43" s="1"/>
  <c r="O13" i="43" s="1"/>
  <c r="P13" i="43" s="1"/>
  <c r="J14" i="43" s="1"/>
  <c r="K14" i="43" s="1"/>
  <c r="L14" i="43" s="1"/>
  <c r="M14" i="43" s="1"/>
  <c r="N14" i="43" s="1"/>
  <c r="O14" i="43" s="1"/>
  <c r="P14" i="43" s="1"/>
  <c r="J15" i="43" s="1"/>
  <c r="K15" i="43" s="1"/>
  <c r="L15" i="43" s="1"/>
  <c r="M15" i="43" s="1"/>
  <c r="N15" i="43" s="1"/>
  <c r="O15" i="43" s="1"/>
  <c r="P15" i="43" s="1"/>
  <c r="J16" i="43" s="1"/>
  <c r="K16" i="43" s="1"/>
  <c r="L16" i="43" s="1"/>
  <c r="M16" i="43" s="1"/>
  <c r="N16" i="43" s="1"/>
  <c r="O16" i="43" s="1"/>
  <c r="P16" i="43" s="1"/>
  <c r="P40" i="43"/>
  <c r="K40" i="43"/>
  <c r="W38" i="43"/>
  <c r="L40" i="43"/>
  <c r="M45" i="43"/>
  <c r="P48" i="43"/>
  <c r="W49" i="43"/>
  <c r="K38" i="43"/>
  <c r="M40" i="43"/>
  <c r="P42" i="43"/>
  <c r="N45" i="43"/>
  <c r="N40" i="43"/>
  <c r="M38" i="43"/>
  <c r="O40" i="43"/>
  <c r="P45" i="43"/>
  <c r="K48" i="43"/>
  <c r="L49" i="43"/>
  <c r="N38" i="43"/>
  <c r="K42" i="43"/>
  <c r="L48" i="43"/>
  <c r="M49" i="43"/>
  <c r="O38" i="43"/>
  <c r="M48" i="43"/>
  <c r="N49" i="43"/>
  <c r="K45" i="43"/>
  <c r="N48" i="43"/>
  <c r="W51" i="43" l="1"/>
  <c r="W40" i="43"/>
  <c r="R11" i="43"/>
  <c r="S11" i="43" s="1"/>
  <c r="T11" i="43" s="1"/>
  <c r="U11" i="43" s="1"/>
  <c r="V11" i="43" s="1"/>
  <c r="W11" i="43" s="1"/>
  <c r="X11" i="43" s="1"/>
  <c r="R12" i="43" s="1"/>
  <c r="S12" i="43" s="1"/>
  <c r="T12" i="43" s="1"/>
  <c r="U12" i="43" s="1"/>
  <c r="V12" i="43" s="1"/>
  <c r="W12" i="43" s="1"/>
  <c r="X12" i="43" s="1"/>
  <c r="R13" i="43" s="1"/>
  <c r="S13" i="43" s="1"/>
  <c r="T13" i="43" s="1"/>
  <c r="U13" i="43" s="1"/>
  <c r="V13" i="43" s="1"/>
  <c r="W13" i="43" s="1"/>
  <c r="X13" i="43" s="1"/>
  <c r="R14" i="43" s="1"/>
  <c r="S14" i="43" s="1"/>
  <c r="T14" i="43" s="1"/>
  <c r="U14" i="43" s="1"/>
  <c r="V14" i="43" s="1"/>
  <c r="W14" i="43" s="1"/>
  <c r="X14" i="43" s="1"/>
  <c r="R15" i="43" s="1"/>
  <c r="S15" i="43" s="1"/>
  <c r="T15" i="43" s="1"/>
  <c r="U15" i="43" s="1"/>
  <c r="V15" i="43" s="1"/>
  <c r="W15" i="43" s="1"/>
  <c r="X15" i="43" s="1"/>
  <c r="R16" i="43" s="1"/>
  <c r="S16" i="43" s="1"/>
  <c r="T16" i="43" s="1"/>
  <c r="U16" i="43" s="1"/>
  <c r="V16" i="43" s="1"/>
  <c r="W16" i="43" s="1"/>
  <c r="X16" i="43" s="1"/>
  <c r="B18" i="43"/>
  <c r="P39" i="43"/>
  <c r="O39" i="43"/>
  <c r="M39" i="43"/>
  <c r="N39" i="43"/>
  <c r="L39" i="43"/>
  <c r="K39" i="43"/>
  <c r="J18" i="43" l="1"/>
  <c r="B20" i="43"/>
  <c r="C20" i="43" s="1"/>
  <c r="D20" i="43" s="1"/>
  <c r="E20" i="43" s="1"/>
  <c r="F20" i="43" s="1"/>
  <c r="G20" i="43" s="1"/>
  <c r="H20" i="43" s="1"/>
  <c r="B21" i="43" s="1"/>
  <c r="C21" i="43" s="1"/>
  <c r="D21" i="43" s="1"/>
  <c r="E21" i="43" s="1"/>
  <c r="F21" i="43" s="1"/>
  <c r="G21" i="43" s="1"/>
  <c r="H21" i="43" s="1"/>
  <c r="B22" i="43" s="1"/>
  <c r="C22" i="43" s="1"/>
  <c r="D22" i="43" s="1"/>
  <c r="E22" i="43" s="1"/>
  <c r="F22" i="43" s="1"/>
  <c r="G22" i="43" s="1"/>
  <c r="H22" i="43" s="1"/>
  <c r="B23" i="43" s="1"/>
  <c r="C23" i="43" s="1"/>
  <c r="D23" i="43" s="1"/>
  <c r="E23" i="43" s="1"/>
  <c r="F23" i="43" s="1"/>
  <c r="G23" i="43" s="1"/>
  <c r="H23" i="43" s="1"/>
  <c r="B24" i="43" s="1"/>
  <c r="C24" i="43" s="1"/>
  <c r="D24" i="43" s="1"/>
  <c r="E24" i="43" s="1"/>
  <c r="F24" i="43" s="1"/>
  <c r="G24" i="43" s="1"/>
  <c r="H24" i="43" s="1"/>
  <c r="B25" i="43" s="1"/>
  <c r="C25" i="43" s="1"/>
  <c r="D25" i="43" s="1"/>
  <c r="E25" i="43" s="1"/>
  <c r="F25" i="43" s="1"/>
  <c r="G25" i="43" s="1"/>
  <c r="H25" i="43" s="1"/>
  <c r="L41" i="43"/>
  <c r="L43" i="43" s="1"/>
  <c r="P41" i="43"/>
  <c r="P43" i="43" s="1"/>
  <c r="K41" i="43"/>
  <c r="K43" i="43" s="1"/>
  <c r="O41" i="43"/>
  <c r="O43" i="43" s="1"/>
  <c r="M41" i="43"/>
  <c r="M43" i="43" s="1"/>
  <c r="N41" i="43"/>
  <c r="N43" i="43" s="1"/>
  <c r="J56" i="43" l="1"/>
  <c r="J20" i="43"/>
  <c r="K20" i="43" s="1"/>
  <c r="L20" i="43" s="1"/>
  <c r="M20" i="43" s="1"/>
  <c r="N20" i="43" s="1"/>
  <c r="O20" i="43" s="1"/>
  <c r="P20" i="43" s="1"/>
  <c r="J21" i="43" s="1"/>
  <c r="K21" i="43" s="1"/>
  <c r="L21" i="43" s="1"/>
  <c r="M21" i="43" s="1"/>
  <c r="N21" i="43" s="1"/>
  <c r="O21" i="43" s="1"/>
  <c r="P21" i="43" s="1"/>
  <c r="J22" i="43" s="1"/>
  <c r="K22" i="43" s="1"/>
  <c r="L22" i="43" s="1"/>
  <c r="M22" i="43" s="1"/>
  <c r="N22" i="43" s="1"/>
  <c r="O22" i="43" s="1"/>
  <c r="P22" i="43" s="1"/>
  <c r="J23" i="43" s="1"/>
  <c r="K23" i="43" s="1"/>
  <c r="L23" i="43" s="1"/>
  <c r="M23" i="43" s="1"/>
  <c r="N23" i="43" s="1"/>
  <c r="O23" i="43" s="1"/>
  <c r="P23" i="43" s="1"/>
  <c r="J24" i="43" s="1"/>
  <c r="K24" i="43" s="1"/>
  <c r="L24" i="43" s="1"/>
  <c r="M24" i="43" s="1"/>
  <c r="N24" i="43" s="1"/>
  <c r="O24" i="43" s="1"/>
  <c r="P24" i="43" s="1"/>
  <c r="J25" i="43" s="1"/>
  <c r="K25" i="43" s="1"/>
  <c r="L25" i="43" s="1"/>
  <c r="M25" i="43" s="1"/>
  <c r="N25" i="43" s="1"/>
  <c r="O25" i="43" s="1"/>
  <c r="P25" i="43" s="1"/>
  <c r="W42" i="43"/>
  <c r="R18" i="43"/>
  <c r="K46" i="43" l="1"/>
  <c r="O46" i="43"/>
  <c r="P46" i="43"/>
  <c r="N46" i="43"/>
  <c r="M46" i="43"/>
  <c r="L46" i="43"/>
  <c r="B27" i="43"/>
  <c r="R20" i="43"/>
  <c r="S20" i="43" s="1"/>
  <c r="T20" i="43" s="1"/>
  <c r="U20" i="43" s="1"/>
  <c r="V20" i="43" s="1"/>
  <c r="W20" i="43" s="1"/>
  <c r="X20" i="43" s="1"/>
  <c r="R21" i="43" s="1"/>
  <c r="S21" i="43" s="1"/>
  <c r="T21" i="43" s="1"/>
  <c r="U21" i="43" s="1"/>
  <c r="V21" i="43" s="1"/>
  <c r="W21" i="43" s="1"/>
  <c r="X21" i="43" s="1"/>
  <c r="R22" i="43" s="1"/>
  <c r="S22" i="43" s="1"/>
  <c r="T22" i="43" s="1"/>
  <c r="U22" i="43" s="1"/>
  <c r="V22" i="43" s="1"/>
  <c r="W22" i="43" s="1"/>
  <c r="X22" i="43" s="1"/>
  <c r="R23" i="43" s="1"/>
  <c r="S23" i="43" s="1"/>
  <c r="T23" i="43" s="1"/>
  <c r="U23" i="43" s="1"/>
  <c r="V23" i="43" s="1"/>
  <c r="W23" i="43" s="1"/>
  <c r="X23" i="43" s="1"/>
  <c r="R24" i="43" s="1"/>
  <c r="S24" i="43" s="1"/>
  <c r="T24" i="43" s="1"/>
  <c r="U24" i="43" s="1"/>
  <c r="V24" i="43" s="1"/>
  <c r="W24" i="43" s="1"/>
  <c r="X24" i="43" s="1"/>
  <c r="R25" i="43" s="1"/>
  <c r="S25" i="43" s="1"/>
  <c r="T25" i="43" s="1"/>
  <c r="U25" i="43" s="1"/>
  <c r="V25" i="43" s="1"/>
  <c r="W25" i="43" s="1"/>
  <c r="X25" i="43" s="1"/>
  <c r="W43" i="43"/>
  <c r="W54" i="43"/>
  <c r="J27" i="43" l="1"/>
  <c r="W44" i="43"/>
  <c r="B29" i="43"/>
  <c r="C29" i="43" s="1"/>
  <c r="D29" i="43" s="1"/>
  <c r="E29" i="43" s="1"/>
  <c r="F29" i="43" s="1"/>
  <c r="G29" i="43" s="1"/>
  <c r="H29" i="43" s="1"/>
  <c r="B30" i="43" s="1"/>
  <c r="C30" i="43" s="1"/>
  <c r="D30" i="43" s="1"/>
  <c r="E30" i="43" s="1"/>
  <c r="F30" i="43" s="1"/>
  <c r="G30" i="43" s="1"/>
  <c r="H30" i="43" s="1"/>
  <c r="B31" i="43" s="1"/>
  <c r="C31" i="43" s="1"/>
  <c r="D31" i="43" s="1"/>
  <c r="E31" i="43" s="1"/>
  <c r="F31" i="43" s="1"/>
  <c r="G31" i="43" s="1"/>
  <c r="H31" i="43" s="1"/>
  <c r="B32" i="43" s="1"/>
  <c r="C32" i="43" s="1"/>
  <c r="D32" i="43" s="1"/>
  <c r="E32" i="43" s="1"/>
  <c r="F32" i="43" s="1"/>
  <c r="G32" i="43" s="1"/>
  <c r="H32" i="43" s="1"/>
  <c r="B33" i="43" s="1"/>
  <c r="C33" i="43" s="1"/>
  <c r="D33" i="43" s="1"/>
  <c r="E33" i="43" s="1"/>
  <c r="F33" i="43" s="1"/>
  <c r="G33" i="43" s="1"/>
  <c r="H33" i="43" s="1"/>
  <c r="B34" i="43" s="1"/>
  <c r="C34" i="43" s="1"/>
  <c r="D34" i="43" s="1"/>
  <c r="E34" i="43" s="1"/>
  <c r="F34" i="43" s="1"/>
  <c r="G34" i="43" s="1"/>
  <c r="H34" i="43" s="1"/>
  <c r="L47" i="43"/>
  <c r="P47" i="43"/>
  <c r="K47" i="43"/>
  <c r="O47" i="43"/>
  <c r="M47" i="43"/>
  <c r="N47" i="43"/>
  <c r="W45" i="43" l="1"/>
  <c r="W56" i="43"/>
  <c r="J29" i="43"/>
  <c r="K29" i="43" s="1"/>
  <c r="L29" i="43" s="1"/>
  <c r="M29" i="43" s="1"/>
  <c r="N29" i="43" s="1"/>
  <c r="O29" i="43" s="1"/>
  <c r="P29" i="43" s="1"/>
  <c r="J30" i="43" s="1"/>
  <c r="K30" i="43" s="1"/>
  <c r="L30" i="43" s="1"/>
  <c r="M30" i="43" s="1"/>
  <c r="N30" i="43" s="1"/>
  <c r="O30" i="43" s="1"/>
  <c r="P30" i="43" s="1"/>
  <c r="J31" i="43" s="1"/>
  <c r="K31" i="43" s="1"/>
  <c r="L31" i="43" s="1"/>
  <c r="M31" i="43" s="1"/>
  <c r="N31" i="43" s="1"/>
  <c r="O31" i="43" s="1"/>
  <c r="P31" i="43" s="1"/>
  <c r="J32" i="43" s="1"/>
  <c r="K32" i="43" s="1"/>
  <c r="L32" i="43" s="1"/>
  <c r="M32" i="43" s="1"/>
  <c r="N32" i="43" s="1"/>
  <c r="O32" i="43" s="1"/>
  <c r="P32" i="43" s="1"/>
  <c r="J33" i="43" s="1"/>
  <c r="K33" i="43" s="1"/>
  <c r="L33" i="43" s="1"/>
  <c r="M33" i="43" s="1"/>
  <c r="N33" i="43" s="1"/>
  <c r="O33" i="43" s="1"/>
  <c r="P33" i="43" s="1"/>
  <c r="J34" i="43" s="1"/>
  <c r="K34" i="43" s="1"/>
  <c r="L34" i="43" s="1"/>
  <c r="M34" i="43" s="1"/>
  <c r="N34" i="43" s="1"/>
  <c r="O34" i="43" s="1"/>
  <c r="P34" i="43" s="1"/>
  <c r="R27" i="43"/>
  <c r="P50" i="43" l="1"/>
  <c r="L50" i="43"/>
  <c r="O50" i="43"/>
  <c r="N50" i="43"/>
  <c r="M50" i="43"/>
  <c r="K50" i="43"/>
  <c r="W46" i="43"/>
  <c r="B35" i="43"/>
  <c r="B37" i="43" s="1"/>
  <c r="C37" i="43" s="1"/>
  <c r="D37" i="43" s="1"/>
  <c r="E37" i="43" s="1"/>
  <c r="F37" i="43" s="1"/>
  <c r="G37" i="43" s="1"/>
  <c r="H37" i="43" s="1"/>
  <c r="B38" i="43" s="1"/>
  <c r="C38" i="43" s="1"/>
  <c r="D38" i="43" s="1"/>
  <c r="E38" i="43" s="1"/>
  <c r="F38" i="43" s="1"/>
  <c r="G38" i="43" s="1"/>
  <c r="H38" i="43" s="1"/>
  <c r="B39" i="43" s="1"/>
  <c r="C39" i="43" s="1"/>
  <c r="D39" i="43" s="1"/>
  <c r="E39" i="43" s="1"/>
  <c r="F39" i="43" s="1"/>
  <c r="G39" i="43" s="1"/>
  <c r="H39" i="43" s="1"/>
  <c r="B40" i="43" s="1"/>
  <c r="C40" i="43" s="1"/>
  <c r="D40" i="43" s="1"/>
  <c r="E40" i="43" s="1"/>
  <c r="F40" i="43" s="1"/>
  <c r="G40" i="43" s="1"/>
  <c r="H40" i="43" s="1"/>
  <c r="B41" i="43" s="1"/>
  <c r="C41" i="43" s="1"/>
  <c r="D41" i="43" s="1"/>
  <c r="E41" i="43" s="1"/>
  <c r="F41" i="43" s="1"/>
  <c r="G41" i="43" s="1"/>
  <c r="H41" i="43" s="1"/>
  <c r="B42" i="43" s="1"/>
  <c r="C42" i="43" s="1"/>
  <c r="D42" i="43" s="1"/>
  <c r="E42" i="43" s="1"/>
  <c r="F42" i="43" s="1"/>
  <c r="G42" i="43" s="1"/>
  <c r="H42" i="43" s="1"/>
  <c r="R29" i="43"/>
  <c r="S29" i="43" s="1"/>
  <c r="T29" i="43" s="1"/>
  <c r="U29" i="43" s="1"/>
  <c r="V29" i="43" s="1"/>
  <c r="W29" i="43" s="1"/>
  <c r="X29" i="43" s="1"/>
  <c r="R30" i="43" s="1"/>
  <c r="S30" i="43" s="1"/>
  <c r="T30" i="43" s="1"/>
  <c r="U30" i="43" s="1"/>
  <c r="V30" i="43" s="1"/>
  <c r="W30" i="43" s="1"/>
  <c r="X30" i="43" s="1"/>
  <c r="R31" i="43" s="1"/>
  <c r="S31" i="43" s="1"/>
  <c r="T31" i="43" s="1"/>
  <c r="U31" i="43" s="1"/>
  <c r="V31" i="43" s="1"/>
  <c r="W31" i="43" s="1"/>
  <c r="X31" i="43" s="1"/>
  <c r="R32" i="43" s="1"/>
  <c r="S32" i="43" s="1"/>
  <c r="T32" i="43" s="1"/>
  <c r="U32" i="43" s="1"/>
  <c r="V32" i="43" s="1"/>
  <c r="W32" i="43" s="1"/>
  <c r="X32" i="43" s="1"/>
  <c r="R33" i="43" s="1"/>
  <c r="S33" i="43" s="1"/>
  <c r="T33" i="43" s="1"/>
  <c r="U33" i="43" s="1"/>
  <c r="V33" i="43" s="1"/>
  <c r="W33" i="43" s="1"/>
  <c r="X33" i="43" s="1"/>
  <c r="R34" i="43" s="1"/>
  <c r="S34" i="43" s="1"/>
  <c r="T34" i="43" s="1"/>
  <c r="U34" i="43" s="1"/>
  <c r="V34" i="43" s="1"/>
  <c r="W34" i="43" s="1"/>
  <c r="X34" i="43" s="1"/>
  <c r="P51" i="43" l="1"/>
  <c r="M51" i="43"/>
  <c r="M52" i="43" s="1"/>
  <c r="O51" i="43"/>
  <c r="O52" i="43" s="1"/>
  <c r="N51" i="43"/>
  <c r="N52" i="43" s="1"/>
  <c r="L51" i="43"/>
  <c r="L52" i="43" s="1"/>
  <c r="K51" i="43"/>
  <c r="K52" i="43" s="1"/>
  <c r="P52" i="43" l="1"/>
  <c r="M56" i="43" l="1"/>
  <c r="P56" i="43" s="1"/>
  <c r="L59" i="43"/>
  <c r="AW72" i="39" l="1"/>
  <c r="BI72" i="39" s="1"/>
  <c r="AT72" i="39"/>
  <c r="BH72" i="39" s="1"/>
  <c r="AN72" i="39"/>
  <c r="BG72" i="39" s="1"/>
  <c r="AH72" i="39"/>
  <c r="BF72" i="39" s="1"/>
  <c r="Z72" i="39"/>
  <c r="BD72" i="39" s="1"/>
  <c r="W72" i="39"/>
  <c r="BC72" i="39" s="1"/>
  <c r="Q72" i="39"/>
  <c r="BB72" i="39" s="1"/>
  <c r="K72" i="39"/>
  <c r="BA72" i="39" s="1"/>
  <c r="BI71" i="39"/>
  <c r="AW71" i="39"/>
  <c r="AT71" i="39"/>
  <c r="BH71" i="39" s="1"/>
  <c r="AN71" i="39"/>
  <c r="BG71" i="39" s="1"/>
  <c r="AH71" i="39"/>
  <c r="BF71" i="39" s="1"/>
  <c r="Z71" i="39"/>
  <c r="BD71" i="39" s="1"/>
  <c r="W71" i="39"/>
  <c r="BC71" i="39" s="1"/>
  <c r="Q71" i="39"/>
  <c r="BB71" i="39" s="1"/>
  <c r="K71" i="39"/>
  <c r="BA71" i="39" s="1"/>
  <c r="AW70" i="39"/>
  <c r="BI70" i="39" s="1"/>
  <c r="AT70" i="39"/>
  <c r="BH70" i="39" s="1"/>
  <c r="AN70" i="39"/>
  <c r="BG70" i="39" s="1"/>
  <c r="AH70" i="39"/>
  <c r="BF70" i="39" s="1"/>
  <c r="Z70" i="39"/>
  <c r="BD70" i="39" s="1"/>
  <c r="W70" i="39"/>
  <c r="BC70" i="39" s="1"/>
  <c r="Q70" i="39"/>
  <c r="BB70" i="39" s="1"/>
  <c r="K70" i="39"/>
  <c r="BA70" i="39" s="1"/>
  <c r="BD69" i="39"/>
  <c r="AW69" i="39"/>
  <c r="BI69" i="39" s="1"/>
  <c r="AT69" i="39"/>
  <c r="BH69" i="39" s="1"/>
  <c r="AN69" i="39"/>
  <c r="BG69" i="39" s="1"/>
  <c r="AH69" i="39"/>
  <c r="BF69" i="39" s="1"/>
  <c r="Z69" i="39"/>
  <c r="W69" i="39"/>
  <c r="BC69" i="39" s="1"/>
  <c r="Q69" i="39"/>
  <c r="BB69" i="39" s="1"/>
  <c r="K69" i="39"/>
  <c r="BA69" i="39" s="1"/>
  <c r="AW68" i="39"/>
  <c r="BI68" i="39" s="1"/>
  <c r="AT68" i="39"/>
  <c r="BH68" i="39" s="1"/>
  <c r="AN68" i="39"/>
  <c r="BG68" i="39" s="1"/>
  <c r="AH68" i="39"/>
  <c r="BF68" i="39" s="1"/>
  <c r="Z68" i="39"/>
  <c r="BD68" i="39" s="1"/>
  <c r="W68" i="39"/>
  <c r="BC68" i="39" s="1"/>
  <c r="Q68" i="39"/>
  <c r="BB68" i="39" s="1"/>
  <c r="K68" i="39"/>
  <c r="BA68" i="39" s="1"/>
  <c r="AW67" i="39"/>
  <c r="BI67" i="39" s="1"/>
  <c r="AT67" i="39"/>
  <c r="BH67" i="39" s="1"/>
  <c r="AN67" i="39"/>
  <c r="BG67" i="39" s="1"/>
  <c r="AH67" i="39"/>
  <c r="BF67" i="39" s="1"/>
  <c r="Z67" i="39"/>
  <c r="BD67" i="39" s="1"/>
  <c r="W67" i="39"/>
  <c r="BC67" i="39" s="1"/>
  <c r="Q67" i="39"/>
  <c r="BB67" i="39" s="1"/>
  <c r="K67" i="39"/>
  <c r="BA67" i="39" s="1"/>
  <c r="AW66" i="39"/>
  <c r="BI66" i="39" s="1"/>
  <c r="AT66" i="39"/>
  <c r="BH66" i="39" s="1"/>
  <c r="AN66" i="39"/>
  <c r="BG66" i="39" s="1"/>
  <c r="AH66" i="39"/>
  <c r="BF66" i="39" s="1"/>
  <c r="Z66" i="39"/>
  <c r="BD66" i="39" s="1"/>
  <c r="W66" i="39"/>
  <c r="BC66" i="39" s="1"/>
  <c r="Q66" i="39"/>
  <c r="BB66" i="39" s="1"/>
  <c r="K66" i="39"/>
  <c r="BA66" i="39" s="1"/>
  <c r="AW65" i="39"/>
  <c r="BI65" i="39" s="1"/>
  <c r="AT65" i="39"/>
  <c r="BH65" i="39" s="1"/>
  <c r="AN65" i="39"/>
  <c r="BG65" i="39" s="1"/>
  <c r="AH65" i="39"/>
  <c r="BF65" i="39" s="1"/>
  <c r="Z65" i="39"/>
  <c r="BD65" i="39" s="1"/>
  <c r="W65" i="39"/>
  <c r="BC65" i="39" s="1"/>
  <c r="Q65" i="39"/>
  <c r="BB65" i="39" s="1"/>
  <c r="K65" i="39"/>
  <c r="BA65" i="39" s="1"/>
  <c r="BH64" i="39"/>
  <c r="AW64" i="39"/>
  <c r="BI64" i="39" s="1"/>
  <c r="AT64" i="39"/>
  <c r="AN64" i="39"/>
  <c r="BG64" i="39" s="1"/>
  <c r="AH64" i="39"/>
  <c r="BF64" i="39" s="1"/>
  <c r="Z64" i="39"/>
  <c r="BD64" i="39" s="1"/>
  <c r="W64" i="39"/>
  <c r="BC64" i="39" s="1"/>
  <c r="Q64" i="39"/>
  <c r="BB64" i="39" s="1"/>
  <c r="K64" i="39"/>
  <c r="BA64" i="39" s="1"/>
  <c r="AW63" i="39"/>
  <c r="BI63" i="39" s="1"/>
  <c r="AT63" i="39"/>
  <c r="BH63" i="39" s="1"/>
  <c r="AN63" i="39"/>
  <c r="BG63" i="39" s="1"/>
  <c r="AH63" i="39"/>
  <c r="BF63" i="39" s="1"/>
  <c r="Z63" i="39"/>
  <c r="BD63" i="39" s="1"/>
  <c r="W63" i="39"/>
  <c r="BC63" i="39" s="1"/>
  <c r="Q63" i="39"/>
  <c r="BB63" i="39" s="1"/>
  <c r="K63" i="39"/>
  <c r="BA63" i="39" s="1"/>
  <c r="BG62" i="39"/>
  <c r="AW62" i="39"/>
  <c r="BI62" i="39" s="1"/>
  <c r="AT62" i="39"/>
  <c r="BH62" i="39" s="1"/>
  <c r="AN62" i="39"/>
  <c r="AH62" i="39"/>
  <c r="BF62" i="39" s="1"/>
  <c r="Z62" i="39"/>
  <c r="BD62" i="39" s="1"/>
  <c r="W62" i="39"/>
  <c r="BC62" i="39" s="1"/>
  <c r="Q62" i="39"/>
  <c r="BB62" i="39" s="1"/>
  <c r="K62" i="39"/>
  <c r="BA62" i="39" s="1"/>
  <c r="AW61" i="39"/>
  <c r="BI61" i="39" s="1"/>
  <c r="AT61" i="39"/>
  <c r="BH61" i="39" s="1"/>
  <c r="AN61" i="39"/>
  <c r="BG61" i="39" s="1"/>
  <c r="AH61" i="39"/>
  <c r="BF61" i="39" s="1"/>
  <c r="Z61" i="39"/>
  <c r="BD61" i="39" s="1"/>
  <c r="W61" i="39"/>
  <c r="BC61" i="39" s="1"/>
  <c r="Q61" i="39"/>
  <c r="BB61" i="39" s="1"/>
  <c r="K61" i="39"/>
  <c r="BA61" i="39" s="1"/>
  <c r="AW60" i="39"/>
  <c r="BI60" i="39" s="1"/>
  <c r="AT60" i="39"/>
  <c r="BH60" i="39" s="1"/>
  <c r="AN60" i="39"/>
  <c r="BG60" i="39" s="1"/>
  <c r="AH60" i="39"/>
  <c r="BF60" i="39" s="1"/>
  <c r="Z60" i="39"/>
  <c r="BD60" i="39" s="1"/>
  <c r="W60" i="39"/>
  <c r="BC60" i="39" s="1"/>
  <c r="Q60" i="39"/>
  <c r="BB60" i="39" s="1"/>
  <c r="K60" i="39"/>
  <c r="BA60" i="39" s="1"/>
  <c r="BH59" i="39"/>
  <c r="AW59" i="39"/>
  <c r="BI59" i="39" s="1"/>
  <c r="AT59" i="39"/>
  <c r="AN59" i="39"/>
  <c r="BG59" i="39" s="1"/>
  <c r="AH59" i="39"/>
  <c r="BF59" i="39" s="1"/>
  <c r="Z59" i="39"/>
  <c r="BD59" i="39" s="1"/>
  <c r="W59" i="39"/>
  <c r="BC59" i="39" s="1"/>
  <c r="Q59" i="39"/>
  <c r="BB59" i="39" s="1"/>
  <c r="K59" i="39"/>
  <c r="BA59" i="39" s="1"/>
  <c r="BI58" i="39"/>
  <c r="AW58" i="39"/>
  <c r="AT58" i="39"/>
  <c r="BH58" i="39" s="1"/>
  <c r="AN58" i="39"/>
  <c r="BG58" i="39" s="1"/>
  <c r="AH58" i="39"/>
  <c r="BF58" i="39" s="1"/>
  <c r="Z58" i="39"/>
  <c r="BD58" i="39" s="1"/>
  <c r="W58" i="39"/>
  <c r="BC58" i="39" s="1"/>
  <c r="Q58" i="39"/>
  <c r="BB58" i="39" s="1"/>
  <c r="K58" i="39"/>
  <c r="BA58" i="39" s="1"/>
  <c r="BF57" i="39"/>
  <c r="AW57" i="39"/>
  <c r="BI57" i="39" s="1"/>
  <c r="AT57" i="39"/>
  <c r="BH57" i="39" s="1"/>
  <c r="AN57" i="39"/>
  <c r="BG57" i="39" s="1"/>
  <c r="AH57" i="39"/>
  <c r="Z57" i="39"/>
  <c r="BD57" i="39" s="1"/>
  <c r="W57" i="39"/>
  <c r="BC57" i="39" s="1"/>
  <c r="Q57" i="39"/>
  <c r="BB57" i="39" s="1"/>
  <c r="K57" i="39"/>
  <c r="BA57" i="39" s="1"/>
  <c r="AW56" i="39"/>
  <c r="BI56" i="39" s="1"/>
  <c r="AT56" i="39"/>
  <c r="BH56" i="39" s="1"/>
  <c r="AN56" i="39"/>
  <c r="BG56" i="39" s="1"/>
  <c r="AH56" i="39"/>
  <c r="BF56" i="39" s="1"/>
  <c r="Z56" i="39"/>
  <c r="BD56" i="39" s="1"/>
  <c r="W56" i="39"/>
  <c r="BC56" i="39" s="1"/>
  <c r="Q56" i="39"/>
  <c r="BB56" i="39" s="1"/>
  <c r="K56" i="39"/>
  <c r="BA56" i="39" s="1"/>
  <c r="AW55" i="39"/>
  <c r="BI55" i="39" s="1"/>
  <c r="AT55" i="39"/>
  <c r="BH55" i="39" s="1"/>
  <c r="AN55" i="39"/>
  <c r="BG55" i="39" s="1"/>
  <c r="AH55" i="39"/>
  <c r="BF55" i="39" s="1"/>
  <c r="Z55" i="39"/>
  <c r="BD55" i="39" s="1"/>
  <c r="W55" i="39"/>
  <c r="BC55" i="39" s="1"/>
  <c r="Q55" i="39"/>
  <c r="BB55" i="39" s="1"/>
  <c r="K55" i="39"/>
  <c r="BA55" i="39" s="1"/>
  <c r="BI54" i="39"/>
  <c r="AW54" i="39"/>
  <c r="AT54" i="39"/>
  <c r="BH54" i="39" s="1"/>
  <c r="AN54" i="39"/>
  <c r="BG54" i="39" s="1"/>
  <c r="AH54" i="39"/>
  <c r="BF54" i="39" s="1"/>
  <c r="Z54" i="39"/>
  <c r="BD54" i="39" s="1"/>
  <c r="W54" i="39"/>
  <c r="BC54" i="39" s="1"/>
  <c r="Q54" i="39"/>
  <c r="BB54" i="39" s="1"/>
  <c r="K54" i="39"/>
  <c r="BA54" i="39" s="1"/>
  <c r="AW53" i="39"/>
  <c r="BI53" i="39" s="1"/>
  <c r="AT53" i="39"/>
  <c r="BH53" i="39" s="1"/>
  <c r="AN53" i="39"/>
  <c r="BG53" i="39" s="1"/>
  <c r="AH53" i="39"/>
  <c r="BF53" i="39" s="1"/>
  <c r="Z53" i="39"/>
  <c r="BD53" i="39" s="1"/>
  <c r="W53" i="39"/>
  <c r="BC53" i="39" s="1"/>
  <c r="Q53" i="39"/>
  <c r="BB53" i="39" s="1"/>
  <c r="K53" i="39"/>
  <c r="BA53" i="39" s="1"/>
  <c r="BD52" i="39"/>
  <c r="AW52" i="39"/>
  <c r="BI52" i="39" s="1"/>
  <c r="AT52" i="39"/>
  <c r="BH52" i="39" s="1"/>
  <c r="AN52" i="39"/>
  <c r="BG52" i="39" s="1"/>
  <c r="AH52" i="39"/>
  <c r="BF52" i="39" s="1"/>
  <c r="Z52" i="39"/>
  <c r="W52" i="39"/>
  <c r="BC52" i="39" s="1"/>
  <c r="Q52" i="39"/>
  <c r="BB52" i="39" s="1"/>
  <c r="K52" i="39"/>
  <c r="BA52" i="39" s="1"/>
  <c r="AW51" i="39"/>
  <c r="BI51" i="39" s="1"/>
  <c r="AT51" i="39"/>
  <c r="BH51" i="39" s="1"/>
  <c r="AN51" i="39"/>
  <c r="BG51" i="39" s="1"/>
  <c r="AH51" i="39"/>
  <c r="BF51" i="39" s="1"/>
  <c r="Z51" i="39"/>
  <c r="BD51" i="39" s="1"/>
  <c r="W51" i="39"/>
  <c r="BC51" i="39" s="1"/>
  <c r="Q51" i="39"/>
  <c r="BB51" i="39" s="1"/>
  <c r="K51" i="39"/>
  <c r="BA51" i="39" s="1"/>
  <c r="AW50" i="39"/>
  <c r="BI50" i="39" s="1"/>
  <c r="AT50" i="39"/>
  <c r="BH50" i="39" s="1"/>
  <c r="AN50" i="39"/>
  <c r="BG50" i="39" s="1"/>
  <c r="AH50" i="39"/>
  <c r="BF50" i="39" s="1"/>
  <c r="Z50" i="39"/>
  <c r="BD50" i="39" s="1"/>
  <c r="W50" i="39"/>
  <c r="BC50" i="39" s="1"/>
  <c r="Q50" i="39"/>
  <c r="BB50" i="39" s="1"/>
  <c r="K50" i="39"/>
  <c r="BA50" i="39" s="1"/>
  <c r="AW49" i="39"/>
  <c r="BI49" i="39" s="1"/>
  <c r="AT49" i="39"/>
  <c r="BH49" i="39" s="1"/>
  <c r="AN49" i="39"/>
  <c r="BG49" i="39" s="1"/>
  <c r="AH49" i="39"/>
  <c r="BF49" i="39" s="1"/>
  <c r="Z49" i="39"/>
  <c r="BD49" i="39" s="1"/>
  <c r="W49" i="39"/>
  <c r="BC49" i="39" s="1"/>
  <c r="Q49" i="39"/>
  <c r="BB49" i="39" s="1"/>
  <c r="K49" i="39"/>
  <c r="BA49" i="39" s="1"/>
  <c r="AW48" i="39"/>
  <c r="BI48" i="39" s="1"/>
  <c r="AT48" i="39"/>
  <c r="BH48" i="39" s="1"/>
  <c r="AN48" i="39"/>
  <c r="BG48" i="39" s="1"/>
  <c r="AH48" i="39"/>
  <c r="BF48" i="39" s="1"/>
  <c r="Z48" i="39"/>
  <c r="BD48" i="39" s="1"/>
  <c r="W48" i="39"/>
  <c r="BC48" i="39" s="1"/>
  <c r="Q48" i="39"/>
  <c r="BB48" i="39" s="1"/>
  <c r="K48" i="39"/>
  <c r="BA48" i="39" s="1"/>
  <c r="AW47" i="39"/>
  <c r="BI47" i="39" s="1"/>
  <c r="AT47" i="39"/>
  <c r="BH47" i="39" s="1"/>
  <c r="AN47" i="39"/>
  <c r="BG47" i="39" s="1"/>
  <c r="AH47" i="39"/>
  <c r="BF47" i="39" s="1"/>
  <c r="Z47" i="39"/>
  <c r="BD47" i="39" s="1"/>
  <c r="W47" i="39"/>
  <c r="BC47" i="39" s="1"/>
  <c r="Q47" i="39"/>
  <c r="BB47" i="39" s="1"/>
  <c r="K47" i="39"/>
  <c r="BA47" i="39" s="1"/>
  <c r="BG46" i="39"/>
  <c r="AW46" i="39"/>
  <c r="BI46" i="39" s="1"/>
  <c r="AT46" i="39"/>
  <c r="BH46" i="39" s="1"/>
  <c r="AN46" i="39"/>
  <c r="AH46" i="39"/>
  <c r="BF46" i="39" s="1"/>
  <c r="Z46" i="39"/>
  <c r="BD46" i="39" s="1"/>
  <c r="W46" i="39"/>
  <c r="BC46" i="39" s="1"/>
  <c r="Q46" i="39"/>
  <c r="BB46" i="39" s="1"/>
  <c r="K46" i="39"/>
  <c r="BA46" i="39" s="1"/>
  <c r="AW45" i="39"/>
  <c r="BI45" i="39" s="1"/>
  <c r="AT45" i="39"/>
  <c r="BH45" i="39" s="1"/>
  <c r="AN45" i="39"/>
  <c r="BG45" i="39" s="1"/>
  <c r="AH45" i="39"/>
  <c r="BF45" i="39" s="1"/>
  <c r="Z45" i="39"/>
  <c r="BD45" i="39" s="1"/>
  <c r="W45" i="39"/>
  <c r="BC45" i="39" s="1"/>
  <c r="Q45" i="39"/>
  <c r="BB45" i="39" s="1"/>
  <c r="K45" i="39"/>
  <c r="BA45" i="39" s="1"/>
  <c r="AW44" i="39"/>
  <c r="BI44" i="39" s="1"/>
  <c r="AT44" i="39"/>
  <c r="BH44" i="39" s="1"/>
  <c r="AN44" i="39"/>
  <c r="BG44" i="39" s="1"/>
  <c r="AH44" i="39"/>
  <c r="BF44" i="39" s="1"/>
  <c r="Z44" i="39"/>
  <c r="BD44" i="39" s="1"/>
  <c r="W44" i="39"/>
  <c r="BC44" i="39" s="1"/>
  <c r="Q44" i="39"/>
  <c r="BB44" i="39" s="1"/>
  <c r="K44" i="39"/>
  <c r="BA44" i="39" s="1"/>
  <c r="BC43" i="39"/>
  <c r="AW43" i="39"/>
  <c r="BI43" i="39" s="1"/>
  <c r="AT43" i="39"/>
  <c r="BH43" i="39" s="1"/>
  <c r="AN43" i="39"/>
  <c r="BG43" i="39" s="1"/>
  <c r="AH43" i="39"/>
  <c r="BF43" i="39" s="1"/>
  <c r="Z43" i="39"/>
  <c r="BD43" i="39" s="1"/>
  <c r="W43" i="39"/>
  <c r="Q43" i="39"/>
  <c r="BB43" i="39" s="1"/>
  <c r="K43" i="39"/>
  <c r="BA43" i="39" s="1"/>
  <c r="AW42" i="39"/>
  <c r="BI42" i="39" s="1"/>
  <c r="AT42" i="39"/>
  <c r="BH42" i="39" s="1"/>
  <c r="AN42" i="39"/>
  <c r="BG42" i="39" s="1"/>
  <c r="AH42" i="39"/>
  <c r="BF42" i="39" s="1"/>
  <c r="Z42" i="39"/>
  <c r="BD42" i="39" s="1"/>
  <c r="W42" i="39"/>
  <c r="BC42" i="39" s="1"/>
  <c r="Q42" i="39"/>
  <c r="BB42" i="39" s="1"/>
  <c r="K42" i="39"/>
  <c r="BA42" i="39" s="1"/>
  <c r="AW41" i="39"/>
  <c r="BI41" i="39" s="1"/>
  <c r="AT41" i="39"/>
  <c r="BH41" i="39" s="1"/>
  <c r="AN41" i="39"/>
  <c r="BG41" i="39" s="1"/>
  <c r="AH41" i="39"/>
  <c r="BF41" i="39" s="1"/>
  <c r="Z41" i="39"/>
  <c r="BD41" i="39" s="1"/>
  <c r="W41" i="39"/>
  <c r="BC41" i="39" s="1"/>
  <c r="Q41" i="39"/>
  <c r="BB41" i="39" s="1"/>
  <c r="K41" i="39"/>
  <c r="BA41" i="39" s="1"/>
  <c r="AW40" i="39"/>
  <c r="BI40" i="39" s="1"/>
  <c r="AT40" i="39"/>
  <c r="BH40" i="39" s="1"/>
  <c r="AN40" i="39"/>
  <c r="BG40" i="39" s="1"/>
  <c r="AH40" i="39"/>
  <c r="BF40" i="39" s="1"/>
  <c r="Z40" i="39"/>
  <c r="BD40" i="39" s="1"/>
  <c r="W40" i="39"/>
  <c r="BC40" i="39" s="1"/>
  <c r="Q40" i="39"/>
  <c r="BB40" i="39" s="1"/>
  <c r="K40" i="39"/>
  <c r="BA40" i="39" s="1"/>
  <c r="AW39" i="39"/>
  <c r="BI39" i="39" s="1"/>
  <c r="AT39" i="39"/>
  <c r="BH39" i="39" s="1"/>
  <c r="AN39" i="39"/>
  <c r="BG39" i="39" s="1"/>
  <c r="AH39" i="39"/>
  <c r="BF39" i="39" s="1"/>
  <c r="Z39" i="39"/>
  <c r="BD39" i="39" s="1"/>
  <c r="W39" i="39"/>
  <c r="BC39" i="39" s="1"/>
  <c r="Q39" i="39"/>
  <c r="BB39" i="39" s="1"/>
  <c r="K39" i="39"/>
  <c r="BA39" i="39" s="1"/>
  <c r="AW38" i="39"/>
  <c r="BI38" i="39" s="1"/>
  <c r="AT38" i="39"/>
  <c r="BH38" i="39" s="1"/>
  <c r="AN38" i="39"/>
  <c r="BG38" i="39" s="1"/>
  <c r="AH38" i="39"/>
  <c r="BF38" i="39" s="1"/>
  <c r="Z38" i="39"/>
  <c r="BD38" i="39" s="1"/>
  <c r="W38" i="39"/>
  <c r="BC38" i="39" s="1"/>
  <c r="Q38" i="39"/>
  <c r="BB38" i="39" s="1"/>
  <c r="K38" i="39"/>
  <c r="BA38" i="39" s="1"/>
  <c r="AW37" i="39"/>
  <c r="BI37" i="39" s="1"/>
  <c r="AT37" i="39"/>
  <c r="BH37" i="39" s="1"/>
  <c r="AN37" i="39"/>
  <c r="BG37" i="39" s="1"/>
  <c r="AH37" i="39"/>
  <c r="BF37" i="39" s="1"/>
  <c r="Z37" i="39"/>
  <c r="BD37" i="39" s="1"/>
  <c r="W37" i="39"/>
  <c r="BC37" i="39" s="1"/>
  <c r="Q37" i="39"/>
  <c r="BB37" i="39" s="1"/>
  <c r="K37" i="39"/>
  <c r="BA37" i="39" s="1"/>
  <c r="BB36" i="39"/>
  <c r="AW36" i="39"/>
  <c r="BI36" i="39" s="1"/>
  <c r="AT36" i="39"/>
  <c r="BH36" i="39" s="1"/>
  <c r="AN36" i="39"/>
  <c r="BG36" i="39" s="1"/>
  <c r="AH36" i="39"/>
  <c r="BF36" i="39" s="1"/>
  <c r="Z36" i="39"/>
  <c r="BD36" i="39" s="1"/>
  <c r="W36" i="39"/>
  <c r="BC36" i="39" s="1"/>
  <c r="Q36" i="39"/>
  <c r="K36" i="39"/>
  <c r="BA36" i="39" s="1"/>
  <c r="AW35" i="39"/>
  <c r="BI35" i="39" s="1"/>
  <c r="AT35" i="39"/>
  <c r="BH35" i="39" s="1"/>
  <c r="AN35" i="39"/>
  <c r="BG35" i="39" s="1"/>
  <c r="AH35" i="39"/>
  <c r="BF35" i="39" s="1"/>
  <c r="Z35" i="39"/>
  <c r="BD35" i="39" s="1"/>
  <c r="W35" i="39"/>
  <c r="BC35" i="39" s="1"/>
  <c r="Q35" i="39"/>
  <c r="BB35" i="39" s="1"/>
  <c r="K35" i="39"/>
  <c r="BA35" i="39" s="1"/>
  <c r="BG34" i="39"/>
  <c r="BF34" i="39"/>
  <c r="AW34" i="39"/>
  <c r="BI34" i="39" s="1"/>
  <c r="AT34" i="39"/>
  <c r="BH34" i="39" s="1"/>
  <c r="AN34" i="39"/>
  <c r="AH34" i="39"/>
  <c r="Z34" i="39"/>
  <c r="BD34" i="39" s="1"/>
  <c r="W34" i="39"/>
  <c r="BC34" i="39" s="1"/>
  <c r="Q34" i="39"/>
  <c r="BB34" i="39" s="1"/>
  <c r="K34" i="39"/>
  <c r="BA34" i="39" s="1"/>
  <c r="AW33" i="39"/>
  <c r="BI33" i="39" s="1"/>
  <c r="AT33" i="39"/>
  <c r="BH33" i="39" s="1"/>
  <c r="AN33" i="39"/>
  <c r="BG33" i="39" s="1"/>
  <c r="AH33" i="39"/>
  <c r="BF33" i="39" s="1"/>
  <c r="Z33" i="39"/>
  <c r="BD33" i="39" s="1"/>
  <c r="W33" i="39"/>
  <c r="BC33" i="39" s="1"/>
  <c r="Q33" i="39"/>
  <c r="BB33" i="39" s="1"/>
  <c r="K33" i="39"/>
  <c r="BA33" i="39" s="1"/>
  <c r="BC32" i="39"/>
  <c r="AW32" i="39"/>
  <c r="BI32" i="39" s="1"/>
  <c r="AT32" i="39"/>
  <c r="BH32" i="39" s="1"/>
  <c r="AN32" i="39"/>
  <c r="BG32" i="39" s="1"/>
  <c r="AH32" i="39"/>
  <c r="BF32" i="39" s="1"/>
  <c r="Z32" i="39"/>
  <c r="BD32" i="39" s="1"/>
  <c r="W32" i="39"/>
  <c r="Q32" i="39"/>
  <c r="BB32" i="39" s="1"/>
  <c r="K32" i="39"/>
  <c r="BA32" i="39" s="1"/>
  <c r="AW31" i="39"/>
  <c r="BI31" i="39" s="1"/>
  <c r="AT31" i="39"/>
  <c r="BH31" i="39" s="1"/>
  <c r="AN31" i="39"/>
  <c r="BG31" i="39" s="1"/>
  <c r="AH31" i="39"/>
  <c r="BF31" i="39" s="1"/>
  <c r="Z31" i="39"/>
  <c r="BD31" i="39" s="1"/>
  <c r="W31" i="39"/>
  <c r="BC31" i="39" s="1"/>
  <c r="Q31" i="39"/>
  <c r="BB31" i="39" s="1"/>
  <c r="K31" i="39"/>
  <c r="BA31" i="39" s="1"/>
  <c r="BD30" i="39"/>
  <c r="AW30" i="39"/>
  <c r="BI30" i="39" s="1"/>
  <c r="AT30" i="39"/>
  <c r="BH30" i="39" s="1"/>
  <c r="AN30" i="39"/>
  <c r="BG30" i="39" s="1"/>
  <c r="AH30" i="39"/>
  <c r="BF30" i="39" s="1"/>
  <c r="Z30" i="39"/>
  <c r="W30" i="39"/>
  <c r="BC30" i="39" s="1"/>
  <c r="Q30" i="39"/>
  <c r="BB30" i="39" s="1"/>
  <c r="K30" i="39"/>
  <c r="BA30" i="39" s="1"/>
  <c r="AW29" i="39"/>
  <c r="BI29" i="39" s="1"/>
  <c r="AT29" i="39"/>
  <c r="BH29" i="39" s="1"/>
  <c r="AN29" i="39"/>
  <c r="BG29" i="39" s="1"/>
  <c r="AH29" i="39"/>
  <c r="BF29" i="39" s="1"/>
  <c r="Z29" i="39"/>
  <c r="BD29" i="39" s="1"/>
  <c r="W29" i="39"/>
  <c r="BC29" i="39" s="1"/>
  <c r="Q29" i="39"/>
  <c r="BB29" i="39" s="1"/>
  <c r="K29" i="39"/>
  <c r="BA29" i="39" s="1"/>
  <c r="AW28" i="39"/>
  <c r="BI28" i="39" s="1"/>
  <c r="AT28" i="39"/>
  <c r="BH28" i="39" s="1"/>
  <c r="AN28" i="39"/>
  <c r="BG28" i="39" s="1"/>
  <c r="AH28" i="39"/>
  <c r="BF28" i="39" s="1"/>
  <c r="Z28" i="39"/>
  <c r="BD28" i="39" s="1"/>
  <c r="W28" i="39"/>
  <c r="BC28" i="39" s="1"/>
  <c r="Q28" i="39"/>
  <c r="BB28" i="39" s="1"/>
  <c r="K28" i="39"/>
  <c r="BA28" i="39" s="1"/>
  <c r="AW27" i="39"/>
  <c r="BI27" i="39" s="1"/>
  <c r="AT27" i="39"/>
  <c r="BH27" i="39" s="1"/>
  <c r="AN27" i="39"/>
  <c r="BG27" i="39" s="1"/>
  <c r="AH27" i="39"/>
  <c r="BF27" i="39" s="1"/>
  <c r="Z27" i="39"/>
  <c r="BD27" i="39" s="1"/>
  <c r="W27" i="39"/>
  <c r="BC27" i="39" s="1"/>
  <c r="Q27" i="39"/>
  <c r="BB27" i="39" s="1"/>
  <c r="K27" i="39"/>
  <c r="BA27" i="39" s="1"/>
  <c r="BH26" i="39"/>
  <c r="AW26" i="39"/>
  <c r="BI26" i="39" s="1"/>
  <c r="AT26" i="39"/>
  <c r="AN26" i="39"/>
  <c r="BG26" i="39" s="1"/>
  <c r="AH26" i="39"/>
  <c r="BF26" i="39" s="1"/>
  <c r="Z26" i="39"/>
  <c r="BD26" i="39" s="1"/>
  <c r="W26" i="39"/>
  <c r="BC26" i="39" s="1"/>
  <c r="Q26" i="39"/>
  <c r="BB26" i="39" s="1"/>
  <c r="K26" i="39"/>
  <c r="BA26" i="39" s="1"/>
  <c r="AW25" i="39"/>
  <c r="BI25" i="39" s="1"/>
  <c r="AT25" i="39"/>
  <c r="BH25" i="39" s="1"/>
  <c r="AN25" i="39"/>
  <c r="BG25" i="39" s="1"/>
  <c r="AH25" i="39"/>
  <c r="BF25" i="39" s="1"/>
  <c r="Z25" i="39"/>
  <c r="BD25" i="39" s="1"/>
  <c r="W25" i="39"/>
  <c r="BC25" i="39" s="1"/>
  <c r="Q25" i="39"/>
  <c r="BB25" i="39" s="1"/>
  <c r="K25" i="39"/>
  <c r="BA25" i="39" s="1"/>
  <c r="AW24" i="39"/>
  <c r="BI24" i="39" s="1"/>
  <c r="AT24" i="39"/>
  <c r="BH24" i="39" s="1"/>
  <c r="AN24" i="39"/>
  <c r="BG24" i="39" s="1"/>
  <c r="AH24" i="39"/>
  <c r="BF24" i="39" s="1"/>
  <c r="Z24" i="39"/>
  <c r="BD24" i="39" s="1"/>
  <c r="W24" i="39"/>
  <c r="BC24" i="39" s="1"/>
  <c r="Q24" i="39"/>
  <c r="BB24" i="39" s="1"/>
  <c r="K24" i="39"/>
  <c r="BA24" i="39" s="1"/>
  <c r="BG23" i="39"/>
  <c r="AW23" i="39"/>
  <c r="BI23" i="39" s="1"/>
  <c r="AT23" i="39"/>
  <c r="BH23" i="39" s="1"/>
  <c r="AN23" i="39"/>
  <c r="AH23" i="39"/>
  <c r="BF23" i="39" s="1"/>
  <c r="Z23" i="39"/>
  <c r="BD23" i="39" s="1"/>
  <c r="W23" i="39"/>
  <c r="BC23" i="39" s="1"/>
  <c r="Q23" i="39"/>
  <c r="BB23" i="39" s="1"/>
  <c r="K23" i="39"/>
  <c r="BA23" i="39" s="1"/>
  <c r="BH22" i="39"/>
  <c r="AW22" i="39"/>
  <c r="BI22" i="39" s="1"/>
  <c r="AT22" i="39"/>
  <c r="AN22" i="39"/>
  <c r="BG22" i="39" s="1"/>
  <c r="AH22" i="39"/>
  <c r="BF22" i="39" s="1"/>
  <c r="Z22" i="39"/>
  <c r="BD22" i="39" s="1"/>
  <c r="W22" i="39"/>
  <c r="BC22" i="39" s="1"/>
  <c r="Q22" i="39"/>
  <c r="BB22" i="39" s="1"/>
  <c r="K22" i="39"/>
  <c r="BA22" i="39" s="1"/>
  <c r="AW21" i="39"/>
  <c r="BI21" i="39" s="1"/>
  <c r="AT21" i="39"/>
  <c r="BH21" i="39" s="1"/>
  <c r="AN21" i="39"/>
  <c r="BG21" i="39" s="1"/>
  <c r="AH21" i="39"/>
  <c r="BF21" i="39" s="1"/>
  <c r="Z21" i="39"/>
  <c r="BD21" i="39" s="1"/>
  <c r="W21" i="39"/>
  <c r="BC21" i="39" s="1"/>
  <c r="Q21" i="39"/>
  <c r="BB21" i="39" s="1"/>
  <c r="K21" i="39"/>
  <c r="BA21" i="39" s="1"/>
  <c r="AW20" i="39"/>
  <c r="BI20" i="39" s="1"/>
  <c r="AT20" i="39"/>
  <c r="BH20" i="39" s="1"/>
  <c r="AN20" i="39"/>
  <c r="BG20" i="39" s="1"/>
  <c r="AH20" i="39"/>
  <c r="BF20" i="39" s="1"/>
  <c r="Z20" i="39"/>
  <c r="BD20" i="39" s="1"/>
  <c r="W20" i="39"/>
  <c r="BC20" i="39" s="1"/>
  <c r="Q20" i="39"/>
  <c r="BB20" i="39" s="1"/>
  <c r="K20" i="39"/>
  <c r="BA20" i="39" s="1"/>
  <c r="AW19" i="39"/>
  <c r="BI19" i="39" s="1"/>
  <c r="AT19" i="39"/>
  <c r="BH19" i="39" s="1"/>
  <c r="AN19" i="39"/>
  <c r="BG19" i="39" s="1"/>
  <c r="AH19" i="39"/>
  <c r="BF19" i="39" s="1"/>
  <c r="Z19" i="39"/>
  <c r="BD19" i="39" s="1"/>
  <c r="W19" i="39"/>
  <c r="BC19" i="39" s="1"/>
  <c r="Q19" i="39"/>
  <c r="BB19" i="39" s="1"/>
  <c r="K19" i="39"/>
  <c r="BA19" i="39" s="1"/>
  <c r="AW18" i="39"/>
  <c r="BI18" i="39" s="1"/>
  <c r="AT18" i="39"/>
  <c r="BH18" i="39" s="1"/>
  <c r="AN18" i="39"/>
  <c r="BG18" i="39" s="1"/>
  <c r="AH18" i="39"/>
  <c r="BF18" i="39" s="1"/>
  <c r="Z18" i="39"/>
  <c r="BD18" i="39" s="1"/>
  <c r="W18" i="39"/>
  <c r="BC18" i="39" s="1"/>
  <c r="Q18" i="39"/>
  <c r="BB18" i="39" s="1"/>
  <c r="K18" i="39"/>
  <c r="BA18" i="39" s="1"/>
  <c r="AW17" i="39"/>
  <c r="BI17" i="39" s="1"/>
  <c r="AT17" i="39"/>
  <c r="BH17" i="39" s="1"/>
  <c r="AN17" i="39"/>
  <c r="BG17" i="39" s="1"/>
  <c r="AH17" i="39"/>
  <c r="BF17" i="39" s="1"/>
  <c r="Z17" i="39"/>
  <c r="BD17" i="39" s="1"/>
  <c r="W17" i="39"/>
  <c r="BC17" i="39" s="1"/>
  <c r="Q17" i="39"/>
  <c r="BB17" i="39" s="1"/>
  <c r="K17" i="39"/>
  <c r="BA17" i="39" s="1"/>
  <c r="AW16" i="39"/>
  <c r="BI16" i="39" s="1"/>
  <c r="AT16" i="39"/>
  <c r="BH16" i="39" s="1"/>
  <c r="AN16" i="39"/>
  <c r="BG16" i="39" s="1"/>
  <c r="AH16" i="39"/>
  <c r="BF16" i="39" s="1"/>
  <c r="Z16" i="39"/>
  <c r="BD16" i="39" s="1"/>
  <c r="W16" i="39"/>
  <c r="BC16" i="39" s="1"/>
  <c r="Q16" i="39"/>
  <c r="BB16" i="39" s="1"/>
  <c r="K16" i="39"/>
  <c r="BA16" i="39" s="1"/>
  <c r="BH15" i="39"/>
  <c r="AW15" i="39"/>
  <c r="BI15" i="39" s="1"/>
  <c r="AT15" i="39"/>
  <c r="AN15" i="39"/>
  <c r="BG15" i="39" s="1"/>
  <c r="AH15" i="39"/>
  <c r="BF15" i="39" s="1"/>
  <c r="Z15" i="39"/>
  <c r="BD15" i="39" s="1"/>
  <c r="W15" i="39"/>
  <c r="BC15" i="39" s="1"/>
  <c r="Q15" i="39"/>
  <c r="BB15" i="39" s="1"/>
  <c r="K15" i="39"/>
  <c r="BA15" i="39" s="1"/>
  <c r="AW14" i="39"/>
  <c r="BI14" i="39" s="1"/>
  <c r="AT14" i="39"/>
  <c r="BH14" i="39" s="1"/>
  <c r="AN14" i="39"/>
  <c r="BG14" i="39" s="1"/>
  <c r="AH14" i="39"/>
  <c r="BF14" i="39" s="1"/>
  <c r="Z14" i="39"/>
  <c r="BD14" i="39" s="1"/>
  <c r="W14" i="39"/>
  <c r="BC14" i="39" s="1"/>
  <c r="Q14" i="39"/>
  <c r="BB14" i="39" s="1"/>
  <c r="K14" i="39"/>
  <c r="BA14" i="39" s="1"/>
  <c r="AW13" i="39"/>
  <c r="BI13" i="39" s="1"/>
  <c r="AT13" i="39"/>
  <c r="BH13" i="39" s="1"/>
  <c r="AN13" i="39"/>
  <c r="BG13" i="39" s="1"/>
  <c r="AH13" i="39"/>
  <c r="BF13" i="39" s="1"/>
  <c r="Z13" i="39"/>
  <c r="BD13" i="39" s="1"/>
  <c r="W13" i="39"/>
  <c r="BC13" i="39" s="1"/>
  <c r="Q13" i="39"/>
  <c r="BB13" i="39" s="1"/>
  <c r="K13" i="39"/>
  <c r="BA13" i="39" s="1"/>
  <c r="AX12" i="39"/>
  <c r="AA12" i="39"/>
  <c r="BG72" i="38"/>
  <c r="AW72" i="38"/>
  <c r="BI72" i="38" s="1"/>
  <c r="AT72" i="38"/>
  <c r="BH72" i="38" s="1"/>
  <c r="AN72" i="38"/>
  <c r="AH72" i="38"/>
  <c r="BF72" i="38" s="1"/>
  <c r="Z72" i="38"/>
  <c r="BD72" i="38" s="1"/>
  <c r="W72" i="38"/>
  <c r="BC72" i="38" s="1"/>
  <c r="Q72" i="38"/>
  <c r="BB72" i="38" s="1"/>
  <c r="K72" i="38"/>
  <c r="BA72" i="38" s="1"/>
  <c r="BI71" i="38"/>
  <c r="BH71" i="38"/>
  <c r="AW71" i="38"/>
  <c r="AT71" i="38"/>
  <c r="AN71" i="38"/>
  <c r="BG71" i="38" s="1"/>
  <c r="AH71" i="38"/>
  <c r="BF71" i="38" s="1"/>
  <c r="Z71" i="38"/>
  <c r="BD71" i="38" s="1"/>
  <c r="W71" i="38"/>
  <c r="BC71" i="38" s="1"/>
  <c r="Q71" i="38"/>
  <c r="BB71" i="38" s="1"/>
  <c r="K71" i="38"/>
  <c r="BA71" i="38" s="1"/>
  <c r="BI70" i="38"/>
  <c r="AW70" i="38"/>
  <c r="AT70" i="38"/>
  <c r="BH70" i="38" s="1"/>
  <c r="AN70" i="38"/>
  <c r="BG70" i="38" s="1"/>
  <c r="AH70" i="38"/>
  <c r="BF70" i="38" s="1"/>
  <c r="Z70" i="38"/>
  <c r="BD70" i="38" s="1"/>
  <c r="W70" i="38"/>
  <c r="BC70" i="38" s="1"/>
  <c r="Q70" i="38"/>
  <c r="BB70" i="38" s="1"/>
  <c r="K70" i="38"/>
  <c r="BA70" i="38" s="1"/>
  <c r="BC69" i="38"/>
  <c r="BB69" i="38"/>
  <c r="AW69" i="38"/>
  <c r="BI69" i="38" s="1"/>
  <c r="AT69" i="38"/>
  <c r="BH69" i="38" s="1"/>
  <c r="AN69" i="38"/>
  <c r="BG69" i="38" s="1"/>
  <c r="AH69" i="38"/>
  <c r="BF69" i="38" s="1"/>
  <c r="Z69" i="38"/>
  <c r="BD69" i="38" s="1"/>
  <c r="W69" i="38"/>
  <c r="Q69" i="38"/>
  <c r="K69" i="38"/>
  <c r="BA69" i="38" s="1"/>
  <c r="BC68" i="38"/>
  <c r="BB68" i="38"/>
  <c r="AW68" i="38"/>
  <c r="BI68" i="38" s="1"/>
  <c r="AT68" i="38"/>
  <c r="BH68" i="38" s="1"/>
  <c r="AN68" i="38"/>
  <c r="BG68" i="38" s="1"/>
  <c r="AH68" i="38"/>
  <c r="BF68" i="38" s="1"/>
  <c r="Z68" i="38"/>
  <c r="BD68" i="38" s="1"/>
  <c r="W68" i="38"/>
  <c r="Q68" i="38"/>
  <c r="K68" i="38"/>
  <c r="BA68" i="38" s="1"/>
  <c r="BG67" i="38"/>
  <c r="BD67" i="38"/>
  <c r="BB67" i="38"/>
  <c r="AW67" i="38"/>
  <c r="BI67" i="38" s="1"/>
  <c r="AT67" i="38"/>
  <c r="BH67" i="38" s="1"/>
  <c r="AN67" i="38"/>
  <c r="AH67" i="38"/>
  <c r="BF67" i="38" s="1"/>
  <c r="Z67" i="38"/>
  <c r="W67" i="38"/>
  <c r="BC67" i="38" s="1"/>
  <c r="Q67" i="38"/>
  <c r="K67" i="38"/>
  <c r="BA67" i="38" s="1"/>
  <c r="BD66" i="38"/>
  <c r="AW66" i="38"/>
  <c r="BI66" i="38" s="1"/>
  <c r="AT66" i="38"/>
  <c r="BH66" i="38" s="1"/>
  <c r="AN66" i="38"/>
  <c r="BG66" i="38" s="1"/>
  <c r="AH66" i="38"/>
  <c r="BF66" i="38" s="1"/>
  <c r="Z66" i="38"/>
  <c r="W66" i="38"/>
  <c r="BC66" i="38" s="1"/>
  <c r="Q66" i="38"/>
  <c r="BB66" i="38" s="1"/>
  <c r="K66" i="38"/>
  <c r="BA66" i="38" s="1"/>
  <c r="BI65" i="38"/>
  <c r="AW65" i="38"/>
  <c r="AT65" i="38"/>
  <c r="BH65" i="38" s="1"/>
  <c r="AN65" i="38"/>
  <c r="BG65" i="38" s="1"/>
  <c r="AH65" i="38"/>
  <c r="BF65" i="38" s="1"/>
  <c r="Z65" i="38"/>
  <c r="BD65" i="38" s="1"/>
  <c r="W65" i="38"/>
  <c r="BC65" i="38" s="1"/>
  <c r="Q65" i="38"/>
  <c r="BB65" i="38" s="1"/>
  <c r="K65" i="38"/>
  <c r="BA65" i="38" s="1"/>
  <c r="BG64" i="38"/>
  <c r="AW64" i="38"/>
  <c r="BI64" i="38" s="1"/>
  <c r="AT64" i="38"/>
  <c r="BH64" i="38" s="1"/>
  <c r="AN64" i="38"/>
  <c r="AH64" i="38"/>
  <c r="BF64" i="38" s="1"/>
  <c r="Z64" i="38"/>
  <c r="BD64" i="38" s="1"/>
  <c r="W64" i="38"/>
  <c r="BC64" i="38" s="1"/>
  <c r="Q64" i="38"/>
  <c r="BB64" i="38" s="1"/>
  <c r="K64" i="38"/>
  <c r="BA64" i="38" s="1"/>
  <c r="BI63" i="38"/>
  <c r="BH63" i="38"/>
  <c r="AW63" i="38"/>
  <c r="AT63" i="38"/>
  <c r="AN63" i="38"/>
  <c r="BG63" i="38" s="1"/>
  <c r="AH63" i="38"/>
  <c r="BF63" i="38" s="1"/>
  <c r="Z63" i="38"/>
  <c r="BD63" i="38" s="1"/>
  <c r="W63" i="38"/>
  <c r="BC63" i="38" s="1"/>
  <c r="Q63" i="38"/>
  <c r="BB63" i="38" s="1"/>
  <c r="K63" i="38"/>
  <c r="BA63" i="38" s="1"/>
  <c r="AW62" i="38"/>
  <c r="BI62" i="38" s="1"/>
  <c r="AT62" i="38"/>
  <c r="BH62" i="38" s="1"/>
  <c r="AN62" i="38"/>
  <c r="BG62" i="38" s="1"/>
  <c r="AH62" i="38"/>
  <c r="BF62" i="38" s="1"/>
  <c r="Z62" i="38"/>
  <c r="BD62" i="38" s="1"/>
  <c r="W62" i="38"/>
  <c r="BC62" i="38" s="1"/>
  <c r="Q62" i="38"/>
  <c r="BB62" i="38" s="1"/>
  <c r="K62" i="38"/>
  <c r="BA62" i="38" s="1"/>
  <c r="AW61" i="38"/>
  <c r="BI61" i="38" s="1"/>
  <c r="AT61" i="38"/>
  <c r="BH61" i="38" s="1"/>
  <c r="AN61" i="38"/>
  <c r="BG61" i="38" s="1"/>
  <c r="AH61" i="38"/>
  <c r="BF61" i="38" s="1"/>
  <c r="Z61" i="38"/>
  <c r="BD61" i="38" s="1"/>
  <c r="W61" i="38"/>
  <c r="BC61" i="38" s="1"/>
  <c r="Q61" i="38"/>
  <c r="BB61" i="38" s="1"/>
  <c r="K61" i="38"/>
  <c r="BA61" i="38" s="1"/>
  <c r="BC60" i="38"/>
  <c r="BB60" i="38"/>
  <c r="AW60" i="38"/>
  <c r="BI60" i="38" s="1"/>
  <c r="AT60" i="38"/>
  <c r="BH60" i="38" s="1"/>
  <c r="AN60" i="38"/>
  <c r="BG60" i="38" s="1"/>
  <c r="AH60" i="38"/>
  <c r="BF60" i="38" s="1"/>
  <c r="Z60" i="38"/>
  <c r="BD60" i="38" s="1"/>
  <c r="W60" i="38"/>
  <c r="Q60" i="38"/>
  <c r="K60" i="38"/>
  <c r="BA60" i="38" s="1"/>
  <c r="BG59" i="38"/>
  <c r="BD59" i="38"/>
  <c r="BB59" i="38"/>
  <c r="AW59" i="38"/>
  <c r="BI59" i="38" s="1"/>
  <c r="AT59" i="38"/>
  <c r="BH59" i="38" s="1"/>
  <c r="AN59" i="38"/>
  <c r="AH59" i="38"/>
  <c r="BF59" i="38" s="1"/>
  <c r="Z59" i="38"/>
  <c r="W59" i="38"/>
  <c r="BC59" i="38" s="1"/>
  <c r="Q59" i="38"/>
  <c r="K59" i="38"/>
  <c r="BA59" i="38" s="1"/>
  <c r="AW58" i="38"/>
  <c r="BI58" i="38" s="1"/>
  <c r="AT58" i="38"/>
  <c r="BH58" i="38" s="1"/>
  <c r="AN58" i="38"/>
  <c r="BG58" i="38" s="1"/>
  <c r="AH58" i="38"/>
  <c r="BF58" i="38" s="1"/>
  <c r="Z58" i="38"/>
  <c r="BD58" i="38" s="1"/>
  <c r="W58" i="38"/>
  <c r="BC58" i="38" s="1"/>
  <c r="Q58" i="38"/>
  <c r="BB58" i="38" s="1"/>
  <c r="K58" i="38"/>
  <c r="BA58" i="38" s="1"/>
  <c r="BG57" i="38"/>
  <c r="BF57" i="38"/>
  <c r="AW57" i="38"/>
  <c r="BI57" i="38" s="1"/>
  <c r="AT57" i="38"/>
  <c r="BH57" i="38" s="1"/>
  <c r="AN57" i="38"/>
  <c r="AH57" i="38"/>
  <c r="Z57" i="38"/>
  <c r="BD57" i="38" s="1"/>
  <c r="W57" i="38"/>
  <c r="BC57" i="38" s="1"/>
  <c r="Q57" i="38"/>
  <c r="BB57" i="38" s="1"/>
  <c r="K57" i="38"/>
  <c r="BA57" i="38" s="1"/>
  <c r="BG56" i="38"/>
  <c r="AW56" i="38"/>
  <c r="BI56" i="38" s="1"/>
  <c r="AT56" i="38"/>
  <c r="BH56" i="38" s="1"/>
  <c r="AN56" i="38"/>
  <c r="AH56" i="38"/>
  <c r="BF56" i="38" s="1"/>
  <c r="Z56" i="38"/>
  <c r="BD56" i="38" s="1"/>
  <c r="W56" i="38"/>
  <c r="BC56" i="38" s="1"/>
  <c r="Q56" i="38"/>
  <c r="BB56" i="38" s="1"/>
  <c r="K56" i="38"/>
  <c r="BA56" i="38" s="1"/>
  <c r="BH55" i="38"/>
  <c r="AW55" i="38"/>
  <c r="BI55" i="38" s="1"/>
  <c r="AT55" i="38"/>
  <c r="AN55" i="38"/>
  <c r="BG55" i="38" s="1"/>
  <c r="AH55" i="38"/>
  <c r="BF55" i="38" s="1"/>
  <c r="Z55" i="38"/>
  <c r="BD55" i="38" s="1"/>
  <c r="W55" i="38"/>
  <c r="BC55" i="38" s="1"/>
  <c r="Q55" i="38"/>
  <c r="BB55" i="38" s="1"/>
  <c r="K55" i="38"/>
  <c r="BA55" i="38" s="1"/>
  <c r="BI54" i="38"/>
  <c r="AW54" i="38"/>
  <c r="AT54" i="38"/>
  <c r="BH54" i="38" s="1"/>
  <c r="AN54" i="38"/>
  <c r="BG54" i="38" s="1"/>
  <c r="AH54" i="38"/>
  <c r="BF54" i="38" s="1"/>
  <c r="Z54" i="38"/>
  <c r="BD54" i="38" s="1"/>
  <c r="W54" i="38"/>
  <c r="BC54" i="38" s="1"/>
  <c r="Q54" i="38"/>
  <c r="BB54" i="38" s="1"/>
  <c r="K54" i="38"/>
  <c r="BA54" i="38" s="1"/>
  <c r="AW53" i="38"/>
  <c r="BI53" i="38" s="1"/>
  <c r="AT53" i="38"/>
  <c r="BH53" i="38" s="1"/>
  <c r="AN53" i="38"/>
  <c r="BG53" i="38" s="1"/>
  <c r="AH53" i="38"/>
  <c r="BF53" i="38" s="1"/>
  <c r="Z53" i="38"/>
  <c r="BD53" i="38" s="1"/>
  <c r="W53" i="38"/>
  <c r="BC53" i="38" s="1"/>
  <c r="Q53" i="38"/>
  <c r="BB53" i="38" s="1"/>
  <c r="K53" i="38"/>
  <c r="BA53" i="38" s="1"/>
  <c r="BG52" i="38"/>
  <c r="BB52" i="38"/>
  <c r="AW52" i="38"/>
  <c r="BI52" i="38" s="1"/>
  <c r="AT52" i="38"/>
  <c r="BH52" i="38" s="1"/>
  <c r="AN52" i="38"/>
  <c r="AH52" i="38"/>
  <c r="BF52" i="38" s="1"/>
  <c r="Z52" i="38"/>
  <c r="BD52" i="38" s="1"/>
  <c r="W52" i="38"/>
  <c r="BC52" i="38" s="1"/>
  <c r="Q52" i="38"/>
  <c r="K52" i="38"/>
  <c r="BA52" i="38" s="1"/>
  <c r="BD51" i="38"/>
  <c r="BB51" i="38"/>
  <c r="AW51" i="38"/>
  <c r="BI51" i="38" s="1"/>
  <c r="AT51" i="38"/>
  <c r="BH51" i="38" s="1"/>
  <c r="AN51" i="38"/>
  <c r="BG51" i="38" s="1"/>
  <c r="AH51" i="38"/>
  <c r="BF51" i="38" s="1"/>
  <c r="Z51" i="38"/>
  <c r="W51" i="38"/>
  <c r="BC51" i="38" s="1"/>
  <c r="Q51" i="38"/>
  <c r="K51" i="38"/>
  <c r="BA51" i="38" s="1"/>
  <c r="BD50" i="38"/>
  <c r="AW50" i="38"/>
  <c r="BI50" i="38" s="1"/>
  <c r="AT50" i="38"/>
  <c r="BH50" i="38" s="1"/>
  <c r="AN50" i="38"/>
  <c r="BG50" i="38" s="1"/>
  <c r="AH50" i="38"/>
  <c r="BF50" i="38" s="1"/>
  <c r="Z50" i="38"/>
  <c r="W50" i="38"/>
  <c r="BC50" i="38" s="1"/>
  <c r="Q50" i="38"/>
  <c r="BB50" i="38" s="1"/>
  <c r="K50" i="38"/>
  <c r="BA50" i="38" s="1"/>
  <c r="BF49" i="38"/>
  <c r="AW49" i="38"/>
  <c r="BI49" i="38" s="1"/>
  <c r="AT49" i="38"/>
  <c r="BH49" i="38" s="1"/>
  <c r="AN49" i="38"/>
  <c r="BG49" i="38" s="1"/>
  <c r="AH49" i="38"/>
  <c r="Z49" i="38"/>
  <c r="BD49" i="38" s="1"/>
  <c r="W49" i="38"/>
  <c r="BC49" i="38" s="1"/>
  <c r="Q49" i="38"/>
  <c r="BB49" i="38" s="1"/>
  <c r="K49" i="38"/>
  <c r="BA49" i="38" s="1"/>
  <c r="BG48" i="38"/>
  <c r="BF48" i="38"/>
  <c r="AW48" i="38"/>
  <c r="BI48" i="38" s="1"/>
  <c r="AT48" i="38"/>
  <c r="BH48" i="38" s="1"/>
  <c r="AN48" i="38"/>
  <c r="AH48" i="38"/>
  <c r="Z48" i="38"/>
  <c r="BD48" i="38" s="1"/>
  <c r="W48" i="38"/>
  <c r="BC48" i="38" s="1"/>
  <c r="Q48" i="38"/>
  <c r="BB48" i="38" s="1"/>
  <c r="K48" i="38"/>
  <c r="BA48" i="38" s="1"/>
  <c r="BI47" i="38"/>
  <c r="AW47" i="38"/>
  <c r="AT47" i="38"/>
  <c r="BH47" i="38" s="1"/>
  <c r="AN47" i="38"/>
  <c r="BG47" i="38" s="1"/>
  <c r="AH47" i="38"/>
  <c r="BF47" i="38" s="1"/>
  <c r="Z47" i="38"/>
  <c r="BD47" i="38" s="1"/>
  <c r="W47" i="38"/>
  <c r="BC47" i="38" s="1"/>
  <c r="Q47" i="38"/>
  <c r="BB47" i="38" s="1"/>
  <c r="K47" i="38"/>
  <c r="BA47" i="38" s="1"/>
  <c r="BH46" i="38"/>
  <c r="AW46" i="38"/>
  <c r="BI46" i="38" s="1"/>
  <c r="AT46" i="38"/>
  <c r="AN46" i="38"/>
  <c r="BG46" i="38" s="1"/>
  <c r="AH46" i="38"/>
  <c r="BF46" i="38" s="1"/>
  <c r="Z46" i="38"/>
  <c r="BD46" i="38" s="1"/>
  <c r="W46" i="38"/>
  <c r="BC46" i="38" s="1"/>
  <c r="Q46" i="38"/>
  <c r="BB46" i="38" s="1"/>
  <c r="K46" i="38"/>
  <c r="BA46" i="38" s="1"/>
  <c r="BH45" i="38"/>
  <c r="AW45" i="38"/>
  <c r="BI45" i="38" s="1"/>
  <c r="AT45" i="38"/>
  <c r="AN45" i="38"/>
  <c r="BG45" i="38" s="1"/>
  <c r="AH45" i="38"/>
  <c r="BF45" i="38" s="1"/>
  <c r="Z45" i="38"/>
  <c r="BD45" i="38" s="1"/>
  <c r="W45" i="38"/>
  <c r="BC45" i="38" s="1"/>
  <c r="Q45" i="38"/>
  <c r="BB45" i="38" s="1"/>
  <c r="K45" i="38"/>
  <c r="BA45" i="38" s="1"/>
  <c r="BG44" i="38"/>
  <c r="BC44" i="38"/>
  <c r="BB44" i="38"/>
  <c r="AW44" i="38"/>
  <c r="BI44" i="38" s="1"/>
  <c r="AT44" i="38"/>
  <c r="BH44" i="38" s="1"/>
  <c r="BJ44" i="38" s="1"/>
  <c r="AX44" i="38" s="1"/>
  <c r="AN44" i="38"/>
  <c r="AH44" i="38"/>
  <c r="BF44" i="38" s="1"/>
  <c r="Z44" i="38"/>
  <c r="BD44" i="38" s="1"/>
  <c r="W44" i="38"/>
  <c r="Q44" i="38"/>
  <c r="K44" i="38"/>
  <c r="BA44" i="38" s="1"/>
  <c r="BD43" i="38"/>
  <c r="BB43" i="38"/>
  <c r="AW43" i="38"/>
  <c r="BI43" i="38" s="1"/>
  <c r="AT43" i="38"/>
  <c r="BH43" i="38" s="1"/>
  <c r="AN43" i="38"/>
  <c r="BG43" i="38" s="1"/>
  <c r="AH43" i="38"/>
  <c r="BF43" i="38" s="1"/>
  <c r="Z43" i="38"/>
  <c r="W43" i="38"/>
  <c r="BC43" i="38" s="1"/>
  <c r="Q43" i="38"/>
  <c r="K43" i="38"/>
  <c r="BA43" i="38" s="1"/>
  <c r="BG42" i="38"/>
  <c r="AW42" i="38"/>
  <c r="BI42" i="38" s="1"/>
  <c r="AT42" i="38"/>
  <c r="BH42" i="38" s="1"/>
  <c r="AN42" i="38"/>
  <c r="AH42" i="38"/>
  <c r="BF42" i="38" s="1"/>
  <c r="Z42" i="38"/>
  <c r="BD42" i="38" s="1"/>
  <c r="W42" i="38"/>
  <c r="BC42" i="38" s="1"/>
  <c r="Q42" i="38"/>
  <c r="BB42" i="38" s="1"/>
  <c r="K42" i="38"/>
  <c r="BA42" i="38" s="1"/>
  <c r="BG41" i="38"/>
  <c r="BF41" i="38"/>
  <c r="AW41" i="38"/>
  <c r="BI41" i="38" s="1"/>
  <c r="AT41" i="38"/>
  <c r="BH41" i="38" s="1"/>
  <c r="AN41" i="38"/>
  <c r="AH41" i="38"/>
  <c r="Z41" i="38"/>
  <c r="BD41" i="38" s="1"/>
  <c r="W41" i="38"/>
  <c r="BC41" i="38" s="1"/>
  <c r="Q41" i="38"/>
  <c r="BB41" i="38" s="1"/>
  <c r="K41" i="38"/>
  <c r="BA41" i="38" s="1"/>
  <c r="BG40" i="38"/>
  <c r="AW40" i="38"/>
  <c r="BI40" i="38" s="1"/>
  <c r="AT40" i="38"/>
  <c r="BH40" i="38" s="1"/>
  <c r="AN40" i="38"/>
  <c r="AH40" i="38"/>
  <c r="BF40" i="38" s="1"/>
  <c r="Z40" i="38"/>
  <c r="BD40" i="38" s="1"/>
  <c r="W40" i="38"/>
  <c r="BC40" i="38" s="1"/>
  <c r="Q40" i="38"/>
  <c r="BB40" i="38" s="1"/>
  <c r="K40" i="38"/>
  <c r="BA40" i="38" s="1"/>
  <c r="BC39" i="38"/>
  <c r="AW39" i="38"/>
  <c r="BI39" i="38" s="1"/>
  <c r="AT39" i="38"/>
  <c r="BH39" i="38" s="1"/>
  <c r="AN39" i="38"/>
  <c r="BG39" i="38" s="1"/>
  <c r="AH39" i="38"/>
  <c r="BF39" i="38" s="1"/>
  <c r="Z39" i="38"/>
  <c r="BD39" i="38" s="1"/>
  <c r="W39" i="38"/>
  <c r="Q39" i="38"/>
  <c r="BB39" i="38" s="1"/>
  <c r="K39" i="38"/>
  <c r="BA39" i="38" s="1"/>
  <c r="BI38" i="38"/>
  <c r="BH38" i="38"/>
  <c r="AW38" i="38"/>
  <c r="AT38" i="38"/>
  <c r="AN38" i="38"/>
  <c r="BG38" i="38" s="1"/>
  <c r="AH38" i="38"/>
  <c r="BF38" i="38" s="1"/>
  <c r="Z38" i="38"/>
  <c r="BD38" i="38" s="1"/>
  <c r="W38" i="38"/>
  <c r="BC38" i="38" s="1"/>
  <c r="Q38" i="38"/>
  <c r="BB38" i="38" s="1"/>
  <c r="K38" i="38"/>
  <c r="BA38" i="38" s="1"/>
  <c r="BC37" i="38"/>
  <c r="AW37" i="38"/>
  <c r="BI37" i="38" s="1"/>
  <c r="AT37" i="38"/>
  <c r="BH37" i="38" s="1"/>
  <c r="AN37" i="38"/>
  <c r="BG37" i="38" s="1"/>
  <c r="AH37" i="38"/>
  <c r="BF37" i="38" s="1"/>
  <c r="Z37" i="38"/>
  <c r="BD37" i="38" s="1"/>
  <c r="W37" i="38"/>
  <c r="Q37" i="38"/>
  <c r="BB37" i="38" s="1"/>
  <c r="K37" i="38"/>
  <c r="BA37" i="38" s="1"/>
  <c r="BG36" i="38"/>
  <c r="AW36" i="38"/>
  <c r="BI36" i="38" s="1"/>
  <c r="AT36" i="38"/>
  <c r="BH36" i="38" s="1"/>
  <c r="AN36" i="38"/>
  <c r="AH36" i="38"/>
  <c r="BF36" i="38" s="1"/>
  <c r="Z36" i="38"/>
  <c r="BD36" i="38" s="1"/>
  <c r="W36" i="38"/>
  <c r="BC36" i="38" s="1"/>
  <c r="Q36" i="38"/>
  <c r="BB36" i="38" s="1"/>
  <c r="K36" i="38"/>
  <c r="BA36" i="38" s="1"/>
  <c r="BB35" i="38"/>
  <c r="AW35" i="38"/>
  <c r="BI35" i="38" s="1"/>
  <c r="AT35" i="38"/>
  <c r="BH35" i="38" s="1"/>
  <c r="AN35" i="38"/>
  <c r="BG35" i="38" s="1"/>
  <c r="AH35" i="38"/>
  <c r="BF35" i="38" s="1"/>
  <c r="Z35" i="38"/>
  <c r="BD35" i="38" s="1"/>
  <c r="W35" i="38"/>
  <c r="BC35" i="38" s="1"/>
  <c r="Q35" i="38"/>
  <c r="K35" i="38"/>
  <c r="BA35" i="38" s="1"/>
  <c r="BD34" i="38"/>
  <c r="AW34" i="38"/>
  <c r="BI34" i="38" s="1"/>
  <c r="AT34" i="38"/>
  <c r="BH34" i="38" s="1"/>
  <c r="AN34" i="38"/>
  <c r="BG34" i="38" s="1"/>
  <c r="AH34" i="38"/>
  <c r="BF34" i="38" s="1"/>
  <c r="Z34" i="38"/>
  <c r="W34" i="38"/>
  <c r="BC34" i="38" s="1"/>
  <c r="Q34" i="38"/>
  <c r="BB34" i="38" s="1"/>
  <c r="K34" i="38"/>
  <c r="BA34" i="38" s="1"/>
  <c r="BG33" i="38"/>
  <c r="AW33" i="38"/>
  <c r="BI33" i="38" s="1"/>
  <c r="AT33" i="38"/>
  <c r="BH33" i="38" s="1"/>
  <c r="AN33" i="38"/>
  <c r="AH33" i="38"/>
  <c r="BF33" i="38" s="1"/>
  <c r="Z33" i="38"/>
  <c r="BD33" i="38" s="1"/>
  <c r="W33" i="38"/>
  <c r="BC33" i="38" s="1"/>
  <c r="Q33" i="38"/>
  <c r="BB33" i="38" s="1"/>
  <c r="K33" i="38"/>
  <c r="BA33" i="38" s="1"/>
  <c r="BF32" i="38"/>
  <c r="BB32" i="38"/>
  <c r="AW32" i="38"/>
  <c r="BI32" i="38" s="1"/>
  <c r="AT32" i="38"/>
  <c r="BH32" i="38" s="1"/>
  <c r="AN32" i="38"/>
  <c r="BG32" i="38" s="1"/>
  <c r="AH32" i="38"/>
  <c r="Z32" i="38"/>
  <c r="BD32" i="38" s="1"/>
  <c r="W32" i="38"/>
  <c r="BC32" i="38" s="1"/>
  <c r="Q32" i="38"/>
  <c r="K32" i="38"/>
  <c r="BA32" i="38" s="1"/>
  <c r="AW31" i="38"/>
  <c r="BI31" i="38" s="1"/>
  <c r="AT31" i="38"/>
  <c r="BH31" i="38" s="1"/>
  <c r="AN31" i="38"/>
  <c r="BG31" i="38" s="1"/>
  <c r="AH31" i="38"/>
  <c r="BF31" i="38" s="1"/>
  <c r="Z31" i="38"/>
  <c r="BD31" i="38" s="1"/>
  <c r="W31" i="38"/>
  <c r="BC31" i="38" s="1"/>
  <c r="Q31" i="38"/>
  <c r="BB31" i="38" s="1"/>
  <c r="K31" i="38"/>
  <c r="BA31" i="38" s="1"/>
  <c r="BH30" i="38"/>
  <c r="BG30" i="38"/>
  <c r="AW30" i="38"/>
  <c r="BI30" i="38" s="1"/>
  <c r="AT30" i="38"/>
  <c r="AN30" i="38"/>
  <c r="AH30" i="38"/>
  <c r="BF30" i="38" s="1"/>
  <c r="Z30" i="38"/>
  <c r="BD30" i="38" s="1"/>
  <c r="W30" i="38"/>
  <c r="BC30" i="38" s="1"/>
  <c r="Q30" i="38"/>
  <c r="BB30" i="38" s="1"/>
  <c r="K30" i="38"/>
  <c r="BA30" i="38" s="1"/>
  <c r="BI29" i="38"/>
  <c r="AW29" i="38"/>
  <c r="AT29" i="38"/>
  <c r="BH29" i="38" s="1"/>
  <c r="AN29" i="38"/>
  <c r="BG29" i="38" s="1"/>
  <c r="AH29" i="38"/>
  <c r="BF29" i="38" s="1"/>
  <c r="Z29" i="38"/>
  <c r="BD29" i="38" s="1"/>
  <c r="W29" i="38"/>
  <c r="BC29" i="38" s="1"/>
  <c r="Q29" i="38"/>
  <c r="BB29" i="38" s="1"/>
  <c r="K29" i="38"/>
  <c r="BA29" i="38" s="1"/>
  <c r="BI28" i="38"/>
  <c r="BH28" i="38"/>
  <c r="BF28" i="38"/>
  <c r="BB28" i="38"/>
  <c r="AW28" i="38"/>
  <c r="AT28" i="38"/>
  <c r="AN28" i="38"/>
  <c r="BG28" i="38" s="1"/>
  <c r="AH28" i="38"/>
  <c r="Z28" i="38"/>
  <c r="BD28" i="38" s="1"/>
  <c r="W28" i="38"/>
  <c r="BC28" i="38" s="1"/>
  <c r="Q28" i="38"/>
  <c r="K28" i="38"/>
  <c r="BA28" i="38" s="1"/>
  <c r="BD27" i="38"/>
  <c r="AW27" i="38"/>
  <c r="BI27" i="38" s="1"/>
  <c r="AT27" i="38"/>
  <c r="BH27" i="38" s="1"/>
  <c r="AN27" i="38"/>
  <c r="BG27" i="38" s="1"/>
  <c r="AH27" i="38"/>
  <c r="BF27" i="38" s="1"/>
  <c r="Z27" i="38"/>
  <c r="W27" i="38"/>
  <c r="BC27" i="38" s="1"/>
  <c r="Q27" i="38"/>
  <c r="BB27" i="38" s="1"/>
  <c r="K27" i="38"/>
  <c r="BA27" i="38" s="1"/>
  <c r="BB26" i="38"/>
  <c r="AW26" i="38"/>
  <c r="BI26" i="38" s="1"/>
  <c r="AT26" i="38"/>
  <c r="BH26" i="38" s="1"/>
  <c r="AN26" i="38"/>
  <c r="BG26" i="38" s="1"/>
  <c r="AH26" i="38"/>
  <c r="BF26" i="38" s="1"/>
  <c r="Z26" i="38"/>
  <c r="BD26" i="38" s="1"/>
  <c r="W26" i="38"/>
  <c r="BC26" i="38" s="1"/>
  <c r="Q26" i="38"/>
  <c r="K26" i="38"/>
  <c r="BA26" i="38" s="1"/>
  <c r="BF25" i="38"/>
  <c r="AW25" i="38"/>
  <c r="BI25" i="38" s="1"/>
  <c r="AT25" i="38"/>
  <c r="BH25" i="38" s="1"/>
  <c r="AN25" i="38"/>
  <c r="BG25" i="38" s="1"/>
  <c r="AH25" i="38"/>
  <c r="Z25" i="38"/>
  <c r="BD25" i="38" s="1"/>
  <c r="W25" i="38"/>
  <c r="BC25" i="38" s="1"/>
  <c r="Q25" i="38"/>
  <c r="BB25" i="38" s="1"/>
  <c r="K25" i="38"/>
  <c r="BA25" i="38" s="1"/>
  <c r="BF24" i="38"/>
  <c r="BB24" i="38"/>
  <c r="AW24" i="38"/>
  <c r="BI24" i="38" s="1"/>
  <c r="AT24" i="38"/>
  <c r="BH24" i="38" s="1"/>
  <c r="AN24" i="38"/>
  <c r="BG24" i="38" s="1"/>
  <c r="AH24" i="38"/>
  <c r="Z24" i="38"/>
  <c r="BD24" i="38" s="1"/>
  <c r="W24" i="38"/>
  <c r="BC24" i="38" s="1"/>
  <c r="Q24" i="38"/>
  <c r="K24" i="38"/>
  <c r="BA24" i="38" s="1"/>
  <c r="BF23" i="38"/>
  <c r="AW23" i="38"/>
  <c r="BI23" i="38" s="1"/>
  <c r="AT23" i="38"/>
  <c r="BH23" i="38" s="1"/>
  <c r="AN23" i="38"/>
  <c r="BG23" i="38" s="1"/>
  <c r="AH23" i="38"/>
  <c r="Z23" i="38"/>
  <c r="BD23" i="38" s="1"/>
  <c r="W23" i="38"/>
  <c r="BC23" i="38" s="1"/>
  <c r="Q23" i="38"/>
  <c r="BB23" i="38" s="1"/>
  <c r="K23" i="38"/>
  <c r="BA23" i="38" s="1"/>
  <c r="BF22" i="38"/>
  <c r="AW22" i="38"/>
  <c r="BI22" i="38" s="1"/>
  <c r="AT22" i="38"/>
  <c r="BH22" i="38" s="1"/>
  <c r="AN22" i="38"/>
  <c r="BG22" i="38" s="1"/>
  <c r="AH22" i="38"/>
  <c r="Z22" i="38"/>
  <c r="BD22" i="38" s="1"/>
  <c r="W22" i="38"/>
  <c r="BC22" i="38" s="1"/>
  <c r="Q22" i="38"/>
  <c r="BB22" i="38" s="1"/>
  <c r="K22" i="38"/>
  <c r="BA22" i="38" s="1"/>
  <c r="BG21" i="38"/>
  <c r="BB21" i="38"/>
  <c r="AW21" i="38"/>
  <c r="BI21" i="38" s="1"/>
  <c r="AT21" i="38"/>
  <c r="BH21" i="38" s="1"/>
  <c r="AN21" i="38"/>
  <c r="AH21" i="38"/>
  <c r="BF21" i="38" s="1"/>
  <c r="Z21" i="38"/>
  <c r="BD21" i="38" s="1"/>
  <c r="W21" i="38"/>
  <c r="BC21" i="38" s="1"/>
  <c r="Q21" i="38"/>
  <c r="K21" i="38"/>
  <c r="BA21" i="38" s="1"/>
  <c r="BI20" i="38"/>
  <c r="BH20" i="38"/>
  <c r="AW20" i="38"/>
  <c r="AT20" i="38"/>
  <c r="AN20" i="38"/>
  <c r="BG20" i="38" s="1"/>
  <c r="AH20" i="38"/>
  <c r="BF20" i="38" s="1"/>
  <c r="Z20" i="38"/>
  <c r="BD20" i="38" s="1"/>
  <c r="W20" i="38"/>
  <c r="BC20" i="38" s="1"/>
  <c r="Q20" i="38"/>
  <c r="BB20" i="38" s="1"/>
  <c r="K20" i="38"/>
  <c r="BA20" i="38" s="1"/>
  <c r="BI19" i="38"/>
  <c r="BD19" i="38"/>
  <c r="BB19" i="38"/>
  <c r="AW19" i="38"/>
  <c r="AT19" i="38"/>
  <c r="BH19" i="38" s="1"/>
  <c r="AN19" i="38"/>
  <c r="BG19" i="38" s="1"/>
  <c r="AH19" i="38"/>
  <c r="BF19" i="38" s="1"/>
  <c r="Z19" i="38"/>
  <c r="W19" i="38"/>
  <c r="BC19" i="38" s="1"/>
  <c r="Q19" i="38"/>
  <c r="K19" i="38"/>
  <c r="BA19" i="38" s="1"/>
  <c r="BH18" i="38"/>
  <c r="AW18" i="38"/>
  <c r="BI18" i="38" s="1"/>
  <c r="AT18" i="38"/>
  <c r="AN18" i="38"/>
  <c r="BG18" i="38" s="1"/>
  <c r="AH18" i="38"/>
  <c r="BF18" i="38" s="1"/>
  <c r="Z18" i="38"/>
  <c r="BD18" i="38" s="1"/>
  <c r="W18" i="38"/>
  <c r="BC18" i="38" s="1"/>
  <c r="Q18" i="38"/>
  <c r="BB18" i="38" s="1"/>
  <c r="K18" i="38"/>
  <c r="BA18" i="38" s="1"/>
  <c r="BC17" i="38"/>
  <c r="AW17" i="38"/>
  <c r="BI17" i="38" s="1"/>
  <c r="AT17" i="38"/>
  <c r="BH17" i="38" s="1"/>
  <c r="AN17" i="38"/>
  <c r="BG17" i="38" s="1"/>
  <c r="AH17" i="38"/>
  <c r="BF17" i="38" s="1"/>
  <c r="Z17" i="38"/>
  <c r="BD17" i="38" s="1"/>
  <c r="W17" i="38"/>
  <c r="Q17" i="38"/>
  <c r="BB17" i="38" s="1"/>
  <c r="K17" i="38"/>
  <c r="BA17" i="38" s="1"/>
  <c r="BD16" i="38"/>
  <c r="BB16" i="38"/>
  <c r="AW16" i="38"/>
  <c r="BI16" i="38" s="1"/>
  <c r="AT16" i="38"/>
  <c r="BH16" i="38" s="1"/>
  <c r="AN16" i="38"/>
  <c r="BG16" i="38" s="1"/>
  <c r="AH16" i="38"/>
  <c r="BF16" i="38" s="1"/>
  <c r="Z16" i="38"/>
  <c r="W16" i="38"/>
  <c r="BC16" i="38" s="1"/>
  <c r="Q16" i="38"/>
  <c r="K16" i="38"/>
  <c r="BA16" i="38" s="1"/>
  <c r="BH15" i="38"/>
  <c r="AW15" i="38"/>
  <c r="BI15" i="38" s="1"/>
  <c r="AT15" i="38"/>
  <c r="AN15" i="38"/>
  <c r="BG15" i="38" s="1"/>
  <c r="AH15" i="38"/>
  <c r="BF15" i="38" s="1"/>
  <c r="Z15" i="38"/>
  <c r="BD15" i="38" s="1"/>
  <c r="W15" i="38"/>
  <c r="BC15" i="38" s="1"/>
  <c r="Q15" i="38"/>
  <c r="BB15" i="38" s="1"/>
  <c r="K15" i="38"/>
  <c r="BA15" i="38" s="1"/>
  <c r="BD14" i="38"/>
  <c r="AW14" i="38"/>
  <c r="BI14" i="38" s="1"/>
  <c r="AT14" i="38"/>
  <c r="BH14" i="38" s="1"/>
  <c r="AN14" i="38"/>
  <c r="BG14" i="38" s="1"/>
  <c r="AH14" i="38"/>
  <c r="BF14" i="38" s="1"/>
  <c r="Z14" i="38"/>
  <c r="W14" i="38"/>
  <c r="BC14" i="38" s="1"/>
  <c r="Q14" i="38"/>
  <c r="BB14" i="38" s="1"/>
  <c r="K14" i="38"/>
  <c r="BA14" i="38" s="1"/>
  <c r="AW13" i="38"/>
  <c r="BI13" i="38" s="1"/>
  <c r="AT13" i="38"/>
  <c r="BH13" i="38" s="1"/>
  <c r="AN13" i="38"/>
  <c r="BG13" i="38" s="1"/>
  <c r="AH13" i="38"/>
  <c r="BF13" i="38" s="1"/>
  <c r="Z13" i="38"/>
  <c r="BD13" i="38" s="1"/>
  <c r="W13" i="38"/>
  <c r="BC13" i="38" s="1"/>
  <c r="Q13" i="38"/>
  <c r="BB13" i="38" s="1"/>
  <c r="K13" i="38"/>
  <c r="BA13" i="38" s="1"/>
  <c r="AX12" i="38"/>
  <c r="AA12" i="38"/>
  <c r="AW72" i="37"/>
  <c r="BI72" i="37" s="1"/>
  <c r="AT72" i="37"/>
  <c r="BH72" i="37" s="1"/>
  <c r="AN72" i="37"/>
  <c r="BG72" i="37" s="1"/>
  <c r="AH72" i="37"/>
  <c r="BF72" i="37" s="1"/>
  <c r="Z72" i="37"/>
  <c r="BD72" i="37" s="1"/>
  <c r="W72" i="37"/>
  <c r="BC72" i="37" s="1"/>
  <c r="Q72" i="37"/>
  <c r="BB72" i="37" s="1"/>
  <c r="K72" i="37"/>
  <c r="BA72" i="37" s="1"/>
  <c r="BI71" i="37"/>
  <c r="BH71" i="37"/>
  <c r="AW71" i="37"/>
  <c r="AT71" i="37"/>
  <c r="AN71" i="37"/>
  <c r="BG71" i="37" s="1"/>
  <c r="AH71" i="37"/>
  <c r="BF71" i="37" s="1"/>
  <c r="Z71" i="37"/>
  <c r="BD71" i="37" s="1"/>
  <c r="W71" i="37"/>
  <c r="BC71" i="37" s="1"/>
  <c r="Q71" i="37"/>
  <c r="BB71" i="37" s="1"/>
  <c r="K71" i="37"/>
  <c r="BA71" i="37" s="1"/>
  <c r="BI70" i="37"/>
  <c r="BH70" i="37"/>
  <c r="AW70" i="37"/>
  <c r="AT70" i="37"/>
  <c r="AN70" i="37"/>
  <c r="BG70" i="37" s="1"/>
  <c r="AH70" i="37"/>
  <c r="BF70" i="37" s="1"/>
  <c r="Z70" i="37"/>
  <c r="BD70" i="37" s="1"/>
  <c r="W70" i="37"/>
  <c r="BC70" i="37" s="1"/>
  <c r="Q70" i="37"/>
  <c r="BB70" i="37" s="1"/>
  <c r="K70" i="37"/>
  <c r="BA70" i="37" s="1"/>
  <c r="BD69" i="37"/>
  <c r="BC69" i="37"/>
  <c r="AW69" i="37"/>
  <c r="BI69" i="37" s="1"/>
  <c r="AT69" i="37"/>
  <c r="BH69" i="37" s="1"/>
  <c r="AN69" i="37"/>
  <c r="BG69" i="37" s="1"/>
  <c r="AH69" i="37"/>
  <c r="BF69" i="37" s="1"/>
  <c r="Z69" i="37"/>
  <c r="W69" i="37"/>
  <c r="Q69" i="37"/>
  <c r="BB69" i="37" s="1"/>
  <c r="K69" i="37"/>
  <c r="BA69" i="37" s="1"/>
  <c r="AW68" i="37"/>
  <c r="BI68" i="37" s="1"/>
  <c r="AT68" i="37"/>
  <c r="BH68" i="37" s="1"/>
  <c r="AN68" i="37"/>
  <c r="BG68" i="37" s="1"/>
  <c r="AH68" i="37"/>
  <c r="BF68" i="37" s="1"/>
  <c r="Z68" i="37"/>
  <c r="BD68" i="37" s="1"/>
  <c r="W68" i="37"/>
  <c r="BC68" i="37" s="1"/>
  <c r="Q68" i="37"/>
  <c r="BB68" i="37" s="1"/>
  <c r="K68" i="37"/>
  <c r="BA68" i="37" s="1"/>
  <c r="BI67" i="37"/>
  <c r="BH67" i="37"/>
  <c r="BG67" i="37"/>
  <c r="BF67" i="37"/>
  <c r="AW67" i="37"/>
  <c r="AT67" i="37"/>
  <c r="AN67" i="37"/>
  <c r="AH67" i="37"/>
  <c r="Z67" i="37"/>
  <c r="BD67" i="37" s="1"/>
  <c r="W67" i="37"/>
  <c r="BC67" i="37" s="1"/>
  <c r="Q67" i="37"/>
  <c r="BB67" i="37" s="1"/>
  <c r="K67" i="37"/>
  <c r="BA67" i="37" s="1"/>
  <c r="BH66" i="37"/>
  <c r="BG66" i="37"/>
  <c r="AW66" i="37"/>
  <c r="BI66" i="37" s="1"/>
  <c r="AT66" i="37"/>
  <c r="AN66" i="37"/>
  <c r="AH66" i="37"/>
  <c r="BF66" i="37" s="1"/>
  <c r="Z66" i="37"/>
  <c r="BD66" i="37" s="1"/>
  <c r="W66" i="37"/>
  <c r="BC66" i="37" s="1"/>
  <c r="Q66" i="37"/>
  <c r="BB66" i="37" s="1"/>
  <c r="K66" i="37"/>
  <c r="BA66" i="37" s="1"/>
  <c r="BB65" i="37"/>
  <c r="AW65" i="37"/>
  <c r="BI65" i="37" s="1"/>
  <c r="AT65" i="37"/>
  <c r="BH65" i="37" s="1"/>
  <c r="AN65" i="37"/>
  <c r="BG65" i="37" s="1"/>
  <c r="AH65" i="37"/>
  <c r="BF65" i="37" s="1"/>
  <c r="Z65" i="37"/>
  <c r="BD65" i="37" s="1"/>
  <c r="W65" i="37"/>
  <c r="BC65" i="37" s="1"/>
  <c r="Q65" i="37"/>
  <c r="K65" i="37"/>
  <c r="BA65" i="37" s="1"/>
  <c r="BI64" i="37"/>
  <c r="BG64" i="37"/>
  <c r="AW64" i="37"/>
  <c r="AT64" i="37"/>
  <c r="BH64" i="37" s="1"/>
  <c r="AN64" i="37"/>
  <c r="AH64" i="37"/>
  <c r="BF64" i="37" s="1"/>
  <c r="Z64" i="37"/>
  <c r="BD64" i="37" s="1"/>
  <c r="W64" i="37"/>
  <c r="BC64" i="37" s="1"/>
  <c r="Q64" i="37"/>
  <c r="BB64" i="37" s="1"/>
  <c r="K64" i="37"/>
  <c r="BA64" i="37" s="1"/>
  <c r="AW63" i="37"/>
  <c r="BI63" i="37" s="1"/>
  <c r="AT63" i="37"/>
  <c r="BH63" i="37" s="1"/>
  <c r="AN63" i="37"/>
  <c r="BG63" i="37" s="1"/>
  <c r="AH63" i="37"/>
  <c r="BF63" i="37" s="1"/>
  <c r="Z63" i="37"/>
  <c r="BD63" i="37" s="1"/>
  <c r="W63" i="37"/>
  <c r="BC63" i="37" s="1"/>
  <c r="Q63" i="37"/>
  <c r="BB63" i="37" s="1"/>
  <c r="K63" i="37"/>
  <c r="BA63" i="37" s="1"/>
  <c r="BF62" i="37"/>
  <c r="BD62" i="37"/>
  <c r="AW62" i="37"/>
  <c r="BI62" i="37" s="1"/>
  <c r="AT62" i="37"/>
  <c r="BH62" i="37" s="1"/>
  <c r="AN62" i="37"/>
  <c r="BG62" i="37" s="1"/>
  <c r="AH62" i="37"/>
  <c r="Z62" i="37"/>
  <c r="W62" i="37"/>
  <c r="BC62" i="37" s="1"/>
  <c r="Q62" i="37"/>
  <c r="BB62" i="37" s="1"/>
  <c r="K62" i="37"/>
  <c r="BA62" i="37" s="1"/>
  <c r="BH61" i="37"/>
  <c r="AW61" i="37"/>
  <c r="BI61" i="37" s="1"/>
  <c r="AT61" i="37"/>
  <c r="AN61" i="37"/>
  <c r="BG61" i="37" s="1"/>
  <c r="AH61" i="37"/>
  <c r="BF61" i="37" s="1"/>
  <c r="Z61" i="37"/>
  <c r="BD61" i="37" s="1"/>
  <c r="W61" i="37"/>
  <c r="BC61" i="37" s="1"/>
  <c r="Q61" i="37"/>
  <c r="BB61" i="37" s="1"/>
  <c r="K61" i="37"/>
  <c r="BA61" i="37" s="1"/>
  <c r="BG60" i="37"/>
  <c r="AW60" i="37"/>
  <c r="BI60" i="37" s="1"/>
  <c r="AT60" i="37"/>
  <c r="BH60" i="37" s="1"/>
  <c r="AN60" i="37"/>
  <c r="AH60" i="37"/>
  <c r="BF60" i="37" s="1"/>
  <c r="Z60" i="37"/>
  <c r="BD60" i="37" s="1"/>
  <c r="W60" i="37"/>
  <c r="BC60" i="37" s="1"/>
  <c r="Q60" i="37"/>
  <c r="BB60" i="37" s="1"/>
  <c r="K60" i="37"/>
  <c r="BA60" i="37" s="1"/>
  <c r="BD59" i="37"/>
  <c r="BB59" i="37"/>
  <c r="AW59" i="37"/>
  <c r="BI59" i="37" s="1"/>
  <c r="AT59" i="37"/>
  <c r="BH59" i="37" s="1"/>
  <c r="AN59" i="37"/>
  <c r="BG59" i="37" s="1"/>
  <c r="AH59" i="37"/>
  <c r="BF59" i="37" s="1"/>
  <c r="Z59" i="37"/>
  <c r="W59" i="37"/>
  <c r="BC59" i="37" s="1"/>
  <c r="Q59" i="37"/>
  <c r="K59" i="37"/>
  <c r="BA59" i="37" s="1"/>
  <c r="BD58" i="37"/>
  <c r="BC58" i="37"/>
  <c r="BB58" i="37"/>
  <c r="AW58" i="37"/>
  <c r="BI58" i="37" s="1"/>
  <c r="AT58" i="37"/>
  <c r="BH58" i="37" s="1"/>
  <c r="AN58" i="37"/>
  <c r="BG58" i="37" s="1"/>
  <c r="AH58" i="37"/>
  <c r="BF58" i="37" s="1"/>
  <c r="Z58" i="37"/>
  <c r="W58" i="37"/>
  <c r="Q58" i="37"/>
  <c r="K58" i="37"/>
  <c r="BA58" i="37" s="1"/>
  <c r="BG57" i="37"/>
  <c r="BF57" i="37"/>
  <c r="AW57" i="37"/>
  <c r="BI57" i="37" s="1"/>
  <c r="AT57" i="37"/>
  <c r="BH57" i="37" s="1"/>
  <c r="AN57" i="37"/>
  <c r="AH57" i="37"/>
  <c r="Z57" i="37"/>
  <c r="BD57" i="37" s="1"/>
  <c r="W57" i="37"/>
  <c r="BC57" i="37" s="1"/>
  <c r="Q57" i="37"/>
  <c r="BB57" i="37" s="1"/>
  <c r="K57" i="37"/>
  <c r="BA57" i="37" s="1"/>
  <c r="AW56" i="37"/>
  <c r="BI56" i="37" s="1"/>
  <c r="AT56" i="37"/>
  <c r="BH56" i="37" s="1"/>
  <c r="AN56" i="37"/>
  <c r="BG56" i="37" s="1"/>
  <c r="AH56" i="37"/>
  <c r="BF56" i="37" s="1"/>
  <c r="Z56" i="37"/>
  <c r="BD56" i="37" s="1"/>
  <c r="W56" i="37"/>
  <c r="BC56" i="37" s="1"/>
  <c r="Q56" i="37"/>
  <c r="BB56" i="37" s="1"/>
  <c r="K56" i="37"/>
  <c r="BA56" i="37" s="1"/>
  <c r="BH55" i="37"/>
  <c r="AW55" i="37"/>
  <c r="BI55" i="37" s="1"/>
  <c r="AT55" i="37"/>
  <c r="AN55" i="37"/>
  <c r="BG55" i="37" s="1"/>
  <c r="AH55" i="37"/>
  <c r="BF55" i="37" s="1"/>
  <c r="Z55" i="37"/>
  <c r="BD55" i="37" s="1"/>
  <c r="W55" i="37"/>
  <c r="BC55" i="37" s="1"/>
  <c r="Q55" i="37"/>
  <c r="BB55" i="37" s="1"/>
  <c r="K55" i="37"/>
  <c r="BA55" i="37" s="1"/>
  <c r="BI54" i="37"/>
  <c r="AW54" i="37"/>
  <c r="AT54" i="37"/>
  <c r="BH54" i="37" s="1"/>
  <c r="AN54" i="37"/>
  <c r="BG54" i="37" s="1"/>
  <c r="AH54" i="37"/>
  <c r="BF54" i="37" s="1"/>
  <c r="Z54" i="37"/>
  <c r="BD54" i="37" s="1"/>
  <c r="W54" i="37"/>
  <c r="BC54" i="37" s="1"/>
  <c r="Q54" i="37"/>
  <c r="BB54" i="37" s="1"/>
  <c r="K54" i="37"/>
  <c r="BA54" i="37" s="1"/>
  <c r="BF53" i="37"/>
  <c r="BD53" i="37"/>
  <c r="BC53" i="37"/>
  <c r="AW53" i="37"/>
  <c r="BI53" i="37" s="1"/>
  <c r="AT53" i="37"/>
  <c r="BH53" i="37" s="1"/>
  <c r="AN53" i="37"/>
  <c r="BG53" i="37" s="1"/>
  <c r="AH53" i="37"/>
  <c r="Z53" i="37"/>
  <c r="W53" i="37"/>
  <c r="Q53" i="37"/>
  <c r="BB53" i="37" s="1"/>
  <c r="K53" i="37"/>
  <c r="BA53" i="37" s="1"/>
  <c r="BD52" i="37"/>
  <c r="BC52" i="37"/>
  <c r="AW52" i="37"/>
  <c r="BI52" i="37" s="1"/>
  <c r="AT52" i="37"/>
  <c r="BH52" i="37" s="1"/>
  <c r="AN52" i="37"/>
  <c r="BG52" i="37" s="1"/>
  <c r="AH52" i="37"/>
  <c r="BF52" i="37" s="1"/>
  <c r="Z52" i="37"/>
  <c r="W52" i="37"/>
  <c r="Q52" i="37"/>
  <c r="BB52" i="37" s="1"/>
  <c r="K52" i="37"/>
  <c r="BA52" i="37" s="1"/>
  <c r="BI51" i="37"/>
  <c r="BG51" i="37"/>
  <c r="BF51" i="37"/>
  <c r="AW51" i="37"/>
  <c r="AT51" i="37"/>
  <c r="BH51" i="37" s="1"/>
  <c r="AN51" i="37"/>
  <c r="AH51" i="37"/>
  <c r="Z51" i="37"/>
  <c r="BD51" i="37" s="1"/>
  <c r="W51" i="37"/>
  <c r="BC51" i="37" s="1"/>
  <c r="Q51" i="37"/>
  <c r="BB51" i="37" s="1"/>
  <c r="K51" i="37"/>
  <c r="BA51" i="37" s="1"/>
  <c r="AW50" i="37"/>
  <c r="BI50" i="37" s="1"/>
  <c r="AT50" i="37"/>
  <c r="BH50" i="37" s="1"/>
  <c r="AN50" i="37"/>
  <c r="BG50" i="37" s="1"/>
  <c r="AH50" i="37"/>
  <c r="BF50" i="37" s="1"/>
  <c r="Z50" i="37"/>
  <c r="BD50" i="37" s="1"/>
  <c r="W50" i="37"/>
  <c r="BC50" i="37" s="1"/>
  <c r="Q50" i="37"/>
  <c r="BB50" i="37" s="1"/>
  <c r="K50" i="37"/>
  <c r="BA50" i="37" s="1"/>
  <c r="BD49" i="37"/>
  <c r="BB49" i="37"/>
  <c r="AW49" i="37"/>
  <c r="BI49" i="37" s="1"/>
  <c r="AT49" i="37"/>
  <c r="BH49" i="37" s="1"/>
  <c r="AN49" i="37"/>
  <c r="BG49" i="37" s="1"/>
  <c r="AH49" i="37"/>
  <c r="BF49" i="37" s="1"/>
  <c r="Z49" i="37"/>
  <c r="W49" i="37"/>
  <c r="BC49" i="37" s="1"/>
  <c r="Q49" i="37"/>
  <c r="K49" i="37"/>
  <c r="BA49" i="37" s="1"/>
  <c r="BG48" i="37"/>
  <c r="AW48" i="37"/>
  <c r="BI48" i="37" s="1"/>
  <c r="AT48" i="37"/>
  <c r="BH48" i="37" s="1"/>
  <c r="AN48" i="37"/>
  <c r="AH48" i="37"/>
  <c r="BF48" i="37" s="1"/>
  <c r="Z48" i="37"/>
  <c r="BD48" i="37" s="1"/>
  <c r="W48" i="37"/>
  <c r="BC48" i="37" s="1"/>
  <c r="Q48" i="37"/>
  <c r="BB48" i="37" s="1"/>
  <c r="K48" i="37"/>
  <c r="BA48" i="37" s="1"/>
  <c r="BG47" i="37"/>
  <c r="BD47" i="37"/>
  <c r="AW47" i="37"/>
  <c r="BI47" i="37" s="1"/>
  <c r="AT47" i="37"/>
  <c r="BH47" i="37" s="1"/>
  <c r="AN47" i="37"/>
  <c r="AH47" i="37"/>
  <c r="BF47" i="37" s="1"/>
  <c r="Z47" i="37"/>
  <c r="W47" i="37"/>
  <c r="BC47" i="37" s="1"/>
  <c r="Q47" i="37"/>
  <c r="BB47" i="37" s="1"/>
  <c r="K47" i="37"/>
  <c r="BA47" i="37" s="1"/>
  <c r="BF46" i="37"/>
  <c r="AW46" i="37"/>
  <c r="BI46" i="37" s="1"/>
  <c r="AT46" i="37"/>
  <c r="BH46" i="37" s="1"/>
  <c r="AN46" i="37"/>
  <c r="BG46" i="37" s="1"/>
  <c r="AH46" i="37"/>
  <c r="Z46" i="37"/>
  <c r="BD46" i="37" s="1"/>
  <c r="W46" i="37"/>
  <c r="BC46" i="37" s="1"/>
  <c r="Q46" i="37"/>
  <c r="BB46" i="37" s="1"/>
  <c r="K46" i="37"/>
  <c r="BA46" i="37" s="1"/>
  <c r="BH45" i="37"/>
  <c r="BG45" i="37"/>
  <c r="AW45" i="37"/>
  <c r="BI45" i="37" s="1"/>
  <c r="AT45" i="37"/>
  <c r="AN45" i="37"/>
  <c r="AH45" i="37"/>
  <c r="BF45" i="37" s="1"/>
  <c r="Z45" i="37"/>
  <c r="BD45" i="37" s="1"/>
  <c r="W45" i="37"/>
  <c r="BC45" i="37" s="1"/>
  <c r="Q45" i="37"/>
  <c r="BB45" i="37" s="1"/>
  <c r="K45" i="37"/>
  <c r="BA45" i="37" s="1"/>
  <c r="BG44" i="37"/>
  <c r="BA44" i="37"/>
  <c r="AW44" i="37"/>
  <c r="BI44" i="37" s="1"/>
  <c r="AT44" i="37"/>
  <c r="BH44" i="37" s="1"/>
  <c r="AN44" i="37"/>
  <c r="AH44" i="37"/>
  <c r="BF44" i="37" s="1"/>
  <c r="Z44" i="37"/>
  <c r="BD44" i="37" s="1"/>
  <c r="W44" i="37"/>
  <c r="BC44" i="37" s="1"/>
  <c r="Q44" i="37"/>
  <c r="BB44" i="37" s="1"/>
  <c r="K44" i="37"/>
  <c r="BC43" i="37"/>
  <c r="BB43" i="37"/>
  <c r="AW43" i="37"/>
  <c r="BI43" i="37" s="1"/>
  <c r="AT43" i="37"/>
  <c r="BH43" i="37" s="1"/>
  <c r="AN43" i="37"/>
  <c r="BG43" i="37" s="1"/>
  <c r="AH43" i="37"/>
  <c r="BF43" i="37" s="1"/>
  <c r="Z43" i="37"/>
  <c r="BD43" i="37" s="1"/>
  <c r="W43" i="37"/>
  <c r="Q43" i="37"/>
  <c r="K43" i="37"/>
  <c r="BA43" i="37" s="1"/>
  <c r="BB42" i="37"/>
  <c r="AW42" i="37"/>
  <c r="BI42" i="37" s="1"/>
  <c r="AT42" i="37"/>
  <c r="BH42" i="37" s="1"/>
  <c r="AN42" i="37"/>
  <c r="BG42" i="37" s="1"/>
  <c r="AH42" i="37"/>
  <c r="BF42" i="37" s="1"/>
  <c r="Z42" i="37"/>
  <c r="BD42" i="37" s="1"/>
  <c r="W42" i="37"/>
  <c r="BC42" i="37" s="1"/>
  <c r="Q42" i="37"/>
  <c r="K42" i="37"/>
  <c r="BA42" i="37" s="1"/>
  <c r="BF41" i="37"/>
  <c r="AW41" i="37"/>
  <c r="BI41" i="37" s="1"/>
  <c r="AT41" i="37"/>
  <c r="BH41" i="37" s="1"/>
  <c r="AN41" i="37"/>
  <c r="BG41" i="37" s="1"/>
  <c r="AH41" i="37"/>
  <c r="Z41" i="37"/>
  <c r="BD41" i="37" s="1"/>
  <c r="W41" i="37"/>
  <c r="BC41" i="37" s="1"/>
  <c r="Q41" i="37"/>
  <c r="BB41" i="37" s="1"/>
  <c r="K41" i="37"/>
  <c r="BA41" i="37" s="1"/>
  <c r="BF40" i="37"/>
  <c r="BC40" i="37"/>
  <c r="AW40" i="37"/>
  <c r="BI40" i="37" s="1"/>
  <c r="AT40" i="37"/>
  <c r="BH40" i="37" s="1"/>
  <c r="AN40" i="37"/>
  <c r="BG40" i="37" s="1"/>
  <c r="AH40" i="37"/>
  <c r="Z40" i="37"/>
  <c r="BD40" i="37" s="1"/>
  <c r="W40" i="37"/>
  <c r="Q40" i="37"/>
  <c r="BB40" i="37" s="1"/>
  <c r="K40" i="37"/>
  <c r="BA40" i="37" s="1"/>
  <c r="BH39" i="37"/>
  <c r="AW39" i="37"/>
  <c r="BI39" i="37" s="1"/>
  <c r="AT39" i="37"/>
  <c r="AN39" i="37"/>
  <c r="BG39" i="37" s="1"/>
  <c r="AH39" i="37"/>
  <c r="BF39" i="37" s="1"/>
  <c r="Z39" i="37"/>
  <c r="BD39" i="37" s="1"/>
  <c r="W39" i="37"/>
  <c r="BC39" i="37" s="1"/>
  <c r="Q39" i="37"/>
  <c r="BB39" i="37" s="1"/>
  <c r="K39" i="37"/>
  <c r="BA39" i="37" s="1"/>
  <c r="BI38" i="37"/>
  <c r="BH38" i="37"/>
  <c r="BB38" i="37"/>
  <c r="AW38" i="37"/>
  <c r="AT38" i="37"/>
  <c r="AN38" i="37"/>
  <c r="BG38" i="37" s="1"/>
  <c r="AH38" i="37"/>
  <c r="BF38" i="37" s="1"/>
  <c r="Z38" i="37"/>
  <c r="BD38" i="37" s="1"/>
  <c r="W38" i="37"/>
  <c r="BC38" i="37" s="1"/>
  <c r="Q38" i="37"/>
  <c r="K38" i="37"/>
  <c r="BA38" i="37" s="1"/>
  <c r="BE38" i="37" s="1"/>
  <c r="AW37" i="37"/>
  <c r="BI37" i="37" s="1"/>
  <c r="AT37" i="37"/>
  <c r="BH37" i="37" s="1"/>
  <c r="AN37" i="37"/>
  <c r="BG37" i="37" s="1"/>
  <c r="AH37" i="37"/>
  <c r="BF37" i="37" s="1"/>
  <c r="Z37" i="37"/>
  <c r="BD37" i="37" s="1"/>
  <c r="W37" i="37"/>
  <c r="BC37" i="37" s="1"/>
  <c r="Q37" i="37"/>
  <c r="BB37" i="37" s="1"/>
  <c r="K37" i="37"/>
  <c r="BA37" i="37" s="1"/>
  <c r="BI36" i="37"/>
  <c r="AW36" i="37"/>
  <c r="AT36" i="37"/>
  <c r="BH36" i="37" s="1"/>
  <c r="AN36" i="37"/>
  <c r="BG36" i="37" s="1"/>
  <c r="AH36" i="37"/>
  <c r="BF36" i="37" s="1"/>
  <c r="Z36" i="37"/>
  <c r="BD36" i="37" s="1"/>
  <c r="W36" i="37"/>
  <c r="BC36" i="37" s="1"/>
  <c r="Q36" i="37"/>
  <c r="BB36" i="37" s="1"/>
  <c r="K36" i="37"/>
  <c r="BA36" i="37" s="1"/>
  <c r="AW35" i="37"/>
  <c r="BI35" i="37" s="1"/>
  <c r="AT35" i="37"/>
  <c r="BH35" i="37" s="1"/>
  <c r="AN35" i="37"/>
  <c r="BG35" i="37" s="1"/>
  <c r="AH35" i="37"/>
  <c r="BF35" i="37" s="1"/>
  <c r="Z35" i="37"/>
  <c r="BD35" i="37" s="1"/>
  <c r="W35" i="37"/>
  <c r="BC35" i="37" s="1"/>
  <c r="Q35" i="37"/>
  <c r="BB35" i="37" s="1"/>
  <c r="K35" i="37"/>
  <c r="BA35" i="37" s="1"/>
  <c r="AW34" i="37"/>
  <c r="BI34" i="37" s="1"/>
  <c r="AT34" i="37"/>
  <c r="BH34" i="37" s="1"/>
  <c r="AN34" i="37"/>
  <c r="BG34" i="37" s="1"/>
  <c r="AH34" i="37"/>
  <c r="BF34" i="37" s="1"/>
  <c r="Z34" i="37"/>
  <c r="BD34" i="37" s="1"/>
  <c r="W34" i="37"/>
  <c r="BC34" i="37" s="1"/>
  <c r="Q34" i="37"/>
  <c r="BB34" i="37" s="1"/>
  <c r="K34" i="37"/>
  <c r="BA34" i="37" s="1"/>
  <c r="AW33" i="37"/>
  <c r="BI33" i="37" s="1"/>
  <c r="AT33" i="37"/>
  <c r="BH33" i="37" s="1"/>
  <c r="AN33" i="37"/>
  <c r="BG33" i="37" s="1"/>
  <c r="AH33" i="37"/>
  <c r="BF33" i="37" s="1"/>
  <c r="Z33" i="37"/>
  <c r="BD33" i="37" s="1"/>
  <c r="W33" i="37"/>
  <c r="BC33" i="37" s="1"/>
  <c r="Q33" i="37"/>
  <c r="BB33" i="37" s="1"/>
  <c r="K33" i="37"/>
  <c r="BA33" i="37" s="1"/>
  <c r="BG32" i="37"/>
  <c r="AW32" i="37"/>
  <c r="BI32" i="37" s="1"/>
  <c r="AT32" i="37"/>
  <c r="BH32" i="37" s="1"/>
  <c r="AN32" i="37"/>
  <c r="AH32" i="37"/>
  <c r="BF32" i="37" s="1"/>
  <c r="Z32" i="37"/>
  <c r="BD32" i="37" s="1"/>
  <c r="W32" i="37"/>
  <c r="BC32" i="37" s="1"/>
  <c r="Q32" i="37"/>
  <c r="BB32" i="37" s="1"/>
  <c r="K32" i="37"/>
  <c r="BA32" i="37" s="1"/>
  <c r="BI31" i="37"/>
  <c r="BC31" i="37"/>
  <c r="AW31" i="37"/>
  <c r="AT31" i="37"/>
  <c r="BH31" i="37" s="1"/>
  <c r="AN31" i="37"/>
  <c r="BG31" i="37" s="1"/>
  <c r="AH31" i="37"/>
  <c r="BF31" i="37" s="1"/>
  <c r="Z31" i="37"/>
  <c r="BD31" i="37" s="1"/>
  <c r="W31" i="37"/>
  <c r="Q31" i="37"/>
  <c r="BB31" i="37" s="1"/>
  <c r="K31" i="37"/>
  <c r="BA31" i="37" s="1"/>
  <c r="BB30" i="37"/>
  <c r="AW30" i="37"/>
  <c r="BI30" i="37" s="1"/>
  <c r="AT30" i="37"/>
  <c r="BH30" i="37" s="1"/>
  <c r="AN30" i="37"/>
  <c r="BG30" i="37" s="1"/>
  <c r="AH30" i="37"/>
  <c r="BF30" i="37" s="1"/>
  <c r="Z30" i="37"/>
  <c r="BD30" i="37" s="1"/>
  <c r="W30" i="37"/>
  <c r="BC30" i="37" s="1"/>
  <c r="Q30" i="37"/>
  <c r="K30" i="37"/>
  <c r="BA30" i="37" s="1"/>
  <c r="BF29" i="37"/>
  <c r="BD29" i="37"/>
  <c r="AW29" i="37"/>
  <c r="BI29" i="37" s="1"/>
  <c r="AT29" i="37"/>
  <c r="BH29" i="37" s="1"/>
  <c r="AN29" i="37"/>
  <c r="BG29" i="37" s="1"/>
  <c r="AH29" i="37"/>
  <c r="Z29" i="37"/>
  <c r="W29" i="37"/>
  <c r="BC29" i="37" s="1"/>
  <c r="Q29" i="37"/>
  <c r="BB29" i="37" s="1"/>
  <c r="K29" i="37"/>
  <c r="BA29" i="37" s="1"/>
  <c r="AW28" i="37"/>
  <c r="BI28" i="37" s="1"/>
  <c r="AT28" i="37"/>
  <c r="BH28" i="37" s="1"/>
  <c r="AN28" i="37"/>
  <c r="BG28" i="37" s="1"/>
  <c r="AH28" i="37"/>
  <c r="BF28" i="37" s="1"/>
  <c r="Z28" i="37"/>
  <c r="BD28" i="37" s="1"/>
  <c r="W28" i="37"/>
  <c r="BC28" i="37" s="1"/>
  <c r="Q28" i="37"/>
  <c r="BB28" i="37" s="1"/>
  <c r="K28" i="37"/>
  <c r="BA28" i="37" s="1"/>
  <c r="BI27" i="37"/>
  <c r="AW27" i="37"/>
  <c r="AT27" i="37"/>
  <c r="BH27" i="37" s="1"/>
  <c r="AN27" i="37"/>
  <c r="BG27" i="37" s="1"/>
  <c r="AH27" i="37"/>
  <c r="BF27" i="37" s="1"/>
  <c r="Z27" i="37"/>
  <c r="BD27" i="37" s="1"/>
  <c r="W27" i="37"/>
  <c r="BC27" i="37" s="1"/>
  <c r="Q27" i="37"/>
  <c r="BB27" i="37" s="1"/>
  <c r="K27" i="37"/>
  <c r="BA27" i="37" s="1"/>
  <c r="BF26" i="37"/>
  <c r="BD26" i="37"/>
  <c r="AW26" i="37"/>
  <c r="BI26" i="37" s="1"/>
  <c r="AT26" i="37"/>
  <c r="BH26" i="37" s="1"/>
  <c r="AN26" i="37"/>
  <c r="BG26" i="37" s="1"/>
  <c r="AH26" i="37"/>
  <c r="Z26" i="37"/>
  <c r="W26" i="37"/>
  <c r="BC26" i="37" s="1"/>
  <c r="Q26" i="37"/>
  <c r="BB26" i="37" s="1"/>
  <c r="K26" i="37"/>
  <c r="BA26" i="37" s="1"/>
  <c r="BI25" i="37"/>
  <c r="BB25" i="37"/>
  <c r="AW25" i="37"/>
  <c r="AT25" i="37"/>
  <c r="BH25" i="37" s="1"/>
  <c r="AN25" i="37"/>
  <c r="BG25" i="37" s="1"/>
  <c r="AH25" i="37"/>
  <c r="BF25" i="37" s="1"/>
  <c r="Z25" i="37"/>
  <c r="BD25" i="37" s="1"/>
  <c r="W25" i="37"/>
  <c r="BC25" i="37" s="1"/>
  <c r="Q25" i="37"/>
  <c r="K25" i="37"/>
  <c r="BA25" i="37" s="1"/>
  <c r="BI24" i="37"/>
  <c r="AW24" i="37"/>
  <c r="AT24" i="37"/>
  <c r="BH24" i="37" s="1"/>
  <c r="AN24" i="37"/>
  <c r="BG24" i="37" s="1"/>
  <c r="AH24" i="37"/>
  <c r="BF24" i="37" s="1"/>
  <c r="Z24" i="37"/>
  <c r="BD24" i="37" s="1"/>
  <c r="W24" i="37"/>
  <c r="BC24" i="37" s="1"/>
  <c r="Q24" i="37"/>
  <c r="BB24" i="37" s="1"/>
  <c r="K24" i="37"/>
  <c r="BA24" i="37" s="1"/>
  <c r="AW23" i="37"/>
  <c r="BI23" i="37" s="1"/>
  <c r="AT23" i="37"/>
  <c r="BH23" i="37" s="1"/>
  <c r="AN23" i="37"/>
  <c r="BG23" i="37" s="1"/>
  <c r="AH23" i="37"/>
  <c r="BF23" i="37" s="1"/>
  <c r="Z23" i="37"/>
  <c r="BD23" i="37" s="1"/>
  <c r="W23" i="37"/>
  <c r="BC23" i="37" s="1"/>
  <c r="Q23" i="37"/>
  <c r="BB23" i="37" s="1"/>
  <c r="K23" i="37"/>
  <c r="BA23" i="37" s="1"/>
  <c r="BH22" i="37"/>
  <c r="BF22" i="37"/>
  <c r="AW22" i="37"/>
  <c r="BI22" i="37" s="1"/>
  <c r="AT22" i="37"/>
  <c r="AN22" i="37"/>
  <c r="BG22" i="37" s="1"/>
  <c r="AH22" i="37"/>
  <c r="Z22" i="37"/>
  <c r="BD22" i="37" s="1"/>
  <c r="W22" i="37"/>
  <c r="BC22" i="37" s="1"/>
  <c r="Q22" i="37"/>
  <c r="BB22" i="37" s="1"/>
  <c r="K22" i="37"/>
  <c r="BA22" i="37" s="1"/>
  <c r="BH21" i="37"/>
  <c r="BG21" i="37"/>
  <c r="AW21" i="37"/>
  <c r="BI21" i="37" s="1"/>
  <c r="AT21" i="37"/>
  <c r="AN21" i="37"/>
  <c r="AH21" i="37"/>
  <c r="BF21" i="37" s="1"/>
  <c r="Z21" i="37"/>
  <c r="BD21" i="37" s="1"/>
  <c r="W21" i="37"/>
  <c r="BC21" i="37" s="1"/>
  <c r="Q21" i="37"/>
  <c r="BB21" i="37" s="1"/>
  <c r="K21" i="37"/>
  <c r="BA21" i="37" s="1"/>
  <c r="BI20" i="37"/>
  <c r="BG20" i="37"/>
  <c r="AW20" i="37"/>
  <c r="AT20" i="37"/>
  <c r="BH20" i="37" s="1"/>
  <c r="AN20" i="37"/>
  <c r="AH20" i="37"/>
  <c r="BF20" i="37" s="1"/>
  <c r="Z20" i="37"/>
  <c r="BD20" i="37" s="1"/>
  <c r="W20" i="37"/>
  <c r="BC20" i="37" s="1"/>
  <c r="Q20" i="37"/>
  <c r="BB20" i="37" s="1"/>
  <c r="K20" i="37"/>
  <c r="BA20" i="37" s="1"/>
  <c r="BH19" i="37"/>
  <c r="BC19" i="37"/>
  <c r="AW19" i="37"/>
  <c r="BI19" i="37" s="1"/>
  <c r="AT19" i="37"/>
  <c r="AN19" i="37"/>
  <c r="BG19" i="37" s="1"/>
  <c r="AH19" i="37"/>
  <c r="BF19" i="37" s="1"/>
  <c r="Z19" i="37"/>
  <c r="BD19" i="37" s="1"/>
  <c r="W19" i="37"/>
  <c r="Q19" i="37"/>
  <c r="BB19" i="37" s="1"/>
  <c r="K19" i="37"/>
  <c r="BA19" i="37" s="1"/>
  <c r="BH18" i="37"/>
  <c r="BD18" i="37"/>
  <c r="AW18" i="37"/>
  <c r="BI18" i="37" s="1"/>
  <c r="AT18" i="37"/>
  <c r="AN18" i="37"/>
  <c r="BG18" i="37" s="1"/>
  <c r="AH18" i="37"/>
  <c r="BF18" i="37" s="1"/>
  <c r="Z18" i="37"/>
  <c r="W18" i="37"/>
  <c r="BC18" i="37" s="1"/>
  <c r="Q18" i="37"/>
  <c r="BB18" i="37" s="1"/>
  <c r="K18" i="37"/>
  <c r="BA18" i="37" s="1"/>
  <c r="AW17" i="37"/>
  <c r="BI17" i="37" s="1"/>
  <c r="AT17" i="37"/>
  <c r="BH17" i="37" s="1"/>
  <c r="AN17" i="37"/>
  <c r="BG17" i="37" s="1"/>
  <c r="AH17" i="37"/>
  <c r="BF17" i="37" s="1"/>
  <c r="Z17" i="37"/>
  <c r="BD17" i="37" s="1"/>
  <c r="W17" i="37"/>
  <c r="BC17" i="37" s="1"/>
  <c r="Q17" i="37"/>
  <c r="BB17" i="37" s="1"/>
  <c r="K17" i="37"/>
  <c r="BA17" i="37" s="1"/>
  <c r="BG16" i="37"/>
  <c r="BC16" i="37"/>
  <c r="AW16" i="37"/>
  <c r="BI16" i="37" s="1"/>
  <c r="AT16" i="37"/>
  <c r="BH16" i="37" s="1"/>
  <c r="AN16" i="37"/>
  <c r="AH16" i="37"/>
  <c r="BF16" i="37" s="1"/>
  <c r="Z16" i="37"/>
  <c r="BD16" i="37" s="1"/>
  <c r="W16" i="37"/>
  <c r="Q16" i="37"/>
  <c r="BB16" i="37" s="1"/>
  <c r="K16" i="37"/>
  <c r="BA16" i="37" s="1"/>
  <c r="BI15" i="37"/>
  <c r="BH15" i="37"/>
  <c r="AW15" i="37"/>
  <c r="AT15" i="37"/>
  <c r="AN15" i="37"/>
  <c r="BG15" i="37" s="1"/>
  <c r="AH15" i="37"/>
  <c r="BF15" i="37" s="1"/>
  <c r="Z15" i="37"/>
  <c r="BD15" i="37" s="1"/>
  <c r="W15" i="37"/>
  <c r="BC15" i="37" s="1"/>
  <c r="Q15" i="37"/>
  <c r="BB15" i="37" s="1"/>
  <c r="K15" i="37"/>
  <c r="BA15" i="37" s="1"/>
  <c r="BF14" i="37"/>
  <c r="BD14" i="37"/>
  <c r="AW14" i="37"/>
  <c r="BI14" i="37" s="1"/>
  <c r="AT14" i="37"/>
  <c r="BH14" i="37" s="1"/>
  <c r="AN14" i="37"/>
  <c r="BG14" i="37" s="1"/>
  <c r="AH14" i="37"/>
  <c r="Z14" i="37"/>
  <c r="W14" i="37"/>
  <c r="BC14" i="37" s="1"/>
  <c r="Q14" i="37"/>
  <c r="BB14" i="37" s="1"/>
  <c r="K14" i="37"/>
  <c r="BA14" i="37" s="1"/>
  <c r="BD13" i="37"/>
  <c r="AW13" i="37"/>
  <c r="BI13" i="37" s="1"/>
  <c r="AT13" i="37"/>
  <c r="BH13" i="37" s="1"/>
  <c r="AN13" i="37"/>
  <c r="BG13" i="37" s="1"/>
  <c r="AH13" i="37"/>
  <c r="BF13" i="37" s="1"/>
  <c r="Z13" i="37"/>
  <c r="W13" i="37"/>
  <c r="BC13" i="37" s="1"/>
  <c r="Q13" i="37"/>
  <c r="BB13" i="37" s="1"/>
  <c r="K13" i="37"/>
  <c r="BA13" i="37" s="1"/>
  <c r="AX12" i="37"/>
  <c r="AA12" i="37"/>
  <c r="AW72" i="36"/>
  <c r="BI72" i="36" s="1"/>
  <c r="AT72" i="36"/>
  <c r="BH72" i="36" s="1"/>
  <c r="AN72" i="36"/>
  <c r="BG72" i="36" s="1"/>
  <c r="AH72" i="36"/>
  <c r="BF72" i="36" s="1"/>
  <c r="Z72" i="36"/>
  <c r="BD72" i="36" s="1"/>
  <c r="W72" i="36"/>
  <c r="BC72" i="36" s="1"/>
  <c r="Q72" i="36"/>
  <c r="BB72" i="36" s="1"/>
  <c r="K72" i="36"/>
  <c r="BA72" i="36" s="1"/>
  <c r="AW71" i="36"/>
  <c r="BI71" i="36" s="1"/>
  <c r="AT71" i="36"/>
  <c r="BH71" i="36" s="1"/>
  <c r="AN71" i="36"/>
  <c r="BG71" i="36" s="1"/>
  <c r="AH71" i="36"/>
  <c r="BF71" i="36" s="1"/>
  <c r="Z71" i="36"/>
  <c r="BD71" i="36" s="1"/>
  <c r="W71" i="36"/>
  <c r="BC71" i="36" s="1"/>
  <c r="Q71" i="36"/>
  <c r="BB71" i="36" s="1"/>
  <c r="K71" i="36"/>
  <c r="BA71" i="36" s="1"/>
  <c r="BH70" i="36"/>
  <c r="BG70" i="36"/>
  <c r="AW70" i="36"/>
  <c r="BI70" i="36" s="1"/>
  <c r="AT70" i="36"/>
  <c r="AN70" i="36"/>
  <c r="AH70" i="36"/>
  <c r="BF70" i="36" s="1"/>
  <c r="Z70" i="36"/>
  <c r="BD70" i="36" s="1"/>
  <c r="W70" i="36"/>
  <c r="BC70" i="36" s="1"/>
  <c r="Q70" i="36"/>
  <c r="BB70" i="36" s="1"/>
  <c r="K70" i="36"/>
  <c r="BA70" i="36" s="1"/>
  <c r="BI69" i="36"/>
  <c r="BH69" i="36"/>
  <c r="BG69" i="36"/>
  <c r="AW69" i="36"/>
  <c r="AT69" i="36"/>
  <c r="AN69" i="36"/>
  <c r="AH69" i="36"/>
  <c r="BF69" i="36" s="1"/>
  <c r="BJ69" i="36" s="1"/>
  <c r="AX69" i="36" s="1"/>
  <c r="Z69" i="36"/>
  <c r="BD69" i="36" s="1"/>
  <c r="W69" i="36"/>
  <c r="BC69" i="36" s="1"/>
  <c r="Q69" i="36"/>
  <c r="BB69" i="36" s="1"/>
  <c r="K69" i="36"/>
  <c r="BA69" i="36" s="1"/>
  <c r="BI68" i="36"/>
  <c r="BB68" i="36"/>
  <c r="AW68" i="36"/>
  <c r="AT68" i="36"/>
  <c r="BH68" i="36" s="1"/>
  <c r="AN68" i="36"/>
  <c r="BG68" i="36" s="1"/>
  <c r="AH68" i="36"/>
  <c r="BF68" i="36" s="1"/>
  <c r="Z68" i="36"/>
  <c r="BD68" i="36" s="1"/>
  <c r="W68" i="36"/>
  <c r="BC68" i="36" s="1"/>
  <c r="Q68" i="36"/>
  <c r="K68" i="36"/>
  <c r="BA68" i="36" s="1"/>
  <c r="BI67" i="36"/>
  <c r="BD67" i="36"/>
  <c r="BC67" i="36"/>
  <c r="BB67" i="36"/>
  <c r="AW67" i="36"/>
  <c r="AT67" i="36"/>
  <c r="BH67" i="36" s="1"/>
  <c r="AN67" i="36"/>
  <c r="BG67" i="36" s="1"/>
  <c r="AH67" i="36"/>
  <c r="BF67" i="36" s="1"/>
  <c r="Z67" i="36"/>
  <c r="W67" i="36"/>
  <c r="Q67" i="36"/>
  <c r="K67" i="36"/>
  <c r="BA67" i="36" s="1"/>
  <c r="BH66" i="36"/>
  <c r="AW66" i="36"/>
  <c r="BI66" i="36" s="1"/>
  <c r="AT66" i="36"/>
  <c r="AN66" i="36"/>
  <c r="BG66" i="36" s="1"/>
  <c r="AH66" i="36"/>
  <c r="BF66" i="36" s="1"/>
  <c r="Z66" i="36"/>
  <c r="BD66" i="36" s="1"/>
  <c r="W66" i="36"/>
  <c r="BC66" i="36" s="1"/>
  <c r="Q66" i="36"/>
  <c r="BB66" i="36" s="1"/>
  <c r="K66" i="36"/>
  <c r="BA66" i="36" s="1"/>
  <c r="BD65" i="36"/>
  <c r="AW65" i="36"/>
  <c r="BI65" i="36" s="1"/>
  <c r="AT65" i="36"/>
  <c r="BH65" i="36" s="1"/>
  <c r="AN65" i="36"/>
  <c r="BG65" i="36" s="1"/>
  <c r="AH65" i="36"/>
  <c r="BF65" i="36" s="1"/>
  <c r="Z65" i="36"/>
  <c r="W65" i="36"/>
  <c r="BC65" i="36" s="1"/>
  <c r="Q65" i="36"/>
  <c r="BB65" i="36" s="1"/>
  <c r="K65" i="36"/>
  <c r="BA65" i="36" s="1"/>
  <c r="BC64" i="36"/>
  <c r="AW64" i="36"/>
  <c r="BI64" i="36" s="1"/>
  <c r="AT64" i="36"/>
  <c r="BH64" i="36" s="1"/>
  <c r="AN64" i="36"/>
  <c r="BG64" i="36" s="1"/>
  <c r="AH64" i="36"/>
  <c r="BF64" i="36" s="1"/>
  <c r="Z64" i="36"/>
  <c r="BD64" i="36" s="1"/>
  <c r="W64" i="36"/>
  <c r="Q64" i="36"/>
  <c r="BB64" i="36" s="1"/>
  <c r="K64" i="36"/>
  <c r="BA64" i="36" s="1"/>
  <c r="BH63" i="36"/>
  <c r="BG63" i="36"/>
  <c r="AW63" i="36"/>
  <c r="BI63" i="36" s="1"/>
  <c r="AT63" i="36"/>
  <c r="AN63" i="36"/>
  <c r="AH63" i="36"/>
  <c r="BF63" i="36" s="1"/>
  <c r="Z63" i="36"/>
  <c r="BD63" i="36" s="1"/>
  <c r="W63" i="36"/>
  <c r="BC63" i="36" s="1"/>
  <c r="Q63" i="36"/>
  <c r="BB63" i="36" s="1"/>
  <c r="K63" i="36"/>
  <c r="BA63" i="36" s="1"/>
  <c r="BG62" i="36"/>
  <c r="BF62" i="36"/>
  <c r="BD62" i="36"/>
  <c r="AW62" i="36"/>
  <c r="BI62" i="36" s="1"/>
  <c r="AT62" i="36"/>
  <c r="BH62" i="36" s="1"/>
  <c r="AN62" i="36"/>
  <c r="AH62" i="36"/>
  <c r="Z62" i="36"/>
  <c r="W62" i="36"/>
  <c r="BC62" i="36" s="1"/>
  <c r="Q62" i="36"/>
  <c r="BB62" i="36" s="1"/>
  <c r="K62" i="36"/>
  <c r="BA62" i="36" s="1"/>
  <c r="AW61" i="36"/>
  <c r="BI61" i="36" s="1"/>
  <c r="AT61" i="36"/>
  <c r="BH61" i="36" s="1"/>
  <c r="AN61" i="36"/>
  <c r="BG61" i="36" s="1"/>
  <c r="AH61" i="36"/>
  <c r="BF61" i="36" s="1"/>
  <c r="Z61" i="36"/>
  <c r="BD61" i="36" s="1"/>
  <c r="W61" i="36"/>
  <c r="BC61" i="36" s="1"/>
  <c r="Q61" i="36"/>
  <c r="BB61" i="36" s="1"/>
  <c r="K61" i="36"/>
  <c r="BA61" i="36" s="1"/>
  <c r="BG60" i="36"/>
  <c r="BF60" i="36"/>
  <c r="AW60" i="36"/>
  <c r="BI60" i="36" s="1"/>
  <c r="AT60" i="36"/>
  <c r="BH60" i="36" s="1"/>
  <c r="AN60" i="36"/>
  <c r="AH60" i="36"/>
  <c r="Z60" i="36"/>
  <c r="BD60" i="36" s="1"/>
  <c r="W60" i="36"/>
  <c r="BC60" i="36" s="1"/>
  <c r="Q60" i="36"/>
  <c r="BB60" i="36" s="1"/>
  <c r="K60" i="36"/>
  <c r="BA60" i="36" s="1"/>
  <c r="BI59" i="36"/>
  <c r="BC59" i="36"/>
  <c r="AW59" i="36"/>
  <c r="AT59" i="36"/>
  <c r="BH59" i="36" s="1"/>
  <c r="AN59" i="36"/>
  <c r="BG59" i="36" s="1"/>
  <c r="AH59" i="36"/>
  <c r="BF59" i="36" s="1"/>
  <c r="Z59" i="36"/>
  <c r="BD59" i="36" s="1"/>
  <c r="W59" i="36"/>
  <c r="Q59" i="36"/>
  <c r="BB59" i="36" s="1"/>
  <c r="K59" i="36"/>
  <c r="BA59" i="36" s="1"/>
  <c r="BI58" i="36"/>
  <c r="AW58" i="36"/>
  <c r="AT58" i="36"/>
  <c r="BH58" i="36" s="1"/>
  <c r="AN58" i="36"/>
  <c r="BG58" i="36" s="1"/>
  <c r="AH58" i="36"/>
  <c r="BF58" i="36" s="1"/>
  <c r="Z58" i="36"/>
  <c r="BD58" i="36" s="1"/>
  <c r="W58" i="36"/>
  <c r="BC58" i="36" s="1"/>
  <c r="Q58" i="36"/>
  <c r="BB58" i="36" s="1"/>
  <c r="K58" i="36"/>
  <c r="BA58" i="36" s="1"/>
  <c r="AW57" i="36"/>
  <c r="BI57" i="36" s="1"/>
  <c r="AT57" i="36"/>
  <c r="BH57" i="36" s="1"/>
  <c r="AN57" i="36"/>
  <c r="BG57" i="36" s="1"/>
  <c r="AH57" i="36"/>
  <c r="BF57" i="36" s="1"/>
  <c r="Z57" i="36"/>
  <c r="BD57" i="36" s="1"/>
  <c r="W57" i="36"/>
  <c r="BC57" i="36" s="1"/>
  <c r="Q57" i="36"/>
  <c r="BB57" i="36" s="1"/>
  <c r="K57" i="36"/>
  <c r="BA57" i="36" s="1"/>
  <c r="AW56" i="36"/>
  <c r="BI56" i="36" s="1"/>
  <c r="AT56" i="36"/>
  <c r="BH56" i="36" s="1"/>
  <c r="AN56" i="36"/>
  <c r="BG56" i="36" s="1"/>
  <c r="AH56" i="36"/>
  <c r="BF56" i="36" s="1"/>
  <c r="Z56" i="36"/>
  <c r="BD56" i="36" s="1"/>
  <c r="W56" i="36"/>
  <c r="BC56" i="36" s="1"/>
  <c r="Q56" i="36"/>
  <c r="BB56" i="36" s="1"/>
  <c r="K56" i="36"/>
  <c r="BA56" i="36" s="1"/>
  <c r="AW55" i="36"/>
  <c r="BI55" i="36" s="1"/>
  <c r="AT55" i="36"/>
  <c r="BH55" i="36" s="1"/>
  <c r="AN55" i="36"/>
  <c r="BG55" i="36" s="1"/>
  <c r="AH55" i="36"/>
  <c r="BF55" i="36" s="1"/>
  <c r="Z55" i="36"/>
  <c r="BD55" i="36" s="1"/>
  <c r="W55" i="36"/>
  <c r="BC55" i="36" s="1"/>
  <c r="Q55" i="36"/>
  <c r="BB55" i="36" s="1"/>
  <c r="K55" i="36"/>
  <c r="BA55" i="36" s="1"/>
  <c r="AW54" i="36"/>
  <c r="BI54" i="36" s="1"/>
  <c r="AT54" i="36"/>
  <c r="BH54" i="36" s="1"/>
  <c r="AN54" i="36"/>
  <c r="BG54" i="36" s="1"/>
  <c r="AH54" i="36"/>
  <c r="BF54" i="36" s="1"/>
  <c r="Z54" i="36"/>
  <c r="BD54" i="36" s="1"/>
  <c r="W54" i="36"/>
  <c r="BC54" i="36" s="1"/>
  <c r="Q54" i="36"/>
  <c r="BB54" i="36" s="1"/>
  <c r="K54" i="36"/>
  <c r="BA54" i="36" s="1"/>
  <c r="BG53" i="36"/>
  <c r="BB53" i="36"/>
  <c r="AW53" i="36"/>
  <c r="BI53" i="36" s="1"/>
  <c r="AT53" i="36"/>
  <c r="BH53" i="36" s="1"/>
  <c r="AN53" i="36"/>
  <c r="AH53" i="36"/>
  <c r="BF53" i="36" s="1"/>
  <c r="Z53" i="36"/>
  <c r="BD53" i="36" s="1"/>
  <c r="W53" i="36"/>
  <c r="BC53" i="36" s="1"/>
  <c r="Q53" i="36"/>
  <c r="K53" i="36"/>
  <c r="BA53" i="36" s="1"/>
  <c r="BI52" i="36"/>
  <c r="AW52" i="36"/>
  <c r="AT52" i="36"/>
  <c r="BH52" i="36" s="1"/>
  <c r="AN52" i="36"/>
  <c r="BG52" i="36" s="1"/>
  <c r="AH52" i="36"/>
  <c r="BF52" i="36" s="1"/>
  <c r="Z52" i="36"/>
  <c r="BD52" i="36" s="1"/>
  <c r="W52" i="36"/>
  <c r="BC52" i="36" s="1"/>
  <c r="Q52" i="36"/>
  <c r="BB52" i="36" s="1"/>
  <c r="K52" i="36"/>
  <c r="BA52" i="36" s="1"/>
  <c r="BB51" i="36"/>
  <c r="AW51" i="36"/>
  <c r="BI51" i="36" s="1"/>
  <c r="AT51" i="36"/>
  <c r="BH51" i="36" s="1"/>
  <c r="AN51" i="36"/>
  <c r="BG51" i="36" s="1"/>
  <c r="AH51" i="36"/>
  <c r="BF51" i="36" s="1"/>
  <c r="Z51" i="36"/>
  <c r="BD51" i="36" s="1"/>
  <c r="W51" i="36"/>
  <c r="BC51" i="36" s="1"/>
  <c r="Q51" i="36"/>
  <c r="K51" i="36"/>
  <c r="BA51" i="36" s="1"/>
  <c r="BI50" i="36"/>
  <c r="BH50" i="36"/>
  <c r="BC50" i="36"/>
  <c r="BB50" i="36"/>
  <c r="AW50" i="36"/>
  <c r="AT50" i="36"/>
  <c r="AN50" i="36"/>
  <c r="BG50" i="36" s="1"/>
  <c r="AH50" i="36"/>
  <c r="BF50" i="36" s="1"/>
  <c r="Z50" i="36"/>
  <c r="BD50" i="36" s="1"/>
  <c r="W50" i="36"/>
  <c r="Q50" i="36"/>
  <c r="K50" i="36"/>
  <c r="BA50" i="36" s="1"/>
  <c r="BF49" i="36"/>
  <c r="AW49" i="36"/>
  <c r="BI49" i="36" s="1"/>
  <c r="AT49" i="36"/>
  <c r="BH49" i="36" s="1"/>
  <c r="AN49" i="36"/>
  <c r="BG49" i="36" s="1"/>
  <c r="AH49" i="36"/>
  <c r="Z49" i="36"/>
  <c r="BD49" i="36" s="1"/>
  <c r="W49" i="36"/>
  <c r="BC49" i="36" s="1"/>
  <c r="Q49" i="36"/>
  <c r="BB49" i="36" s="1"/>
  <c r="K49" i="36"/>
  <c r="BA49" i="36" s="1"/>
  <c r="BB48" i="36"/>
  <c r="AW48" i="36"/>
  <c r="BI48" i="36" s="1"/>
  <c r="AT48" i="36"/>
  <c r="BH48" i="36" s="1"/>
  <c r="AN48" i="36"/>
  <c r="BG48" i="36" s="1"/>
  <c r="AH48" i="36"/>
  <c r="BF48" i="36" s="1"/>
  <c r="Z48" i="36"/>
  <c r="BD48" i="36" s="1"/>
  <c r="W48" i="36"/>
  <c r="BC48" i="36" s="1"/>
  <c r="Q48" i="36"/>
  <c r="K48" i="36"/>
  <c r="BA48" i="36" s="1"/>
  <c r="BH47" i="36"/>
  <c r="AW47" i="36"/>
  <c r="BI47" i="36" s="1"/>
  <c r="AT47" i="36"/>
  <c r="AN47" i="36"/>
  <c r="BG47" i="36" s="1"/>
  <c r="AH47" i="36"/>
  <c r="BF47" i="36" s="1"/>
  <c r="Z47" i="36"/>
  <c r="BD47" i="36" s="1"/>
  <c r="W47" i="36"/>
  <c r="BC47" i="36" s="1"/>
  <c r="Q47" i="36"/>
  <c r="BB47" i="36" s="1"/>
  <c r="K47" i="36"/>
  <c r="BA47" i="36" s="1"/>
  <c r="BG46" i="36"/>
  <c r="BF46" i="36"/>
  <c r="AW46" i="36"/>
  <c r="BI46" i="36" s="1"/>
  <c r="AT46" i="36"/>
  <c r="BH46" i="36" s="1"/>
  <c r="AN46" i="36"/>
  <c r="AH46" i="36"/>
  <c r="Z46" i="36"/>
  <c r="BD46" i="36" s="1"/>
  <c r="W46" i="36"/>
  <c r="BC46" i="36" s="1"/>
  <c r="Q46" i="36"/>
  <c r="BB46" i="36" s="1"/>
  <c r="K46" i="36"/>
  <c r="BA46" i="36" s="1"/>
  <c r="BI45" i="36"/>
  <c r="BH45" i="36"/>
  <c r="BB45" i="36"/>
  <c r="AW45" i="36"/>
  <c r="AT45" i="36"/>
  <c r="AN45" i="36"/>
  <c r="BG45" i="36" s="1"/>
  <c r="AH45" i="36"/>
  <c r="BF45" i="36" s="1"/>
  <c r="Z45" i="36"/>
  <c r="BD45" i="36" s="1"/>
  <c r="W45" i="36"/>
  <c r="BC45" i="36" s="1"/>
  <c r="Q45" i="36"/>
  <c r="K45" i="36"/>
  <c r="BA45" i="36" s="1"/>
  <c r="BG44" i="36"/>
  <c r="BF44" i="36"/>
  <c r="AW44" i="36"/>
  <c r="BI44" i="36" s="1"/>
  <c r="AT44" i="36"/>
  <c r="BH44" i="36" s="1"/>
  <c r="AN44" i="36"/>
  <c r="AH44" i="36"/>
  <c r="Z44" i="36"/>
  <c r="BD44" i="36" s="1"/>
  <c r="W44" i="36"/>
  <c r="BC44" i="36" s="1"/>
  <c r="Q44" i="36"/>
  <c r="BB44" i="36" s="1"/>
  <c r="K44" i="36"/>
  <c r="BA44" i="36" s="1"/>
  <c r="BD43" i="36"/>
  <c r="BC43" i="36"/>
  <c r="BB43" i="36"/>
  <c r="AW43" i="36"/>
  <c r="BI43" i="36" s="1"/>
  <c r="AT43" i="36"/>
  <c r="BH43" i="36" s="1"/>
  <c r="AN43" i="36"/>
  <c r="BG43" i="36" s="1"/>
  <c r="AH43" i="36"/>
  <c r="BF43" i="36" s="1"/>
  <c r="Z43" i="36"/>
  <c r="W43" i="36"/>
  <c r="Q43" i="36"/>
  <c r="K43" i="36"/>
  <c r="BA43" i="36" s="1"/>
  <c r="BI42" i="36"/>
  <c r="BH42" i="36"/>
  <c r="AW42" i="36"/>
  <c r="AT42" i="36"/>
  <c r="AN42" i="36"/>
  <c r="BG42" i="36" s="1"/>
  <c r="AH42" i="36"/>
  <c r="BF42" i="36" s="1"/>
  <c r="Z42" i="36"/>
  <c r="BD42" i="36" s="1"/>
  <c r="W42" i="36"/>
  <c r="BC42" i="36" s="1"/>
  <c r="Q42" i="36"/>
  <c r="BB42" i="36" s="1"/>
  <c r="K42" i="36"/>
  <c r="BA42" i="36" s="1"/>
  <c r="BF41" i="36"/>
  <c r="BC41" i="36"/>
  <c r="AW41" i="36"/>
  <c r="BI41" i="36" s="1"/>
  <c r="AT41" i="36"/>
  <c r="BH41" i="36" s="1"/>
  <c r="AN41" i="36"/>
  <c r="BG41" i="36" s="1"/>
  <c r="AH41" i="36"/>
  <c r="Z41" i="36"/>
  <c r="BD41" i="36" s="1"/>
  <c r="W41" i="36"/>
  <c r="Q41" i="36"/>
  <c r="BB41" i="36" s="1"/>
  <c r="K41" i="36"/>
  <c r="BA41" i="36" s="1"/>
  <c r="BD40" i="36"/>
  <c r="AW40" i="36"/>
  <c r="BI40" i="36" s="1"/>
  <c r="AT40" i="36"/>
  <c r="BH40" i="36" s="1"/>
  <c r="AN40" i="36"/>
  <c r="BG40" i="36" s="1"/>
  <c r="AH40" i="36"/>
  <c r="BF40" i="36" s="1"/>
  <c r="Z40" i="36"/>
  <c r="W40" i="36"/>
  <c r="BC40" i="36" s="1"/>
  <c r="Q40" i="36"/>
  <c r="BB40" i="36" s="1"/>
  <c r="K40" i="36"/>
  <c r="BA40" i="36" s="1"/>
  <c r="BH39" i="36"/>
  <c r="BG39" i="36"/>
  <c r="AW39" i="36"/>
  <c r="BI39" i="36" s="1"/>
  <c r="AT39" i="36"/>
  <c r="AN39" i="36"/>
  <c r="AH39" i="36"/>
  <c r="BF39" i="36" s="1"/>
  <c r="BJ39" i="36" s="1"/>
  <c r="AX39" i="36" s="1"/>
  <c r="Z39" i="36"/>
  <c r="BD39" i="36" s="1"/>
  <c r="W39" i="36"/>
  <c r="BC39" i="36" s="1"/>
  <c r="Q39" i="36"/>
  <c r="BB39" i="36" s="1"/>
  <c r="K39" i="36"/>
  <c r="BA39" i="36" s="1"/>
  <c r="AW38" i="36"/>
  <c r="BI38" i="36" s="1"/>
  <c r="AT38" i="36"/>
  <c r="BH38" i="36" s="1"/>
  <c r="AN38" i="36"/>
  <c r="BG38" i="36" s="1"/>
  <c r="AH38" i="36"/>
  <c r="BF38" i="36" s="1"/>
  <c r="Z38" i="36"/>
  <c r="BD38" i="36" s="1"/>
  <c r="W38" i="36"/>
  <c r="BC38" i="36" s="1"/>
  <c r="Q38" i="36"/>
  <c r="BB38" i="36" s="1"/>
  <c r="K38" i="36"/>
  <c r="BA38" i="36" s="1"/>
  <c r="BH37" i="36"/>
  <c r="BG37" i="36"/>
  <c r="AW37" i="36"/>
  <c r="BI37" i="36" s="1"/>
  <c r="AT37" i="36"/>
  <c r="AN37" i="36"/>
  <c r="AH37" i="36"/>
  <c r="BF37" i="36" s="1"/>
  <c r="Z37" i="36"/>
  <c r="BD37" i="36" s="1"/>
  <c r="W37" i="36"/>
  <c r="BC37" i="36" s="1"/>
  <c r="Q37" i="36"/>
  <c r="BB37" i="36" s="1"/>
  <c r="K37" i="36"/>
  <c r="BA37" i="36" s="1"/>
  <c r="BH36" i="36"/>
  <c r="BG36" i="36"/>
  <c r="AW36" i="36"/>
  <c r="BI36" i="36" s="1"/>
  <c r="AT36" i="36"/>
  <c r="AN36" i="36"/>
  <c r="AH36" i="36"/>
  <c r="BF36" i="36" s="1"/>
  <c r="Z36" i="36"/>
  <c r="BD36" i="36" s="1"/>
  <c r="W36" i="36"/>
  <c r="BC36" i="36" s="1"/>
  <c r="Q36" i="36"/>
  <c r="BB36" i="36" s="1"/>
  <c r="K36" i="36"/>
  <c r="BA36" i="36" s="1"/>
  <c r="BI35" i="36"/>
  <c r="BD35" i="36"/>
  <c r="BC35" i="36"/>
  <c r="AW35" i="36"/>
  <c r="AT35" i="36"/>
  <c r="BH35" i="36" s="1"/>
  <c r="AN35" i="36"/>
  <c r="BG35" i="36" s="1"/>
  <c r="AH35" i="36"/>
  <c r="BF35" i="36" s="1"/>
  <c r="Z35" i="36"/>
  <c r="W35" i="36"/>
  <c r="Q35" i="36"/>
  <c r="BB35" i="36" s="1"/>
  <c r="K35" i="36"/>
  <c r="BA35" i="36" s="1"/>
  <c r="AW34" i="36"/>
  <c r="BI34" i="36" s="1"/>
  <c r="AT34" i="36"/>
  <c r="BH34" i="36" s="1"/>
  <c r="AN34" i="36"/>
  <c r="BG34" i="36" s="1"/>
  <c r="AH34" i="36"/>
  <c r="BF34" i="36" s="1"/>
  <c r="Z34" i="36"/>
  <c r="BD34" i="36" s="1"/>
  <c r="W34" i="36"/>
  <c r="BC34" i="36" s="1"/>
  <c r="Q34" i="36"/>
  <c r="BB34" i="36" s="1"/>
  <c r="K34" i="36"/>
  <c r="BA34" i="36" s="1"/>
  <c r="BB33" i="36"/>
  <c r="AW33" i="36"/>
  <c r="BI33" i="36" s="1"/>
  <c r="AT33" i="36"/>
  <c r="BH33" i="36" s="1"/>
  <c r="AN33" i="36"/>
  <c r="BG33" i="36" s="1"/>
  <c r="AH33" i="36"/>
  <c r="BF33" i="36" s="1"/>
  <c r="Z33" i="36"/>
  <c r="BD33" i="36" s="1"/>
  <c r="W33" i="36"/>
  <c r="BC33" i="36" s="1"/>
  <c r="Q33" i="36"/>
  <c r="K33" i="36"/>
  <c r="BA33" i="36" s="1"/>
  <c r="BE33" i="36" s="1"/>
  <c r="BG32" i="36"/>
  <c r="BD32" i="36"/>
  <c r="AW32" i="36"/>
  <c r="BI32" i="36" s="1"/>
  <c r="AT32" i="36"/>
  <c r="BH32" i="36" s="1"/>
  <c r="AN32" i="36"/>
  <c r="AH32" i="36"/>
  <c r="BF32" i="36" s="1"/>
  <c r="Z32" i="36"/>
  <c r="W32" i="36"/>
  <c r="BC32" i="36" s="1"/>
  <c r="Q32" i="36"/>
  <c r="BB32" i="36" s="1"/>
  <c r="K32" i="36"/>
  <c r="BA32" i="36" s="1"/>
  <c r="BH31" i="36"/>
  <c r="AW31" i="36"/>
  <c r="BI31" i="36" s="1"/>
  <c r="AT31" i="36"/>
  <c r="AN31" i="36"/>
  <c r="BG31" i="36" s="1"/>
  <c r="AH31" i="36"/>
  <c r="BF31" i="36" s="1"/>
  <c r="Z31" i="36"/>
  <c r="BD31" i="36" s="1"/>
  <c r="W31" i="36"/>
  <c r="BC31" i="36" s="1"/>
  <c r="Q31" i="36"/>
  <c r="BB31" i="36" s="1"/>
  <c r="K31" i="36"/>
  <c r="BA31" i="36" s="1"/>
  <c r="BI30" i="36"/>
  <c r="BH30" i="36"/>
  <c r="BG30" i="36"/>
  <c r="BF30" i="36"/>
  <c r="AW30" i="36"/>
  <c r="AT30" i="36"/>
  <c r="AN30" i="36"/>
  <c r="AH30" i="36"/>
  <c r="Z30" i="36"/>
  <c r="BD30" i="36" s="1"/>
  <c r="W30" i="36"/>
  <c r="BC30" i="36" s="1"/>
  <c r="Q30" i="36"/>
  <c r="BB30" i="36" s="1"/>
  <c r="K30" i="36"/>
  <c r="BA30" i="36" s="1"/>
  <c r="BC29" i="36"/>
  <c r="BB29" i="36"/>
  <c r="AW29" i="36"/>
  <c r="BI29" i="36" s="1"/>
  <c r="AT29" i="36"/>
  <c r="BH29" i="36" s="1"/>
  <c r="AN29" i="36"/>
  <c r="BG29" i="36" s="1"/>
  <c r="AH29" i="36"/>
  <c r="BF29" i="36" s="1"/>
  <c r="Z29" i="36"/>
  <c r="BD29" i="36" s="1"/>
  <c r="W29" i="36"/>
  <c r="Q29" i="36"/>
  <c r="K29" i="36"/>
  <c r="BA29" i="36" s="1"/>
  <c r="BI28" i="36"/>
  <c r="BH28" i="36"/>
  <c r="BG28" i="36"/>
  <c r="AW28" i="36"/>
  <c r="AT28" i="36"/>
  <c r="AN28" i="36"/>
  <c r="AH28" i="36"/>
  <c r="BF28" i="36" s="1"/>
  <c r="Z28" i="36"/>
  <c r="BD28" i="36" s="1"/>
  <c r="W28" i="36"/>
  <c r="BC28" i="36" s="1"/>
  <c r="Q28" i="36"/>
  <c r="BB28" i="36" s="1"/>
  <c r="K28" i="36"/>
  <c r="BA28" i="36" s="1"/>
  <c r="BD27" i="36"/>
  <c r="BB27" i="36"/>
  <c r="AW27" i="36"/>
  <c r="BI27" i="36" s="1"/>
  <c r="AT27" i="36"/>
  <c r="BH27" i="36" s="1"/>
  <c r="AN27" i="36"/>
  <c r="BG27" i="36" s="1"/>
  <c r="AH27" i="36"/>
  <c r="BF27" i="36" s="1"/>
  <c r="Z27" i="36"/>
  <c r="W27" i="36"/>
  <c r="BC27" i="36" s="1"/>
  <c r="Q27" i="36"/>
  <c r="K27" i="36"/>
  <c r="BA27" i="36" s="1"/>
  <c r="BD26" i="36"/>
  <c r="BC26" i="36"/>
  <c r="BB26" i="36"/>
  <c r="AW26" i="36"/>
  <c r="BI26" i="36" s="1"/>
  <c r="AT26" i="36"/>
  <c r="BH26" i="36" s="1"/>
  <c r="AN26" i="36"/>
  <c r="BG26" i="36" s="1"/>
  <c r="AH26" i="36"/>
  <c r="BF26" i="36" s="1"/>
  <c r="Z26" i="36"/>
  <c r="W26" i="36"/>
  <c r="Q26" i="36"/>
  <c r="K26" i="36"/>
  <c r="BA26" i="36" s="1"/>
  <c r="BG25" i="36"/>
  <c r="BD25" i="36"/>
  <c r="AW25" i="36"/>
  <c r="BI25" i="36" s="1"/>
  <c r="AT25" i="36"/>
  <c r="BH25" i="36" s="1"/>
  <c r="AN25" i="36"/>
  <c r="AH25" i="36"/>
  <c r="BF25" i="36" s="1"/>
  <c r="Z25" i="36"/>
  <c r="W25" i="36"/>
  <c r="BC25" i="36" s="1"/>
  <c r="Q25" i="36"/>
  <c r="BB25" i="36" s="1"/>
  <c r="K25" i="36"/>
  <c r="BA25" i="36" s="1"/>
  <c r="BF24" i="36"/>
  <c r="BD24" i="36"/>
  <c r="BC24" i="36"/>
  <c r="AW24" i="36"/>
  <c r="BI24" i="36" s="1"/>
  <c r="AT24" i="36"/>
  <c r="BH24" i="36" s="1"/>
  <c r="AN24" i="36"/>
  <c r="BG24" i="36" s="1"/>
  <c r="AH24" i="36"/>
  <c r="Z24" i="36"/>
  <c r="W24" i="36"/>
  <c r="Q24" i="36"/>
  <c r="BB24" i="36" s="1"/>
  <c r="K24" i="36"/>
  <c r="BA24" i="36" s="1"/>
  <c r="BH23" i="36"/>
  <c r="BG23" i="36"/>
  <c r="BF23" i="36"/>
  <c r="AW23" i="36"/>
  <c r="BI23" i="36" s="1"/>
  <c r="AT23" i="36"/>
  <c r="AN23" i="36"/>
  <c r="AH23" i="36"/>
  <c r="Z23" i="36"/>
  <c r="BD23" i="36" s="1"/>
  <c r="W23" i="36"/>
  <c r="BC23" i="36" s="1"/>
  <c r="Q23" i="36"/>
  <c r="BB23" i="36" s="1"/>
  <c r="K23" i="36"/>
  <c r="BA23" i="36" s="1"/>
  <c r="BI22" i="36"/>
  <c r="BH22" i="36"/>
  <c r="BG22" i="36"/>
  <c r="AW22" i="36"/>
  <c r="AT22" i="36"/>
  <c r="AN22" i="36"/>
  <c r="AH22" i="36"/>
  <c r="BF22" i="36" s="1"/>
  <c r="Z22" i="36"/>
  <c r="BD22" i="36" s="1"/>
  <c r="W22" i="36"/>
  <c r="BC22" i="36" s="1"/>
  <c r="Q22" i="36"/>
  <c r="BB22" i="36" s="1"/>
  <c r="K22" i="36"/>
  <c r="BA22" i="36" s="1"/>
  <c r="BI21" i="36"/>
  <c r="BC21" i="36"/>
  <c r="AW21" i="36"/>
  <c r="AT21" i="36"/>
  <c r="BH21" i="36" s="1"/>
  <c r="AN21" i="36"/>
  <c r="BG21" i="36" s="1"/>
  <c r="AH21" i="36"/>
  <c r="BF21" i="36" s="1"/>
  <c r="Z21" i="36"/>
  <c r="BD21" i="36" s="1"/>
  <c r="W21" i="36"/>
  <c r="Q21" i="36"/>
  <c r="BB21" i="36" s="1"/>
  <c r="K21" i="36"/>
  <c r="BA21" i="36" s="1"/>
  <c r="BH20" i="36"/>
  <c r="BG20" i="36"/>
  <c r="BB20" i="36"/>
  <c r="AW20" i="36"/>
  <c r="BI20" i="36" s="1"/>
  <c r="AT20" i="36"/>
  <c r="AN20" i="36"/>
  <c r="AH20" i="36"/>
  <c r="BF20" i="36" s="1"/>
  <c r="Z20" i="36"/>
  <c r="BD20" i="36" s="1"/>
  <c r="W20" i="36"/>
  <c r="BC20" i="36" s="1"/>
  <c r="Q20" i="36"/>
  <c r="K20" i="36"/>
  <c r="BA20" i="36" s="1"/>
  <c r="AW19" i="36"/>
  <c r="BI19" i="36" s="1"/>
  <c r="AT19" i="36"/>
  <c r="BH19" i="36" s="1"/>
  <c r="AN19" i="36"/>
  <c r="BG19" i="36" s="1"/>
  <c r="AH19" i="36"/>
  <c r="BF19" i="36" s="1"/>
  <c r="Z19" i="36"/>
  <c r="BD19" i="36" s="1"/>
  <c r="W19" i="36"/>
  <c r="BC19" i="36" s="1"/>
  <c r="Q19" i="36"/>
  <c r="BB19" i="36" s="1"/>
  <c r="K19" i="36"/>
  <c r="BA19" i="36" s="1"/>
  <c r="BI18" i="36"/>
  <c r="AW18" i="36"/>
  <c r="AT18" i="36"/>
  <c r="BH18" i="36" s="1"/>
  <c r="AN18" i="36"/>
  <c r="BG18" i="36" s="1"/>
  <c r="AH18" i="36"/>
  <c r="BF18" i="36" s="1"/>
  <c r="Z18" i="36"/>
  <c r="BD18" i="36" s="1"/>
  <c r="W18" i="36"/>
  <c r="BC18" i="36" s="1"/>
  <c r="Q18" i="36"/>
  <c r="BB18" i="36" s="1"/>
  <c r="K18" i="36"/>
  <c r="BA18" i="36" s="1"/>
  <c r="BF17" i="36"/>
  <c r="BD17" i="36"/>
  <c r="AW17" i="36"/>
  <c r="BI17" i="36" s="1"/>
  <c r="AT17" i="36"/>
  <c r="BH17" i="36" s="1"/>
  <c r="AN17" i="36"/>
  <c r="BG17" i="36" s="1"/>
  <c r="AH17" i="36"/>
  <c r="Z17" i="36"/>
  <c r="W17" i="36"/>
  <c r="BC17" i="36" s="1"/>
  <c r="Q17" i="36"/>
  <c r="BB17" i="36" s="1"/>
  <c r="K17" i="36"/>
  <c r="BA17" i="36" s="1"/>
  <c r="BG16" i="36"/>
  <c r="BF16" i="36"/>
  <c r="AW16" i="36"/>
  <c r="BI16" i="36" s="1"/>
  <c r="AT16" i="36"/>
  <c r="BH16" i="36" s="1"/>
  <c r="AN16" i="36"/>
  <c r="AH16" i="36"/>
  <c r="Z16" i="36"/>
  <c r="BD16" i="36" s="1"/>
  <c r="W16" i="36"/>
  <c r="BC16" i="36" s="1"/>
  <c r="Q16" i="36"/>
  <c r="BB16" i="36" s="1"/>
  <c r="K16" i="36"/>
  <c r="BA16" i="36" s="1"/>
  <c r="BG15" i="36"/>
  <c r="AW15" i="36"/>
  <c r="BI15" i="36" s="1"/>
  <c r="AT15" i="36"/>
  <c r="BH15" i="36" s="1"/>
  <c r="AN15" i="36"/>
  <c r="AH15" i="36"/>
  <c r="BF15" i="36" s="1"/>
  <c r="Z15" i="36"/>
  <c r="BD15" i="36" s="1"/>
  <c r="W15" i="36"/>
  <c r="BC15" i="36" s="1"/>
  <c r="Q15" i="36"/>
  <c r="BB15" i="36" s="1"/>
  <c r="K15" i="36"/>
  <c r="BA15" i="36" s="1"/>
  <c r="BE15" i="36" s="1"/>
  <c r="BI14" i="36"/>
  <c r="BG14" i="36"/>
  <c r="BF14" i="36"/>
  <c r="AW14" i="36"/>
  <c r="AT14" i="36"/>
  <c r="BH14" i="36" s="1"/>
  <c r="AN14" i="36"/>
  <c r="AH14" i="36"/>
  <c r="Z14" i="36"/>
  <c r="BD14" i="36" s="1"/>
  <c r="W14" i="36"/>
  <c r="BC14" i="36" s="1"/>
  <c r="Q14" i="36"/>
  <c r="BB14" i="36" s="1"/>
  <c r="K14" i="36"/>
  <c r="BA14" i="36" s="1"/>
  <c r="BH13" i="36"/>
  <c r="BB13" i="36"/>
  <c r="AW13" i="36"/>
  <c r="BI13" i="36" s="1"/>
  <c r="AT13" i="36"/>
  <c r="AN13" i="36"/>
  <c r="BG13" i="36" s="1"/>
  <c r="AH13" i="36"/>
  <c r="BF13" i="36" s="1"/>
  <c r="Z13" i="36"/>
  <c r="BD13" i="36" s="1"/>
  <c r="W13" i="36"/>
  <c r="BC13" i="36" s="1"/>
  <c r="Q13" i="36"/>
  <c r="K13" i="36"/>
  <c r="BA13" i="36" s="1"/>
  <c r="AX12" i="36"/>
  <c r="AA12" i="36"/>
  <c r="AW72" i="34"/>
  <c r="BI72" i="34" s="1"/>
  <c r="AT72" i="34"/>
  <c r="BH72" i="34" s="1"/>
  <c r="AN72" i="34"/>
  <c r="BG72" i="34" s="1"/>
  <c r="AH72" i="34"/>
  <c r="BF72" i="34" s="1"/>
  <c r="Z72" i="34"/>
  <c r="BD72" i="34" s="1"/>
  <c r="W72" i="34"/>
  <c r="BC72" i="34" s="1"/>
  <c r="Q72" i="34"/>
  <c r="BB72" i="34" s="1"/>
  <c r="K72" i="34"/>
  <c r="BA72" i="34" s="1"/>
  <c r="BH71" i="34"/>
  <c r="AW71" i="34"/>
  <c r="BI71" i="34" s="1"/>
  <c r="AT71" i="34"/>
  <c r="AN71" i="34"/>
  <c r="BG71" i="34" s="1"/>
  <c r="AH71" i="34"/>
  <c r="BF71" i="34" s="1"/>
  <c r="Z71" i="34"/>
  <c r="BD71" i="34" s="1"/>
  <c r="W71" i="34"/>
  <c r="BC71" i="34" s="1"/>
  <c r="Q71" i="34"/>
  <c r="BB71" i="34" s="1"/>
  <c r="K71" i="34"/>
  <c r="BA71" i="34" s="1"/>
  <c r="BH70" i="34"/>
  <c r="AW70" i="34"/>
  <c r="BI70" i="34" s="1"/>
  <c r="AT70" i="34"/>
  <c r="AN70" i="34"/>
  <c r="BG70" i="34" s="1"/>
  <c r="AH70" i="34"/>
  <c r="BF70" i="34" s="1"/>
  <c r="Z70" i="34"/>
  <c r="BD70" i="34" s="1"/>
  <c r="W70" i="34"/>
  <c r="BC70" i="34" s="1"/>
  <c r="Q70" i="34"/>
  <c r="BB70" i="34" s="1"/>
  <c r="K70" i="34"/>
  <c r="BA70" i="34" s="1"/>
  <c r="BI69" i="34"/>
  <c r="BH69" i="34"/>
  <c r="BG69" i="34"/>
  <c r="AW69" i="34"/>
  <c r="AT69" i="34"/>
  <c r="AN69" i="34"/>
  <c r="AH69" i="34"/>
  <c r="BF69" i="34" s="1"/>
  <c r="Z69" i="34"/>
  <c r="BD69" i="34" s="1"/>
  <c r="W69" i="34"/>
  <c r="BC69" i="34" s="1"/>
  <c r="Q69" i="34"/>
  <c r="BB69" i="34" s="1"/>
  <c r="K69" i="34"/>
  <c r="BA69" i="34" s="1"/>
  <c r="BI68" i="34"/>
  <c r="AW68" i="34"/>
  <c r="AT68" i="34"/>
  <c r="BH68" i="34" s="1"/>
  <c r="AN68" i="34"/>
  <c r="BG68" i="34" s="1"/>
  <c r="AH68" i="34"/>
  <c r="BF68" i="34" s="1"/>
  <c r="Z68" i="34"/>
  <c r="BD68" i="34" s="1"/>
  <c r="W68" i="34"/>
  <c r="BC68" i="34" s="1"/>
  <c r="Q68" i="34"/>
  <c r="BB68" i="34" s="1"/>
  <c r="K68" i="34"/>
  <c r="BA68" i="34" s="1"/>
  <c r="BD67" i="34"/>
  <c r="BC67" i="34"/>
  <c r="AW67" i="34"/>
  <c r="BI67" i="34" s="1"/>
  <c r="AT67" i="34"/>
  <c r="BH67" i="34" s="1"/>
  <c r="AN67" i="34"/>
  <c r="BG67" i="34" s="1"/>
  <c r="AH67" i="34"/>
  <c r="BF67" i="34" s="1"/>
  <c r="Z67" i="34"/>
  <c r="W67" i="34"/>
  <c r="Q67" i="34"/>
  <c r="BB67" i="34" s="1"/>
  <c r="K67" i="34"/>
  <c r="BA67" i="34" s="1"/>
  <c r="BI66" i="34"/>
  <c r="BD66" i="34"/>
  <c r="BC66" i="34"/>
  <c r="AW66" i="34"/>
  <c r="AT66" i="34"/>
  <c r="BH66" i="34" s="1"/>
  <c r="AN66" i="34"/>
  <c r="BG66" i="34" s="1"/>
  <c r="AH66" i="34"/>
  <c r="BF66" i="34" s="1"/>
  <c r="Z66" i="34"/>
  <c r="W66" i="34"/>
  <c r="Q66" i="34"/>
  <c r="BB66" i="34" s="1"/>
  <c r="K66" i="34"/>
  <c r="BA66" i="34" s="1"/>
  <c r="BF65" i="34"/>
  <c r="BC65" i="34"/>
  <c r="AW65" i="34"/>
  <c r="BI65" i="34" s="1"/>
  <c r="AT65" i="34"/>
  <c r="BH65" i="34" s="1"/>
  <c r="AN65" i="34"/>
  <c r="BG65" i="34" s="1"/>
  <c r="AH65" i="34"/>
  <c r="Z65" i="34"/>
  <c r="BD65" i="34" s="1"/>
  <c r="W65" i="34"/>
  <c r="Q65" i="34"/>
  <c r="BB65" i="34" s="1"/>
  <c r="K65" i="34"/>
  <c r="BA65" i="34" s="1"/>
  <c r="AW64" i="34"/>
  <c r="BI64" i="34" s="1"/>
  <c r="AT64" i="34"/>
  <c r="BH64" i="34" s="1"/>
  <c r="AN64" i="34"/>
  <c r="BG64" i="34" s="1"/>
  <c r="AH64" i="34"/>
  <c r="BF64" i="34" s="1"/>
  <c r="Z64" i="34"/>
  <c r="BD64" i="34" s="1"/>
  <c r="W64" i="34"/>
  <c r="BC64" i="34" s="1"/>
  <c r="Q64" i="34"/>
  <c r="BB64" i="34" s="1"/>
  <c r="K64" i="34"/>
  <c r="BA64" i="34" s="1"/>
  <c r="AW63" i="34"/>
  <c r="BI63" i="34" s="1"/>
  <c r="AT63" i="34"/>
  <c r="BH63" i="34" s="1"/>
  <c r="AN63" i="34"/>
  <c r="BG63" i="34" s="1"/>
  <c r="AH63" i="34"/>
  <c r="BF63" i="34" s="1"/>
  <c r="Z63" i="34"/>
  <c r="BD63" i="34" s="1"/>
  <c r="W63" i="34"/>
  <c r="BC63" i="34" s="1"/>
  <c r="Q63" i="34"/>
  <c r="BB63" i="34" s="1"/>
  <c r="K63" i="34"/>
  <c r="BA63" i="34" s="1"/>
  <c r="AW62" i="34"/>
  <c r="BI62" i="34" s="1"/>
  <c r="AT62" i="34"/>
  <c r="BH62" i="34" s="1"/>
  <c r="AN62" i="34"/>
  <c r="BG62" i="34" s="1"/>
  <c r="AH62" i="34"/>
  <c r="BF62" i="34" s="1"/>
  <c r="Z62" i="34"/>
  <c r="BD62" i="34" s="1"/>
  <c r="W62" i="34"/>
  <c r="BC62" i="34" s="1"/>
  <c r="Q62" i="34"/>
  <c r="BB62" i="34" s="1"/>
  <c r="K62" i="34"/>
  <c r="BA62" i="34" s="1"/>
  <c r="AW61" i="34"/>
  <c r="BI61" i="34" s="1"/>
  <c r="AT61" i="34"/>
  <c r="BH61" i="34" s="1"/>
  <c r="AN61" i="34"/>
  <c r="BG61" i="34" s="1"/>
  <c r="AH61" i="34"/>
  <c r="BF61" i="34" s="1"/>
  <c r="Z61" i="34"/>
  <c r="BD61" i="34" s="1"/>
  <c r="W61" i="34"/>
  <c r="BC61" i="34" s="1"/>
  <c r="Q61" i="34"/>
  <c r="BB61" i="34" s="1"/>
  <c r="K61" i="34"/>
  <c r="BA61" i="34" s="1"/>
  <c r="BI60" i="34"/>
  <c r="BG60" i="34"/>
  <c r="BB60" i="34"/>
  <c r="AW60" i="34"/>
  <c r="AT60" i="34"/>
  <c r="BH60" i="34" s="1"/>
  <c r="AN60" i="34"/>
  <c r="AH60" i="34"/>
  <c r="BF60" i="34" s="1"/>
  <c r="Z60" i="34"/>
  <c r="BD60" i="34" s="1"/>
  <c r="W60" i="34"/>
  <c r="BC60" i="34" s="1"/>
  <c r="Q60" i="34"/>
  <c r="K60" i="34"/>
  <c r="BA60" i="34" s="1"/>
  <c r="AW59" i="34"/>
  <c r="BI59" i="34" s="1"/>
  <c r="AT59" i="34"/>
  <c r="BH59" i="34" s="1"/>
  <c r="AN59" i="34"/>
  <c r="BG59" i="34" s="1"/>
  <c r="AH59" i="34"/>
  <c r="BF59" i="34" s="1"/>
  <c r="Z59" i="34"/>
  <c r="BD59" i="34" s="1"/>
  <c r="W59" i="34"/>
  <c r="BC59" i="34" s="1"/>
  <c r="Q59" i="34"/>
  <c r="BB59" i="34" s="1"/>
  <c r="K59" i="34"/>
  <c r="BA59" i="34" s="1"/>
  <c r="AW58" i="34"/>
  <c r="BI58" i="34" s="1"/>
  <c r="AT58" i="34"/>
  <c r="BH58" i="34" s="1"/>
  <c r="AN58" i="34"/>
  <c r="BG58" i="34" s="1"/>
  <c r="AH58" i="34"/>
  <c r="BF58" i="34" s="1"/>
  <c r="Z58" i="34"/>
  <c r="BD58" i="34" s="1"/>
  <c r="W58" i="34"/>
  <c r="BC58" i="34" s="1"/>
  <c r="Q58" i="34"/>
  <c r="BB58" i="34" s="1"/>
  <c r="K58" i="34"/>
  <c r="BA58" i="34" s="1"/>
  <c r="AW57" i="34"/>
  <c r="BI57" i="34" s="1"/>
  <c r="AT57" i="34"/>
  <c r="BH57" i="34" s="1"/>
  <c r="AN57" i="34"/>
  <c r="BG57" i="34" s="1"/>
  <c r="AH57" i="34"/>
  <c r="BF57" i="34" s="1"/>
  <c r="Z57" i="34"/>
  <c r="BD57" i="34" s="1"/>
  <c r="W57" i="34"/>
  <c r="BC57" i="34" s="1"/>
  <c r="Q57" i="34"/>
  <c r="BB57" i="34" s="1"/>
  <c r="K57" i="34"/>
  <c r="BA57" i="34" s="1"/>
  <c r="BD56" i="34"/>
  <c r="BC56" i="34"/>
  <c r="AW56" i="34"/>
  <c r="BI56" i="34" s="1"/>
  <c r="AT56" i="34"/>
  <c r="BH56" i="34" s="1"/>
  <c r="AN56" i="34"/>
  <c r="BG56" i="34" s="1"/>
  <c r="AH56" i="34"/>
  <c r="BF56" i="34" s="1"/>
  <c r="Z56" i="34"/>
  <c r="W56" i="34"/>
  <c r="Q56" i="34"/>
  <c r="BB56" i="34" s="1"/>
  <c r="K56" i="34"/>
  <c r="BA56" i="34" s="1"/>
  <c r="BH55" i="34"/>
  <c r="BG55" i="34"/>
  <c r="AW55" i="34"/>
  <c r="BI55" i="34" s="1"/>
  <c r="AT55" i="34"/>
  <c r="AN55" i="34"/>
  <c r="AH55" i="34"/>
  <c r="BF55" i="34" s="1"/>
  <c r="Z55" i="34"/>
  <c r="BD55" i="34" s="1"/>
  <c r="W55" i="34"/>
  <c r="BC55" i="34" s="1"/>
  <c r="Q55" i="34"/>
  <c r="BB55" i="34" s="1"/>
  <c r="K55" i="34"/>
  <c r="BA55" i="34" s="1"/>
  <c r="BH54" i="34"/>
  <c r="BG54" i="34"/>
  <c r="AW54" i="34"/>
  <c r="BI54" i="34" s="1"/>
  <c r="AT54" i="34"/>
  <c r="AN54" i="34"/>
  <c r="AH54" i="34"/>
  <c r="BF54" i="34" s="1"/>
  <c r="Z54" i="34"/>
  <c r="BD54" i="34" s="1"/>
  <c r="W54" i="34"/>
  <c r="BC54" i="34" s="1"/>
  <c r="Q54" i="34"/>
  <c r="BB54" i="34" s="1"/>
  <c r="K54" i="34"/>
  <c r="BA54" i="34" s="1"/>
  <c r="BI53" i="34"/>
  <c r="AW53" i="34"/>
  <c r="AT53" i="34"/>
  <c r="BH53" i="34" s="1"/>
  <c r="AN53" i="34"/>
  <c r="BG53" i="34" s="1"/>
  <c r="AH53" i="34"/>
  <c r="BF53" i="34" s="1"/>
  <c r="Z53" i="34"/>
  <c r="BD53" i="34" s="1"/>
  <c r="W53" i="34"/>
  <c r="BC53" i="34" s="1"/>
  <c r="Q53" i="34"/>
  <c r="BB53" i="34" s="1"/>
  <c r="K53" i="34"/>
  <c r="BA53" i="34" s="1"/>
  <c r="BI52" i="34"/>
  <c r="BG52" i="34"/>
  <c r="AW52" i="34"/>
  <c r="AT52" i="34"/>
  <c r="BH52" i="34" s="1"/>
  <c r="AN52" i="34"/>
  <c r="AH52" i="34"/>
  <c r="BF52" i="34" s="1"/>
  <c r="Z52" i="34"/>
  <c r="BD52" i="34" s="1"/>
  <c r="W52" i="34"/>
  <c r="BC52" i="34" s="1"/>
  <c r="Q52" i="34"/>
  <c r="BB52" i="34" s="1"/>
  <c r="K52" i="34"/>
  <c r="BA52" i="34" s="1"/>
  <c r="BC51" i="34"/>
  <c r="AW51" i="34"/>
  <c r="BI51" i="34" s="1"/>
  <c r="AT51" i="34"/>
  <c r="BH51" i="34" s="1"/>
  <c r="AN51" i="34"/>
  <c r="BG51" i="34" s="1"/>
  <c r="AH51" i="34"/>
  <c r="BF51" i="34" s="1"/>
  <c r="Z51" i="34"/>
  <c r="BD51" i="34" s="1"/>
  <c r="W51" i="34"/>
  <c r="Q51" i="34"/>
  <c r="BB51" i="34" s="1"/>
  <c r="K51" i="34"/>
  <c r="BA51" i="34" s="1"/>
  <c r="BD50" i="34"/>
  <c r="BC50" i="34"/>
  <c r="AW50" i="34"/>
  <c r="BI50" i="34" s="1"/>
  <c r="AT50" i="34"/>
  <c r="BH50" i="34" s="1"/>
  <c r="AN50" i="34"/>
  <c r="BG50" i="34" s="1"/>
  <c r="AH50" i="34"/>
  <c r="BF50" i="34" s="1"/>
  <c r="Z50" i="34"/>
  <c r="W50" i="34"/>
  <c r="Q50" i="34"/>
  <c r="BB50" i="34" s="1"/>
  <c r="K50" i="34"/>
  <c r="BA50" i="34" s="1"/>
  <c r="BF49" i="34"/>
  <c r="AW49" i="34"/>
  <c r="BI49" i="34" s="1"/>
  <c r="AT49" i="34"/>
  <c r="BH49" i="34" s="1"/>
  <c r="AN49" i="34"/>
  <c r="BG49" i="34" s="1"/>
  <c r="AH49" i="34"/>
  <c r="Z49" i="34"/>
  <c r="BD49" i="34" s="1"/>
  <c r="W49" i="34"/>
  <c r="BC49" i="34" s="1"/>
  <c r="Q49" i="34"/>
  <c r="BB49" i="34" s="1"/>
  <c r="K49" i="34"/>
  <c r="BA49" i="34" s="1"/>
  <c r="BC48" i="34"/>
  <c r="AW48" i="34"/>
  <c r="BI48" i="34" s="1"/>
  <c r="AT48" i="34"/>
  <c r="BH48" i="34" s="1"/>
  <c r="AN48" i="34"/>
  <c r="BG48" i="34" s="1"/>
  <c r="AH48" i="34"/>
  <c r="BF48" i="34" s="1"/>
  <c r="Z48" i="34"/>
  <c r="BD48" i="34" s="1"/>
  <c r="W48" i="34"/>
  <c r="Q48" i="34"/>
  <c r="BB48" i="34" s="1"/>
  <c r="K48" i="34"/>
  <c r="BA48" i="34" s="1"/>
  <c r="BH47" i="34"/>
  <c r="BG47" i="34"/>
  <c r="AW47" i="34"/>
  <c r="BI47" i="34" s="1"/>
  <c r="AT47" i="34"/>
  <c r="AN47" i="34"/>
  <c r="AH47" i="34"/>
  <c r="BF47" i="34" s="1"/>
  <c r="Z47" i="34"/>
  <c r="BD47" i="34" s="1"/>
  <c r="W47" i="34"/>
  <c r="BC47" i="34" s="1"/>
  <c r="Q47" i="34"/>
  <c r="BB47" i="34" s="1"/>
  <c r="K47" i="34"/>
  <c r="BA47" i="34" s="1"/>
  <c r="BG46" i="34"/>
  <c r="AW46" i="34"/>
  <c r="BI46" i="34" s="1"/>
  <c r="AT46" i="34"/>
  <c r="BH46" i="34" s="1"/>
  <c r="AN46" i="34"/>
  <c r="AH46" i="34"/>
  <c r="BF46" i="34" s="1"/>
  <c r="Z46" i="34"/>
  <c r="BD46" i="34" s="1"/>
  <c r="W46" i="34"/>
  <c r="BC46" i="34" s="1"/>
  <c r="Q46" i="34"/>
  <c r="BB46" i="34" s="1"/>
  <c r="K46" i="34"/>
  <c r="BA46" i="34" s="1"/>
  <c r="AW45" i="34"/>
  <c r="BI45" i="34" s="1"/>
  <c r="AT45" i="34"/>
  <c r="BH45" i="34" s="1"/>
  <c r="AN45" i="34"/>
  <c r="BG45" i="34" s="1"/>
  <c r="AH45" i="34"/>
  <c r="BF45" i="34" s="1"/>
  <c r="Z45" i="34"/>
  <c r="BD45" i="34" s="1"/>
  <c r="W45" i="34"/>
  <c r="BC45" i="34" s="1"/>
  <c r="Q45" i="34"/>
  <c r="BB45" i="34" s="1"/>
  <c r="K45" i="34"/>
  <c r="BA45" i="34" s="1"/>
  <c r="BG44" i="34"/>
  <c r="AW44" i="34"/>
  <c r="BI44" i="34" s="1"/>
  <c r="AT44" i="34"/>
  <c r="BH44" i="34" s="1"/>
  <c r="AN44" i="34"/>
  <c r="AH44" i="34"/>
  <c r="BF44" i="34" s="1"/>
  <c r="Z44" i="34"/>
  <c r="BD44" i="34" s="1"/>
  <c r="W44" i="34"/>
  <c r="BC44" i="34" s="1"/>
  <c r="Q44" i="34"/>
  <c r="BB44" i="34" s="1"/>
  <c r="K44" i="34"/>
  <c r="BA44" i="34" s="1"/>
  <c r="BI43" i="34"/>
  <c r="BD43" i="34"/>
  <c r="BB43" i="34"/>
  <c r="AW43" i="34"/>
  <c r="AT43" i="34"/>
  <c r="BH43" i="34" s="1"/>
  <c r="AN43" i="34"/>
  <c r="BG43" i="34" s="1"/>
  <c r="AH43" i="34"/>
  <c r="BF43" i="34" s="1"/>
  <c r="Z43" i="34"/>
  <c r="W43" i="34"/>
  <c r="BC43" i="34" s="1"/>
  <c r="Q43" i="34"/>
  <c r="K43" i="34"/>
  <c r="BA43" i="34" s="1"/>
  <c r="BD42" i="34"/>
  <c r="BC42" i="34"/>
  <c r="BB42" i="34"/>
  <c r="AW42" i="34"/>
  <c r="BI42" i="34" s="1"/>
  <c r="AT42" i="34"/>
  <c r="BH42" i="34" s="1"/>
  <c r="AN42" i="34"/>
  <c r="BG42" i="34" s="1"/>
  <c r="AH42" i="34"/>
  <c r="BF42" i="34" s="1"/>
  <c r="Z42" i="34"/>
  <c r="W42" i="34"/>
  <c r="Q42" i="34"/>
  <c r="K42" i="34"/>
  <c r="BA42" i="34" s="1"/>
  <c r="BF41" i="34"/>
  <c r="AW41" i="34"/>
  <c r="BI41" i="34" s="1"/>
  <c r="AT41" i="34"/>
  <c r="BH41" i="34" s="1"/>
  <c r="AN41" i="34"/>
  <c r="BG41" i="34" s="1"/>
  <c r="AH41" i="34"/>
  <c r="Z41" i="34"/>
  <c r="BD41" i="34" s="1"/>
  <c r="W41" i="34"/>
  <c r="BC41" i="34" s="1"/>
  <c r="Q41" i="34"/>
  <c r="BB41" i="34" s="1"/>
  <c r="K41" i="34"/>
  <c r="BA41" i="34" s="1"/>
  <c r="BD40" i="34"/>
  <c r="BC40" i="34"/>
  <c r="AW40" i="34"/>
  <c r="BI40" i="34" s="1"/>
  <c r="AT40" i="34"/>
  <c r="BH40" i="34" s="1"/>
  <c r="AN40" i="34"/>
  <c r="BG40" i="34" s="1"/>
  <c r="AH40" i="34"/>
  <c r="BF40" i="34" s="1"/>
  <c r="Z40" i="34"/>
  <c r="W40" i="34"/>
  <c r="Q40" i="34"/>
  <c r="BB40" i="34" s="1"/>
  <c r="K40" i="34"/>
  <c r="BA40" i="34" s="1"/>
  <c r="BF39" i="34"/>
  <c r="AW39" i="34"/>
  <c r="BI39" i="34" s="1"/>
  <c r="AT39" i="34"/>
  <c r="BH39" i="34" s="1"/>
  <c r="AN39" i="34"/>
  <c r="BG39" i="34" s="1"/>
  <c r="AH39" i="34"/>
  <c r="Z39" i="34"/>
  <c r="BD39" i="34" s="1"/>
  <c r="W39" i="34"/>
  <c r="BC39" i="34" s="1"/>
  <c r="BE39" i="34" s="1"/>
  <c r="Q39" i="34"/>
  <c r="BB39" i="34" s="1"/>
  <c r="K39" i="34"/>
  <c r="BA39" i="34" s="1"/>
  <c r="BG38" i="34"/>
  <c r="BF38" i="34"/>
  <c r="AW38" i="34"/>
  <c r="BI38" i="34" s="1"/>
  <c r="AT38" i="34"/>
  <c r="BH38" i="34" s="1"/>
  <c r="AN38" i="34"/>
  <c r="AH38" i="34"/>
  <c r="Z38" i="34"/>
  <c r="BD38" i="34" s="1"/>
  <c r="W38" i="34"/>
  <c r="BC38" i="34" s="1"/>
  <c r="Q38" i="34"/>
  <c r="BB38" i="34" s="1"/>
  <c r="K38" i="34"/>
  <c r="BA38" i="34" s="1"/>
  <c r="BH37" i="34"/>
  <c r="BG37" i="34"/>
  <c r="AW37" i="34"/>
  <c r="BI37" i="34" s="1"/>
  <c r="AT37" i="34"/>
  <c r="AN37" i="34"/>
  <c r="AH37" i="34"/>
  <c r="BF37" i="34" s="1"/>
  <c r="Z37" i="34"/>
  <c r="BD37" i="34" s="1"/>
  <c r="W37" i="34"/>
  <c r="BC37" i="34" s="1"/>
  <c r="Q37" i="34"/>
  <c r="BB37" i="34" s="1"/>
  <c r="K37" i="34"/>
  <c r="BA37" i="34" s="1"/>
  <c r="BI36" i="34"/>
  <c r="BB36" i="34"/>
  <c r="AW36" i="34"/>
  <c r="AT36" i="34"/>
  <c r="BH36" i="34" s="1"/>
  <c r="AN36" i="34"/>
  <c r="BG36" i="34" s="1"/>
  <c r="AH36" i="34"/>
  <c r="BF36" i="34" s="1"/>
  <c r="Z36" i="34"/>
  <c r="BD36" i="34" s="1"/>
  <c r="W36" i="34"/>
  <c r="BC36" i="34" s="1"/>
  <c r="Q36" i="34"/>
  <c r="K36" i="34"/>
  <c r="BA36" i="34" s="1"/>
  <c r="BI35" i="34"/>
  <c r="BF35" i="34"/>
  <c r="AW35" i="34"/>
  <c r="AT35" i="34"/>
  <c r="BH35" i="34" s="1"/>
  <c r="AN35" i="34"/>
  <c r="BG35" i="34" s="1"/>
  <c r="AH35" i="34"/>
  <c r="Z35" i="34"/>
  <c r="BD35" i="34" s="1"/>
  <c r="W35" i="34"/>
  <c r="BC35" i="34" s="1"/>
  <c r="Q35" i="34"/>
  <c r="BB35" i="34" s="1"/>
  <c r="K35" i="34"/>
  <c r="BA35" i="34" s="1"/>
  <c r="BB34" i="34"/>
  <c r="AW34" i="34"/>
  <c r="BI34" i="34" s="1"/>
  <c r="AT34" i="34"/>
  <c r="BH34" i="34" s="1"/>
  <c r="AN34" i="34"/>
  <c r="BG34" i="34" s="1"/>
  <c r="AH34" i="34"/>
  <c r="BF34" i="34" s="1"/>
  <c r="Z34" i="34"/>
  <c r="BD34" i="34" s="1"/>
  <c r="W34" i="34"/>
  <c r="BC34" i="34" s="1"/>
  <c r="Q34" i="34"/>
  <c r="K34" i="34"/>
  <c r="BA34" i="34" s="1"/>
  <c r="BH33" i="34"/>
  <c r="BD33" i="34"/>
  <c r="AW33" i="34"/>
  <c r="BI33" i="34" s="1"/>
  <c r="AT33" i="34"/>
  <c r="AN33" i="34"/>
  <c r="BG33" i="34" s="1"/>
  <c r="AH33" i="34"/>
  <c r="BF33" i="34" s="1"/>
  <c r="Z33" i="34"/>
  <c r="W33" i="34"/>
  <c r="BC33" i="34" s="1"/>
  <c r="Q33" i="34"/>
  <c r="BB33" i="34" s="1"/>
  <c r="K33" i="34"/>
  <c r="BA33" i="34" s="1"/>
  <c r="BI32" i="34"/>
  <c r="BB32" i="34"/>
  <c r="AW32" i="34"/>
  <c r="AT32" i="34"/>
  <c r="BH32" i="34" s="1"/>
  <c r="AN32" i="34"/>
  <c r="BG32" i="34" s="1"/>
  <c r="AH32" i="34"/>
  <c r="BF32" i="34" s="1"/>
  <c r="Z32" i="34"/>
  <c r="BD32" i="34" s="1"/>
  <c r="W32" i="34"/>
  <c r="BC32" i="34" s="1"/>
  <c r="Q32" i="34"/>
  <c r="K32" i="34"/>
  <c r="BA32" i="34" s="1"/>
  <c r="AW31" i="34"/>
  <c r="BI31" i="34" s="1"/>
  <c r="AT31" i="34"/>
  <c r="BH31" i="34" s="1"/>
  <c r="BJ31" i="34" s="1"/>
  <c r="AX31" i="34" s="1"/>
  <c r="AN31" i="34"/>
  <c r="BG31" i="34" s="1"/>
  <c r="AH31" i="34"/>
  <c r="BF31" i="34" s="1"/>
  <c r="Z31" i="34"/>
  <c r="BD31" i="34" s="1"/>
  <c r="W31" i="34"/>
  <c r="BC31" i="34" s="1"/>
  <c r="Q31" i="34"/>
  <c r="BB31" i="34" s="1"/>
  <c r="K31" i="34"/>
  <c r="BA31" i="34" s="1"/>
  <c r="BH30" i="34"/>
  <c r="BD30" i="34"/>
  <c r="AW30" i="34"/>
  <c r="BI30" i="34" s="1"/>
  <c r="AT30" i="34"/>
  <c r="AN30" i="34"/>
  <c r="BG30" i="34" s="1"/>
  <c r="AH30" i="34"/>
  <c r="BF30" i="34" s="1"/>
  <c r="Z30" i="34"/>
  <c r="W30" i="34"/>
  <c r="BC30" i="34" s="1"/>
  <c r="Q30" i="34"/>
  <c r="BB30" i="34" s="1"/>
  <c r="K30" i="34"/>
  <c r="BA30" i="34" s="1"/>
  <c r="BG29" i="34"/>
  <c r="BF29" i="34"/>
  <c r="AW29" i="34"/>
  <c r="BI29" i="34" s="1"/>
  <c r="AT29" i="34"/>
  <c r="BH29" i="34" s="1"/>
  <c r="AN29" i="34"/>
  <c r="AH29" i="34"/>
  <c r="Z29" i="34"/>
  <c r="BD29" i="34" s="1"/>
  <c r="W29" i="34"/>
  <c r="BC29" i="34" s="1"/>
  <c r="Q29" i="34"/>
  <c r="BB29" i="34" s="1"/>
  <c r="K29" i="34"/>
  <c r="BA29" i="34" s="1"/>
  <c r="AW28" i="34"/>
  <c r="BI28" i="34" s="1"/>
  <c r="AT28" i="34"/>
  <c r="BH28" i="34" s="1"/>
  <c r="AN28" i="34"/>
  <c r="BG28" i="34" s="1"/>
  <c r="AH28" i="34"/>
  <c r="BF28" i="34" s="1"/>
  <c r="Z28" i="34"/>
  <c r="BD28" i="34" s="1"/>
  <c r="W28" i="34"/>
  <c r="BC28" i="34" s="1"/>
  <c r="Q28" i="34"/>
  <c r="BB28" i="34" s="1"/>
  <c r="K28" i="34"/>
  <c r="BA28" i="34" s="1"/>
  <c r="BH27" i="34"/>
  <c r="AW27" i="34"/>
  <c r="BI27" i="34" s="1"/>
  <c r="AT27" i="34"/>
  <c r="AN27" i="34"/>
  <c r="BG27" i="34" s="1"/>
  <c r="AH27" i="34"/>
  <c r="BF27" i="34" s="1"/>
  <c r="Z27" i="34"/>
  <c r="BD27" i="34" s="1"/>
  <c r="W27" i="34"/>
  <c r="BC27" i="34" s="1"/>
  <c r="Q27" i="34"/>
  <c r="BB27" i="34" s="1"/>
  <c r="K27" i="34"/>
  <c r="BA27" i="34" s="1"/>
  <c r="BH26" i="34"/>
  <c r="BD26" i="34"/>
  <c r="AW26" i="34"/>
  <c r="BI26" i="34" s="1"/>
  <c r="AT26" i="34"/>
  <c r="AN26" i="34"/>
  <c r="BG26" i="34" s="1"/>
  <c r="AH26" i="34"/>
  <c r="BF26" i="34" s="1"/>
  <c r="Z26" i="34"/>
  <c r="W26" i="34"/>
  <c r="BC26" i="34" s="1"/>
  <c r="Q26" i="34"/>
  <c r="BB26" i="34" s="1"/>
  <c r="K26" i="34"/>
  <c r="BA26" i="34" s="1"/>
  <c r="BI25" i="34"/>
  <c r="BH25" i="34"/>
  <c r="BB25" i="34"/>
  <c r="AW25" i="34"/>
  <c r="AT25" i="34"/>
  <c r="AN25" i="34"/>
  <c r="BG25" i="34" s="1"/>
  <c r="AH25" i="34"/>
  <c r="BF25" i="34" s="1"/>
  <c r="Z25" i="34"/>
  <c r="BD25" i="34" s="1"/>
  <c r="W25" i="34"/>
  <c r="BC25" i="34" s="1"/>
  <c r="Q25" i="34"/>
  <c r="K25" i="34"/>
  <c r="BA25" i="34" s="1"/>
  <c r="BI24" i="34"/>
  <c r="AW24" i="34"/>
  <c r="AT24" i="34"/>
  <c r="BH24" i="34" s="1"/>
  <c r="AN24" i="34"/>
  <c r="BG24" i="34" s="1"/>
  <c r="AH24" i="34"/>
  <c r="BF24" i="34" s="1"/>
  <c r="Z24" i="34"/>
  <c r="BD24" i="34" s="1"/>
  <c r="W24" i="34"/>
  <c r="BC24" i="34" s="1"/>
  <c r="Q24" i="34"/>
  <c r="BB24" i="34" s="1"/>
  <c r="K24" i="34"/>
  <c r="BA24" i="34" s="1"/>
  <c r="BD23" i="34"/>
  <c r="BC23" i="34"/>
  <c r="BB23" i="34"/>
  <c r="AW23" i="34"/>
  <c r="BI23" i="34" s="1"/>
  <c r="AT23" i="34"/>
  <c r="BH23" i="34" s="1"/>
  <c r="AN23" i="34"/>
  <c r="BG23" i="34" s="1"/>
  <c r="AH23" i="34"/>
  <c r="BF23" i="34" s="1"/>
  <c r="Z23" i="34"/>
  <c r="W23" i="34"/>
  <c r="Q23" i="34"/>
  <c r="K23" i="34"/>
  <c r="BA23" i="34" s="1"/>
  <c r="AW22" i="34"/>
  <c r="BI22" i="34" s="1"/>
  <c r="AT22" i="34"/>
  <c r="BH22" i="34" s="1"/>
  <c r="AN22" i="34"/>
  <c r="BG22" i="34" s="1"/>
  <c r="AH22" i="34"/>
  <c r="BF22" i="34" s="1"/>
  <c r="Z22" i="34"/>
  <c r="BD22" i="34" s="1"/>
  <c r="W22" i="34"/>
  <c r="BC22" i="34" s="1"/>
  <c r="Q22" i="34"/>
  <c r="BB22" i="34" s="1"/>
  <c r="K22" i="34"/>
  <c r="BA22" i="34" s="1"/>
  <c r="AW21" i="34"/>
  <c r="BI21" i="34" s="1"/>
  <c r="AT21" i="34"/>
  <c r="BH21" i="34" s="1"/>
  <c r="AN21" i="34"/>
  <c r="BG21" i="34" s="1"/>
  <c r="AH21" i="34"/>
  <c r="BF21" i="34" s="1"/>
  <c r="Z21" i="34"/>
  <c r="BD21" i="34" s="1"/>
  <c r="W21" i="34"/>
  <c r="BC21" i="34" s="1"/>
  <c r="Q21" i="34"/>
  <c r="BB21" i="34" s="1"/>
  <c r="K21" i="34"/>
  <c r="BA21" i="34" s="1"/>
  <c r="BF20" i="34"/>
  <c r="AW20" i="34"/>
  <c r="BI20" i="34" s="1"/>
  <c r="AT20" i="34"/>
  <c r="BH20" i="34" s="1"/>
  <c r="AN20" i="34"/>
  <c r="BG20" i="34" s="1"/>
  <c r="AH20" i="34"/>
  <c r="Z20" i="34"/>
  <c r="BD20" i="34" s="1"/>
  <c r="W20" i="34"/>
  <c r="BC20" i="34" s="1"/>
  <c r="Q20" i="34"/>
  <c r="BB20" i="34" s="1"/>
  <c r="K20" i="34"/>
  <c r="BA20" i="34" s="1"/>
  <c r="BG19" i="34"/>
  <c r="BF19" i="34"/>
  <c r="AW19" i="34"/>
  <c r="BI19" i="34" s="1"/>
  <c r="AT19" i="34"/>
  <c r="BH19" i="34" s="1"/>
  <c r="AN19" i="34"/>
  <c r="AH19" i="34"/>
  <c r="Z19" i="34"/>
  <c r="BD19" i="34" s="1"/>
  <c r="W19" i="34"/>
  <c r="BC19" i="34" s="1"/>
  <c r="Q19" i="34"/>
  <c r="BB19" i="34" s="1"/>
  <c r="K19" i="34"/>
  <c r="BA19" i="34" s="1"/>
  <c r="AW18" i="34"/>
  <c r="BI18" i="34" s="1"/>
  <c r="AT18" i="34"/>
  <c r="BH18" i="34" s="1"/>
  <c r="AN18" i="34"/>
  <c r="BG18" i="34" s="1"/>
  <c r="AH18" i="34"/>
  <c r="BF18" i="34" s="1"/>
  <c r="Z18" i="34"/>
  <c r="BD18" i="34" s="1"/>
  <c r="W18" i="34"/>
  <c r="BC18" i="34" s="1"/>
  <c r="Q18" i="34"/>
  <c r="BB18" i="34" s="1"/>
  <c r="K18" i="34"/>
  <c r="BA18" i="34" s="1"/>
  <c r="BI17" i="34"/>
  <c r="BH17" i="34"/>
  <c r="BB17" i="34"/>
  <c r="AW17" i="34"/>
  <c r="AT17" i="34"/>
  <c r="AN17" i="34"/>
  <c r="BG17" i="34" s="1"/>
  <c r="AH17" i="34"/>
  <c r="BF17" i="34" s="1"/>
  <c r="Z17" i="34"/>
  <c r="BD17" i="34" s="1"/>
  <c r="W17" i="34"/>
  <c r="BC17" i="34" s="1"/>
  <c r="Q17" i="34"/>
  <c r="K17" i="34"/>
  <c r="BA17" i="34" s="1"/>
  <c r="BB16" i="34"/>
  <c r="AW16" i="34"/>
  <c r="BI16" i="34" s="1"/>
  <c r="AT16" i="34"/>
  <c r="BH16" i="34" s="1"/>
  <c r="AN16" i="34"/>
  <c r="BG16" i="34" s="1"/>
  <c r="AH16" i="34"/>
  <c r="BF16" i="34" s="1"/>
  <c r="Z16" i="34"/>
  <c r="BD16" i="34" s="1"/>
  <c r="W16" i="34"/>
  <c r="BC16" i="34" s="1"/>
  <c r="Q16" i="34"/>
  <c r="K16" i="34"/>
  <c r="BA16" i="34" s="1"/>
  <c r="BB15" i="34"/>
  <c r="AW15" i="34"/>
  <c r="BI15" i="34" s="1"/>
  <c r="AT15" i="34"/>
  <c r="BH15" i="34" s="1"/>
  <c r="AN15" i="34"/>
  <c r="BG15" i="34" s="1"/>
  <c r="AH15" i="34"/>
  <c r="BF15" i="34" s="1"/>
  <c r="Z15" i="34"/>
  <c r="BD15" i="34" s="1"/>
  <c r="W15" i="34"/>
  <c r="BC15" i="34" s="1"/>
  <c r="Q15" i="34"/>
  <c r="K15" i="34"/>
  <c r="BA15" i="34" s="1"/>
  <c r="BC14" i="34"/>
  <c r="AW14" i="34"/>
  <c r="BI14" i="34" s="1"/>
  <c r="AT14" i="34"/>
  <c r="BH14" i="34" s="1"/>
  <c r="AN14" i="34"/>
  <c r="BG14" i="34" s="1"/>
  <c r="AH14" i="34"/>
  <c r="BF14" i="34" s="1"/>
  <c r="Z14" i="34"/>
  <c r="BD14" i="34" s="1"/>
  <c r="W14" i="34"/>
  <c r="Q14" i="34"/>
  <c r="BB14" i="34" s="1"/>
  <c r="K14" i="34"/>
  <c r="BA14" i="34" s="1"/>
  <c r="BD13" i="34"/>
  <c r="AW13" i="34"/>
  <c r="BI13" i="34" s="1"/>
  <c r="AT13" i="34"/>
  <c r="BH13" i="34" s="1"/>
  <c r="AN13" i="34"/>
  <c r="BG13" i="34" s="1"/>
  <c r="AH13" i="34"/>
  <c r="BF13" i="34" s="1"/>
  <c r="Z13" i="34"/>
  <c r="W13" i="34"/>
  <c r="BC13" i="34" s="1"/>
  <c r="Q13" i="34"/>
  <c r="BB13" i="34" s="1"/>
  <c r="K13" i="34"/>
  <c r="BA13" i="34" s="1"/>
  <c r="AX12" i="34"/>
  <c r="AA12" i="34"/>
  <c r="BJ23" i="34" l="1"/>
  <c r="AX23" i="34" s="1"/>
  <c r="BJ25" i="34"/>
  <c r="AX25" i="34" s="1"/>
  <c r="BJ51" i="34"/>
  <c r="AX51" i="34" s="1"/>
  <c r="BJ57" i="34"/>
  <c r="AX57" i="34" s="1"/>
  <c r="BJ41" i="34"/>
  <c r="AX41" i="34" s="1"/>
  <c r="BJ50" i="34"/>
  <c r="AX50" i="34" s="1"/>
  <c r="BJ16" i="34"/>
  <c r="AX16" i="34" s="1"/>
  <c r="BJ29" i="34"/>
  <c r="AX29" i="34" s="1"/>
  <c r="BJ32" i="34"/>
  <c r="AX32" i="34" s="1"/>
  <c r="BJ38" i="34"/>
  <c r="AX38" i="34" s="1"/>
  <c r="BJ35" i="34"/>
  <c r="AX35" i="34" s="1"/>
  <c r="BJ37" i="34"/>
  <c r="AX37" i="34" s="1"/>
  <c r="BJ33" i="34"/>
  <c r="AX33" i="34" s="1"/>
  <c r="BJ70" i="34"/>
  <c r="AX70" i="34" s="1"/>
  <c r="BJ14" i="34"/>
  <c r="AX14" i="34" s="1"/>
  <c r="BJ20" i="34"/>
  <c r="AX20" i="34" s="1"/>
  <c r="BJ28" i="34"/>
  <c r="AX28" i="34" s="1"/>
  <c r="BJ34" i="34"/>
  <c r="AX34" i="34" s="1"/>
  <c r="BJ56" i="34"/>
  <c r="AX56" i="34" s="1"/>
  <c r="BJ45" i="34"/>
  <c r="AX45" i="34" s="1"/>
  <c r="BJ27" i="34"/>
  <c r="AX27" i="34" s="1"/>
  <c r="BJ53" i="34"/>
  <c r="AX53" i="34" s="1"/>
  <c r="BJ71" i="34"/>
  <c r="AX71" i="34" s="1"/>
  <c r="BJ15" i="34"/>
  <c r="AX15" i="34" s="1"/>
  <c r="BJ24" i="34"/>
  <c r="AX24" i="34" s="1"/>
  <c r="BJ40" i="34"/>
  <c r="AX40" i="34" s="1"/>
  <c r="BJ43" i="34"/>
  <c r="AX43" i="34" s="1"/>
  <c r="BJ66" i="34"/>
  <c r="AX66" i="34" s="1"/>
  <c r="BJ72" i="34"/>
  <c r="AX72" i="34" s="1"/>
  <c r="BJ18" i="34"/>
  <c r="AX18" i="34" s="1"/>
  <c r="BJ39" i="34"/>
  <c r="AX39" i="34" s="1"/>
  <c r="BJ46" i="34"/>
  <c r="AX46" i="34" s="1"/>
  <c r="BJ49" i="34"/>
  <c r="AX49" i="34" s="1"/>
  <c r="BJ54" i="34"/>
  <c r="AX54" i="34" s="1"/>
  <c r="BJ69" i="34"/>
  <c r="AX69" i="34" s="1"/>
  <c r="BJ47" i="34"/>
  <c r="AX47" i="34" s="1"/>
  <c r="BJ68" i="34"/>
  <c r="AX68" i="34" s="1"/>
  <c r="BJ17" i="34"/>
  <c r="AX17" i="34" s="1"/>
  <c r="BJ30" i="34"/>
  <c r="AX30" i="34" s="1"/>
  <c r="BJ42" i="34"/>
  <c r="AX42" i="34" s="1"/>
  <c r="BJ44" i="34"/>
  <c r="AX44" i="34" s="1"/>
  <c r="BJ52" i="34"/>
  <c r="AX52" i="34" s="1"/>
  <c r="BJ55" i="34"/>
  <c r="AX55" i="34" s="1"/>
  <c r="BJ65" i="34"/>
  <c r="AX65" i="34" s="1"/>
  <c r="BJ67" i="34"/>
  <c r="AX67" i="34" s="1"/>
  <c r="BJ19" i="34"/>
  <c r="AX19" i="34" s="1"/>
  <c r="BJ21" i="34"/>
  <c r="AX21" i="34" s="1"/>
  <c r="BJ22" i="34"/>
  <c r="AX22" i="34" s="1"/>
  <c r="BJ26" i="34"/>
  <c r="AX26" i="34" s="1"/>
  <c r="BJ36" i="34"/>
  <c r="AX36" i="34" s="1"/>
  <c r="BJ48" i="34"/>
  <c r="AX48" i="34" s="1"/>
  <c r="BE48" i="34"/>
  <c r="BO48" i="34" s="1"/>
  <c r="BE38" i="34"/>
  <c r="BO38" i="34" s="1"/>
  <c r="BN37" i="34" s="1"/>
  <c r="BE16" i="34"/>
  <c r="BE65" i="34"/>
  <c r="BE46" i="34"/>
  <c r="BE49" i="34"/>
  <c r="BE42" i="34"/>
  <c r="BE13" i="34"/>
  <c r="BE23" i="34"/>
  <c r="BO23" i="34" s="1"/>
  <c r="BE18" i="34"/>
  <c r="BO18" i="34" s="1"/>
  <c r="BE21" i="34"/>
  <c r="BE24" i="34"/>
  <c r="BO24" i="34" s="1"/>
  <c r="BE40" i="34"/>
  <c r="BE54" i="34"/>
  <c r="BO54" i="34" s="1"/>
  <c r="BN53" i="34" s="1"/>
  <c r="BE66" i="34"/>
  <c r="AA66" i="34" s="1"/>
  <c r="BE68" i="34"/>
  <c r="BE30" i="34"/>
  <c r="BE33" i="34"/>
  <c r="BO33" i="34" s="1"/>
  <c r="BE71" i="34"/>
  <c r="BE41" i="34"/>
  <c r="BO41" i="34" s="1"/>
  <c r="BE31" i="34"/>
  <c r="BO31" i="34" s="1"/>
  <c r="BE67" i="34"/>
  <c r="BE72" i="34"/>
  <c r="BO72" i="34" s="1"/>
  <c r="BE15" i="34"/>
  <c r="BE26" i="34"/>
  <c r="BO26" i="34" s="1"/>
  <c r="BE29" i="34"/>
  <c r="BO29" i="34" s="1"/>
  <c r="BE56" i="34"/>
  <c r="BO56" i="34" s="1"/>
  <c r="BO66" i="34"/>
  <c r="BN65" i="34" s="1"/>
  <c r="BE36" i="34"/>
  <c r="BJ22" i="36"/>
  <c r="AX22" i="36" s="1"/>
  <c r="BJ18" i="36"/>
  <c r="AX18" i="36" s="1"/>
  <c r="BJ23" i="36"/>
  <c r="AX23" i="36" s="1"/>
  <c r="BJ49" i="36"/>
  <c r="AX49" i="36" s="1"/>
  <c r="BJ14" i="36"/>
  <c r="AX14" i="36" s="1"/>
  <c r="BJ15" i="36"/>
  <c r="AX15" i="36" s="1"/>
  <c r="BJ20" i="36"/>
  <c r="AX20" i="36" s="1"/>
  <c r="BJ27" i="36"/>
  <c r="AX27" i="36" s="1"/>
  <c r="BJ35" i="36"/>
  <c r="AX35" i="36" s="1"/>
  <c r="BJ50" i="36"/>
  <c r="AX50" i="36" s="1"/>
  <c r="BJ45" i="36"/>
  <c r="AX45" i="36" s="1"/>
  <c r="BJ28" i="36"/>
  <c r="AX28" i="36" s="1"/>
  <c r="BJ37" i="36"/>
  <c r="AX37" i="36" s="1"/>
  <c r="BJ34" i="36"/>
  <c r="AX34" i="36" s="1"/>
  <c r="BJ57" i="36"/>
  <c r="AX57" i="36" s="1"/>
  <c r="BJ71" i="36"/>
  <c r="AX71" i="36" s="1"/>
  <c r="BJ29" i="36"/>
  <c r="AX29" i="36" s="1"/>
  <c r="BJ30" i="36"/>
  <c r="AX30" i="36" s="1"/>
  <c r="BJ31" i="36"/>
  <c r="AX31" i="36" s="1"/>
  <c r="BJ33" i="36"/>
  <c r="AX33" i="36" s="1"/>
  <c r="BJ52" i="36"/>
  <c r="AX52" i="36" s="1"/>
  <c r="BJ60" i="36"/>
  <c r="AX60" i="36" s="1"/>
  <c r="BE67" i="36"/>
  <c r="BE48" i="36"/>
  <c r="BE40" i="36"/>
  <c r="BE29" i="36"/>
  <c r="BE51" i="36"/>
  <c r="BE13" i="36"/>
  <c r="BE26" i="36"/>
  <c r="BE57" i="36"/>
  <c r="AA57" i="36" s="1"/>
  <c r="BE38" i="36"/>
  <c r="AA38" i="36" s="1"/>
  <c r="BE59" i="36"/>
  <c r="AA59" i="36" s="1"/>
  <c r="BE66" i="36"/>
  <c r="BE18" i="36"/>
  <c r="AA18" i="36" s="1"/>
  <c r="BE22" i="36"/>
  <c r="AA22" i="36" s="1"/>
  <c r="BE64" i="36"/>
  <c r="BE69" i="36"/>
  <c r="BE72" i="36"/>
  <c r="AA72" i="36" s="1"/>
  <c r="BE14" i="36"/>
  <c r="AA14" i="36" s="1"/>
  <c r="BE35" i="36"/>
  <c r="AA35" i="36" s="1"/>
  <c r="BE39" i="36"/>
  <c r="BE42" i="36"/>
  <c r="AA42" i="36" s="1"/>
  <c r="BE65" i="36"/>
  <c r="BE27" i="36"/>
  <c r="BL27" i="36" s="1"/>
  <c r="BM27" i="36" s="1"/>
  <c r="BE19" i="36"/>
  <c r="BE21" i="36"/>
  <c r="BE70" i="36"/>
  <c r="AA70" i="36" s="1"/>
  <c r="BE41" i="36"/>
  <c r="AA41" i="36" s="1"/>
  <c r="BE49" i="36"/>
  <c r="BJ49" i="37"/>
  <c r="AX49" i="37" s="1"/>
  <c r="BJ55" i="37"/>
  <c r="AX55" i="37" s="1"/>
  <c r="BJ19" i="37"/>
  <c r="AX19" i="37" s="1"/>
  <c r="BJ15" i="37"/>
  <c r="AX15" i="37" s="1"/>
  <c r="BJ39" i="37"/>
  <c r="AX39" i="37" s="1"/>
  <c r="BJ44" i="37"/>
  <c r="AX44" i="37" s="1"/>
  <c r="BJ65" i="37"/>
  <c r="AX65" i="37" s="1"/>
  <c r="BJ30" i="37"/>
  <c r="AX30" i="37" s="1"/>
  <c r="BJ34" i="37"/>
  <c r="AX34" i="37" s="1"/>
  <c r="BJ53" i="37"/>
  <c r="AX53" i="37" s="1"/>
  <c r="BJ27" i="37"/>
  <c r="AX27" i="37" s="1"/>
  <c r="BJ47" i="37"/>
  <c r="AX47" i="37" s="1"/>
  <c r="BJ14" i="37"/>
  <c r="AX14" i="37" s="1"/>
  <c r="BJ16" i="37"/>
  <c r="AX16" i="37" s="1"/>
  <c r="BJ28" i="37"/>
  <c r="AX28" i="37" s="1"/>
  <c r="BJ38" i="37"/>
  <c r="AX38" i="37" s="1"/>
  <c r="BJ48" i="37"/>
  <c r="AX48" i="37" s="1"/>
  <c r="BJ23" i="37"/>
  <c r="AX23" i="37" s="1"/>
  <c r="BJ56" i="37"/>
  <c r="AX56" i="37" s="1"/>
  <c r="BJ58" i="37"/>
  <c r="AX58" i="37" s="1"/>
  <c r="BJ67" i="37"/>
  <c r="AX67" i="37" s="1"/>
  <c r="BJ50" i="37"/>
  <c r="AX50" i="37" s="1"/>
  <c r="BJ40" i="37"/>
  <c r="AX40" i="37" s="1"/>
  <c r="BJ42" i="37"/>
  <c r="AX42" i="37" s="1"/>
  <c r="BJ59" i="37"/>
  <c r="AX59" i="37" s="1"/>
  <c r="BJ54" i="37"/>
  <c r="AX54" i="37" s="1"/>
  <c r="BJ18" i="37"/>
  <c r="AX18" i="37" s="1"/>
  <c r="BJ22" i="37"/>
  <c r="AX22" i="37" s="1"/>
  <c r="BJ31" i="37"/>
  <c r="AX31" i="37" s="1"/>
  <c r="BE29" i="37"/>
  <c r="BE18" i="37"/>
  <c r="BK18" i="37" s="1"/>
  <c r="AY18" i="37" s="1"/>
  <c r="BE20" i="37"/>
  <c r="BE33" i="37"/>
  <c r="BE46" i="37"/>
  <c r="BE55" i="37"/>
  <c r="AA55" i="37" s="1"/>
  <c r="BE62" i="37"/>
  <c r="BE57" i="37"/>
  <c r="BE22" i="37"/>
  <c r="BE13" i="37"/>
  <c r="AA13" i="37" s="1"/>
  <c r="BE21" i="37"/>
  <c r="AA21" i="37" s="1"/>
  <c r="BE14" i="37"/>
  <c r="AA14" i="37" s="1"/>
  <c r="BE26" i="37"/>
  <c r="AA26" i="37" s="1"/>
  <c r="BE69" i="37"/>
  <c r="AA69" i="37" s="1"/>
  <c r="BE28" i="37"/>
  <c r="BE53" i="37"/>
  <c r="BK53" i="37" s="1"/>
  <c r="AY53" i="37" s="1"/>
  <c r="BE16" i="37"/>
  <c r="BO16" i="37" s="1"/>
  <c r="BN15" i="37" s="1"/>
  <c r="BE47" i="37"/>
  <c r="BK47" i="37" s="1"/>
  <c r="AY47" i="37" s="1"/>
  <c r="BE72" i="37"/>
  <c r="BE68" i="37"/>
  <c r="BJ66" i="38"/>
  <c r="AX66" i="38" s="1"/>
  <c r="BJ60" i="38"/>
  <c r="AX60" i="38" s="1"/>
  <c r="BJ19" i="38"/>
  <c r="AX19" i="38" s="1"/>
  <c r="BJ53" i="38"/>
  <c r="AX53" i="38" s="1"/>
  <c r="BJ21" i="38"/>
  <c r="AX21" i="38" s="1"/>
  <c r="BJ69" i="38"/>
  <c r="AX69" i="38" s="1"/>
  <c r="BJ13" i="38"/>
  <c r="AX13" i="38" s="1"/>
  <c r="BJ27" i="38"/>
  <c r="AX27" i="38" s="1"/>
  <c r="BJ38" i="38"/>
  <c r="AX38" i="38" s="1"/>
  <c r="BJ70" i="38"/>
  <c r="AX70" i="38" s="1"/>
  <c r="BJ17" i="38"/>
  <c r="AX17" i="38" s="1"/>
  <c r="BJ32" i="38"/>
  <c r="AX32" i="38" s="1"/>
  <c r="BJ41" i="38"/>
  <c r="AX41" i="38" s="1"/>
  <c r="BJ46" i="38"/>
  <c r="AX46" i="38" s="1"/>
  <c r="BJ58" i="38"/>
  <c r="AX58" i="38" s="1"/>
  <c r="BJ68" i="38"/>
  <c r="AX68" i="38" s="1"/>
  <c r="BJ18" i="38"/>
  <c r="AX18" i="38" s="1"/>
  <c r="BJ31" i="38"/>
  <c r="AX31" i="38" s="1"/>
  <c r="BJ35" i="38"/>
  <c r="AX35" i="38" s="1"/>
  <c r="BJ50" i="38"/>
  <c r="AX50" i="38" s="1"/>
  <c r="BJ57" i="38"/>
  <c r="AX57" i="38" s="1"/>
  <c r="BJ65" i="38"/>
  <c r="AX65" i="38" s="1"/>
  <c r="BJ71" i="38"/>
  <c r="AX71" i="38" s="1"/>
  <c r="BJ49" i="38"/>
  <c r="AX49" i="38" s="1"/>
  <c r="BJ51" i="38"/>
  <c r="AX51" i="38" s="1"/>
  <c r="BJ36" i="38"/>
  <c r="AX36" i="38" s="1"/>
  <c r="BJ22" i="38"/>
  <c r="AX22" i="38" s="1"/>
  <c r="BJ26" i="38"/>
  <c r="AX26" i="38" s="1"/>
  <c r="BJ37" i="38"/>
  <c r="AX37" i="38" s="1"/>
  <c r="BJ33" i="38"/>
  <c r="AX33" i="38" s="1"/>
  <c r="BJ52" i="38"/>
  <c r="AX52" i="38" s="1"/>
  <c r="BJ20" i="38"/>
  <c r="AX20" i="38" s="1"/>
  <c r="BE16" i="38"/>
  <c r="BE24" i="38"/>
  <c r="BE43" i="38"/>
  <c r="BE17" i="38"/>
  <c r="BL17" i="38" s="1"/>
  <c r="BM17" i="38" s="1"/>
  <c r="BE41" i="38"/>
  <c r="BE44" i="38"/>
  <c r="AA44" i="38" s="1"/>
  <c r="BE25" i="38"/>
  <c r="BE51" i="38"/>
  <c r="AA51" i="38" s="1"/>
  <c r="BE30" i="38"/>
  <c r="BE33" i="38"/>
  <c r="BE59" i="38"/>
  <c r="BE32" i="38"/>
  <c r="BK32" i="38" s="1"/>
  <c r="AY32" i="38" s="1"/>
  <c r="BE53" i="38"/>
  <c r="BK53" i="38" s="1"/>
  <c r="AY53" i="38" s="1"/>
  <c r="BE67" i="38"/>
  <c r="BE13" i="38"/>
  <c r="AA13" i="38" s="1"/>
  <c r="BE39" i="38"/>
  <c r="AA39" i="38" s="1"/>
  <c r="BE57" i="38"/>
  <c r="BE65" i="38"/>
  <c r="AA65" i="38" s="1"/>
  <c r="BE45" i="38"/>
  <c r="BE54" i="38"/>
  <c r="BE34" i="38"/>
  <c r="BE40" i="38"/>
  <c r="BE37" i="38"/>
  <c r="BE42" i="38"/>
  <c r="BE35" i="38"/>
  <c r="BE50" i="38"/>
  <c r="AA50" i="38" s="1"/>
  <c r="BE36" i="38"/>
  <c r="BE24" i="39"/>
  <c r="AA24" i="39" s="1"/>
  <c r="BE63" i="39"/>
  <c r="AA63" i="39" s="1"/>
  <c r="BJ54" i="39"/>
  <c r="AX54" i="39" s="1"/>
  <c r="BJ18" i="39"/>
  <c r="AX18" i="39" s="1"/>
  <c r="BJ19" i="39"/>
  <c r="AX19" i="39" s="1"/>
  <c r="BJ25" i="39"/>
  <c r="AX25" i="39" s="1"/>
  <c r="BJ52" i="39"/>
  <c r="AX52" i="39" s="1"/>
  <c r="BJ49" i="39"/>
  <c r="AX49" i="39" s="1"/>
  <c r="BJ61" i="39"/>
  <c r="AX61" i="39" s="1"/>
  <c r="BJ15" i="39"/>
  <c r="AX15" i="39" s="1"/>
  <c r="BJ27" i="39"/>
  <c r="AX27" i="39" s="1"/>
  <c r="BJ28" i="39"/>
  <c r="AX28" i="39" s="1"/>
  <c r="BJ70" i="39"/>
  <c r="AX70" i="39" s="1"/>
  <c r="BJ48" i="39"/>
  <c r="AX48" i="39" s="1"/>
  <c r="BJ62" i="39"/>
  <c r="AX62" i="39" s="1"/>
  <c r="BJ45" i="39"/>
  <c r="AX45" i="39" s="1"/>
  <c r="BJ60" i="39"/>
  <c r="AX60" i="39" s="1"/>
  <c r="BJ63" i="39"/>
  <c r="AX63" i="39" s="1"/>
  <c r="BJ23" i="39"/>
  <c r="AX23" i="39" s="1"/>
  <c r="BJ33" i="39"/>
  <c r="AX33" i="39" s="1"/>
  <c r="BJ37" i="39"/>
  <c r="AX37" i="39" s="1"/>
  <c r="BJ40" i="39"/>
  <c r="AX40" i="39" s="1"/>
  <c r="BJ41" i="39"/>
  <c r="AX41" i="39" s="1"/>
  <c r="BJ65" i="39"/>
  <c r="AX65" i="39" s="1"/>
  <c r="BJ16" i="39"/>
  <c r="AX16" i="39" s="1"/>
  <c r="BJ44" i="39"/>
  <c r="AX44" i="39" s="1"/>
  <c r="BJ64" i="39"/>
  <c r="AX64" i="39" s="1"/>
  <c r="BJ22" i="39"/>
  <c r="AX22" i="39" s="1"/>
  <c r="BJ34" i="39"/>
  <c r="AX34" i="39" s="1"/>
  <c r="BE16" i="39"/>
  <c r="AA16" i="39" s="1"/>
  <c r="BE46" i="39"/>
  <c r="BE47" i="39"/>
  <c r="AA47" i="39" s="1"/>
  <c r="BE35" i="39"/>
  <c r="AA35" i="39" s="1"/>
  <c r="BE65" i="39"/>
  <c r="AA65" i="39" s="1"/>
  <c r="BE36" i="39"/>
  <c r="BE62" i="39"/>
  <c r="BE17" i="39"/>
  <c r="AA17" i="39" s="1"/>
  <c r="BE25" i="39"/>
  <c r="AA25" i="39" s="1"/>
  <c r="BE23" i="39"/>
  <c r="BE26" i="39"/>
  <c r="AA26" i="39" s="1"/>
  <c r="BE43" i="39"/>
  <c r="AA43" i="39" s="1"/>
  <c r="BE61" i="39"/>
  <c r="AA61" i="39" s="1"/>
  <c r="BE68" i="39"/>
  <c r="AA68" i="39" s="1"/>
  <c r="BE13" i="39"/>
  <c r="AA13" i="39" s="1"/>
  <c r="BE30" i="39"/>
  <c r="BE59" i="39"/>
  <c r="AA59" i="39" s="1"/>
  <c r="BE64" i="39"/>
  <c r="AA64" i="39" s="1"/>
  <c r="BE33" i="39"/>
  <c r="AA33" i="39" s="1"/>
  <c r="BE42" i="39"/>
  <c r="AA42" i="39" s="1"/>
  <c r="BE44" i="39"/>
  <c r="AA44" i="39" s="1"/>
  <c r="BE32" i="39"/>
  <c r="AA32" i="39" s="1"/>
  <c r="BJ13" i="39"/>
  <c r="BE15" i="39"/>
  <c r="BE20" i="39"/>
  <c r="BE22" i="39"/>
  <c r="BE27" i="39"/>
  <c r="BJ31" i="39"/>
  <c r="AX31" i="39" s="1"/>
  <c r="BJ32" i="39"/>
  <c r="AX32" i="39" s="1"/>
  <c r="BE14" i="39"/>
  <c r="BJ17" i="39"/>
  <c r="AX17" i="39" s="1"/>
  <c r="BE19" i="39"/>
  <c r="BJ20" i="39"/>
  <c r="AX20" i="39" s="1"/>
  <c r="BE21" i="39"/>
  <c r="BE29" i="39"/>
  <c r="BJ30" i="39"/>
  <c r="AX30" i="39" s="1"/>
  <c r="BJ14" i="39"/>
  <c r="AX14" i="39" s="1"/>
  <c r="BJ24" i="39"/>
  <c r="AX24" i="39" s="1"/>
  <c r="BJ26" i="39"/>
  <c r="AX26" i="39" s="1"/>
  <c r="BE40" i="39"/>
  <c r="BE18" i="39"/>
  <c r="BE28" i="39"/>
  <c r="BJ29" i="39"/>
  <c r="AX29" i="39" s="1"/>
  <c r="BE31" i="39"/>
  <c r="BE34" i="39"/>
  <c r="BJ36" i="39"/>
  <c r="AX36" i="39" s="1"/>
  <c r="BJ21" i="39"/>
  <c r="AX21" i="39" s="1"/>
  <c r="BJ38" i="39"/>
  <c r="AX38" i="39" s="1"/>
  <c r="BJ35" i="39"/>
  <c r="AX35" i="39" s="1"/>
  <c r="BE38" i="39"/>
  <c r="BE45" i="39"/>
  <c r="BE51" i="39"/>
  <c r="BE56" i="39"/>
  <c r="BJ46" i="39"/>
  <c r="AX46" i="39" s="1"/>
  <c r="BE49" i="39"/>
  <c r="BE50" i="39"/>
  <c r="BJ51" i="39"/>
  <c r="AX51" i="39" s="1"/>
  <c r="BE55" i="39"/>
  <c r="BJ56" i="39"/>
  <c r="AX56" i="39" s="1"/>
  <c r="BJ69" i="39"/>
  <c r="AX69" i="39" s="1"/>
  <c r="BE71" i="39"/>
  <c r="BE67" i="39"/>
  <c r="BE39" i="39"/>
  <c r="BJ42" i="39"/>
  <c r="AX42" i="39" s="1"/>
  <c r="BE48" i="39"/>
  <c r="BJ50" i="39"/>
  <c r="AX50" i="39" s="1"/>
  <c r="BE54" i="39"/>
  <c r="BJ59" i="39"/>
  <c r="AX59" i="39" s="1"/>
  <c r="BE60" i="39"/>
  <c r="BJ67" i="39"/>
  <c r="AX67" i="39" s="1"/>
  <c r="BJ68" i="39"/>
  <c r="BJ71" i="39"/>
  <c r="AX71" i="39" s="1"/>
  <c r="BE37" i="39"/>
  <c r="BJ43" i="39"/>
  <c r="AX43" i="39" s="1"/>
  <c r="BE53" i="39"/>
  <c r="BJ55" i="39"/>
  <c r="AX55" i="39" s="1"/>
  <c r="BE57" i="39"/>
  <c r="BE58" i="39"/>
  <c r="BE66" i="39"/>
  <c r="BE70" i="39"/>
  <c r="BJ39" i="39"/>
  <c r="AX39" i="39" s="1"/>
  <c r="BE41" i="39"/>
  <c r="BJ66" i="39"/>
  <c r="AX66" i="39" s="1"/>
  <c r="BE52" i="39"/>
  <c r="BJ58" i="39"/>
  <c r="AX58" i="39" s="1"/>
  <c r="BE69" i="39"/>
  <c r="BE72" i="39"/>
  <c r="BJ47" i="39"/>
  <c r="AX47" i="39" s="1"/>
  <c r="BJ53" i="39"/>
  <c r="AX53" i="39" s="1"/>
  <c r="BJ57" i="39"/>
  <c r="AX57" i="39" s="1"/>
  <c r="BJ72" i="39"/>
  <c r="AX72" i="39" s="1"/>
  <c r="BJ61" i="38"/>
  <c r="AX61" i="38" s="1"/>
  <c r="BE61" i="38"/>
  <c r="AA32" i="38"/>
  <c r="AA25" i="38"/>
  <c r="AA35" i="38"/>
  <c r="BL35" i="38"/>
  <c r="BM35" i="38" s="1"/>
  <c r="AA24" i="38"/>
  <c r="AA16" i="38"/>
  <c r="BK36" i="38"/>
  <c r="AY36" i="38" s="1"/>
  <c r="AA36" i="38"/>
  <c r="BJ28" i="38"/>
  <c r="AX28" i="38" s="1"/>
  <c r="BJ14" i="38"/>
  <c r="AX14" i="38" s="1"/>
  <c r="BE22" i="38"/>
  <c r="BJ29" i="38"/>
  <c r="AX29" i="38" s="1"/>
  <c r="BE66" i="38"/>
  <c r="AA43" i="38"/>
  <c r="AA67" i="38"/>
  <c r="BE15" i="38"/>
  <c r="BE21" i="38"/>
  <c r="BL41" i="38"/>
  <c r="BM41" i="38" s="1"/>
  <c r="BK41" i="38"/>
  <c r="AY41" i="38" s="1"/>
  <c r="AA41" i="38"/>
  <c r="AA45" i="38"/>
  <c r="BK57" i="38"/>
  <c r="AY57" i="38" s="1"/>
  <c r="AA57" i="38"/>
  <c r="AA17" i="38"/>
  <c r="AA59" i="38"/>
  <c r="BE19" i="38"/>
  <c r="BE20" i="38"/>
  <c r="BJ25" i="38"/>
  <c r="AX25" i="38" s="1"/>
  <c r="BJ30" i="38"/>
  <c r="AX30" i="38" s="1"/>
  <c r="BJ15" i="38"/>
  <c r="AX15" i="38" s="1"/>
  <c r="BJ16" i="38"/>
  <c r="AX16" i="38" s="1"/>
  <c r="BE18" i="38"/>
  <c r="BE23" i="38"/>
  <c r="BE29" i="38"/>
  <c r="AA30" i="38"/>
  <c r="BE14" i="38"/>
  <c r="BE27" i="38"/>
  <c r="BE28" i="38"/>
  <c r="BJ43" i="38"/>
  <c r="AX43" i="38" s="1"/>
  <c r="BO44" i="38"/>
  <c r="BN43" i="38" s="1"/>
  <c r="BK44" i="38"/>
  <c r="AY44" i="38" s="1"/>
  <c r="BE48" i="38"/>
  <c r="AA33" i="38"/>
  <c r="BJ23" i="38"/>
  <c r="AX23" i="38" s="1"/>
  <c r="BJ24" i="38"/>
  <c r="AX24" i="38" s="1"/>
  <c r="BE26" i="38"/>
  <c r="BE31" i="38"/>
  <c r="AA34" i="38"/>
  <c r="AA40" i="38"/>
  <c r="BJ45" i="38"/>
  <c r="AX45" i="38" s="1"/>
  <c r="BE58" i="38"/>
  <c r="BE71" i="38"/>
  <c r="BE47" i="38"/>
  <c r="BJ40" i="38"/>
  <c r="AX40" i="38" s="1"/>
  <c r="BJ42" i="38"/>
  <c r="AX42" i="38" s="1"/>
  <c r="BE46" i="38"/>
  <c r="BE56" i="38"/>
  <c r="BE64" i="38"/>
  <c r="BE70" i="38"/>
  <c r="BJ48" i="38"/>
  <c r="AX48" i="38" s="1"/>
  <c r="BJ55" i="38"/>
  <c r="AX55" i="38" s="1"/>
  <c r="BE62" i="38"/>
  <c r="BL53" i="38"/>
  <c r="BM53" i="38" s="1"/>
  <c r="AA53" i="38"/>
  <c r="BJ56" i="38"/>
  <c r="AX56" i="38" s="1"/>
  <c r="BJ64" i="38"/>
  <c r="AX64" i="38" s="1"/>
  <c r="AA54" i="38"/>
  <c r="BJ34" i="38"/>
  <c r="AX34" i="38" s="1"/>
  <c r="BE38" i="38"/>
  <c r="BJ47" i="38"/>
  <c r="AX47" i="38" s="1"/>
  <c r="BJ54" i="38"/>
  <c r="AX54" i="38" s="1"/>
  <c r="BJ59" i="38"/>
  <c r="AX59" i="38" s="1"/>
  <c r="BJ62" i="38"/>
  <c r="AX62" i="38" s="1"/>
  <c r="BJ67" i="38"/>
  <c r="AX67" i="38" s="1"/>
  <c r="BE69" i="38"/>
  <c r="BE72" i="38"/>
  <c r="BJ63" i="38"/>
  <c r="AX63" i="38" s="1"/>
  <c r="BE52" i="38"/>
  <c r="BJ72" i="38"/>
  <c r="AX72" i="38" s="1"/>
  <c r="BJ39" i="38"/>
  <c r="BL39" i="38" s="1"/>
  <c r="BM39" i="38" s="1"/>
  <c r="BE49" i="38"/>
  <c r="BE55" i="38"/>
  <c r="BE60" i="38"/>
  <c r="BE63" i="38"/>
  <c r="BE68" i="38"/>
  <c r="BJ64" i="37"/>
  <c r="AX64" i="37" s="1"/>
  <c r="BE63" i="37"/>
  <c r="AA63" i="37" s="1"/>
  <c r="AA28" i="37"/>
  <c r="BE17" i="37"/>
  <c r="BJ17" i="37"/>
  <c r="AX17" i="37" s="1"/>
  <c r="BJ21" i="37"/>
  <c r="AX21" i="37" s="1"/>
  <c r="BE27" i="37"/>
  <c r="BE30" i="37"/>
  <c r="BJ32" i="37"/>
  <c r="AX32" i="37" s="1"/>
  <c r="BE37" i="37"/>
  <c r="BE56" i="37"/>
  <c r="BJ13" i="37"/>
  <c r="AX13" i="37" s="1"/>
  <c r="BE25" i="37"/>
  <c r="BJ33" i="37"/>
  <c r="AX33" i="37" s="1"/>
  <c r="BE41" i="37"/>
  <c r="AA53" i="37"/>
  <c r="AA62" i="37"/>
  <c r="BJ70" i="37"/>
  <c r="AX70" i="37" s="1"/>
  <c r="BJ20" i="37"/>
  <c r="AX20" i="37" s="1"/>
  <c r="BE23" i="37"/>
  <c r="BE24" i="37"/>
  <c r="BJ43" i="37"/>
  <c r="AX43" i="37" s="1"/>
  <c r="AA46" i="37"/>
  <c r="BE19" i="37"/>
  <c r="BJ25" i="37"/>
  <c r="AX25" i="37" s="1"/>
  <c r="BJ26" i="37"/>
  <c r="AX26" i="37" s="1"/>
  <c r="AA29" i="37"/>
  <c r="BE32" i="37"/>
  <c r="BE34" i="37"/>
  <c r="AA38" i="37"/>
  <c r="AA57" i="37"/>
  <c r="BE15" i="37"/>
  <c r="BJ29" i="37"/>
  <c r="AX29" i="37" s="1"/>
  <c r="BE31" i="37"/>
  <c r="BE36" i="37"/>
  <c r="BE52" i="37"/>
  <c r="BJ71" i="37"/>
  <c r="AX71" i="37" s="1"/>
  <c r="BK33" i="37"/>
  <c r="AY33" i="37" s="1"/>
  <c r="AA33" i="37"/>
  <c r="BJ24" i="37"/>
  <c r="AX24" i="37" s="1"/>
  <c r="BE40" i="37"/>
  <c r="AA68" i="37"/>
  <c r="AA72" i="37"/>
  <c r="BJ41" i="37"/>
  <c r="AX41" i="37" s="1"/>
  <c r="BE43" i="37"/>
  <c r="BJ51" i="37"/>
  <c r="AX51" i="37" s="1"/>
  <c r="BE64" i="37"/>
  <c r="BE65" i="37"/>
  <c r="BE67" i="37"/>
  <c r="BE45" i="37"/>
  <c r="BJ63" i="37"/>
  <c r="AX63" i="37" s="1"/>
  <c r="BJ66" i="37"/>
  <c r="AX66" i="37" s="1"/>
  <c r="BE35" i="37"/>
  <c r="BJ36" i="37"/>
  <c r="AX36" i="37" s="1"/>
  <c r="BE44" i="37"/>
  <c r="BJ52" i="37"/>
  <c r="AX52" i="37" s="1"/>
  <c r="BE61" i="37"/>
  <c r="BJ69" i="37"/>
  <c r="AX69" i="37" s="1"/>
  <c r="BJ45" i="37"/>
  <c r="AX45" i="37" s="1"/>
  <c r="BJ46" i="37"/>
  <c r="AX46" i="37" s="1"/>
  <c r="BE58" i="37"/>
  <c r="BE59" i="37"/>
  <c r="BE60" i="37"/>
  <c r="BJ68" i="37"/>
  <c r="AX68" i="37" s="1"/>
  <c r="BJ37" i="37"/>
  <c r="AX37" i="37" s="1"/>
  <c r="BE39" i="37"/>
  <c r="BJ61" i="37"/>
  <c r="AX61" i="37" s="1"/>
  <c r="BJ62" i="37"/>
  <c r="AX62" i="37" s="1"/>
  <c r="BJ35" i="37"/>
  <c r="AX35" i="37" s="1"/>
  <c r="BE50" i="37"/>
  <c r="BJ57" i="37"/>
  <c r="AX57" i="37" s="1"/>
  <c r="BJ60" i="37"/>
  <c r="AX60" i="37" s="1"/>
  <c r="BE71" i="37"/>
  <c r="BJ72" i="37"/>
  <c r="AX72" i="37" s="1"/>
  <c r="BE42" i="37"/>
  <c r="BE48" i="37"/>
  <c r="BE49" i="37"/>
  <c r="BE51" i="37"/>
  <c r="BE54" i="37"/>
  <c r="BE66" i="37"/>
  <c r="BE70" i="37"/>
  <c r="BJ53" i="36"/>
  <c r="AX53" i="36" s="1"/>
  <c r="BJ55" i="36"/>
  <c r="AX55" i="36" s="1"/>
  <c r="BE56" i="36"/>
  <c r="AA56" i="36" s="1"/>
  <c r="BE54" i="36"/>
  <c r="AA54" i="36" s="1"/>
  <c r="BJ16" i="36"/>
  <c r="AX16" i="36" s="1"/>
  <c r="BJ21" i="36"/>
  <c r="AX21" i="36" s="1"/>
  <c r="BJ25" i="36"/>
  <c r="AX25" i="36" s="1"/>
  <c r="AA27" i="36"/>
  <c r="BE32" i="36"/>
  <c r="BL39" i="36"/>
  <c r="BM39" i="36" s="1"/>
  <c r="BK39" i="36"/>
  <c r="AY39" i="36" s="1"/>
  <c r="AA39" i="36"/>
  <c r="BE17" i="36"/>
  <c r="BJ32" i="36"/>
  <c r="AX32" i="36" s="1"/>
  <c r="AA15" i="36"/>
  <c r="BK15" i="36"/>
  <c r="AY15" i="36" s="1"/>
  <c r="AA29" i="36"/>
  <c r="BL29" i="36"/>
  <c r="BM29" i="36" s="1"/>
  <c r="BJ13" i="36"/>
  <c r="AX13" i="36" s="1"/>
  <c r="BJ17" i="36"/>
  <c r="AX17" i="36" s="1"/>
  <c r="AA19" i="36"/>
  <c r="BE24" i="36"/>
  <c r="BE28" i="36"/>
  <c r="BE31" i="36"/>
  <c r="BJ36" i="36"/>
  <c r="AX36" i="36" s="1"/>
  <c r="AA21" i="36"/>
  <c r="AA33" i="36"/>
  <c r="BJ24" i="36"/>
  <c r="AX24" i="36" s="1"/>
  <c r="BK57" i="36"/>
  <c r="AY57" i="36" s="1"/>
  <c r="BE16" i="36"/>
  <c r="BE20" i="36"/>
  <c r="BE23" i="36"/>
  <c r="BJ26" i="36"/>
  <c r="AX26" i="36" s="1"/>
  <c r="BO26" i="36"/>
  <c r="BN25" i="36" s="1"/>
  <c r="BE30" i="36"/>
  <c r="AA49" i="36"/>
  <c r="AA13" i="36"/>
  <c r="BK13" i="36"/>
  <c r="BL13" i="36"/>
  <c r="BJ19" i="36"/>
  <c r="AX19" i="36" s="1"/>
  <c r="BE25" i="36"/>
  <c r="AA40" i="36"/>
  <c r="BJ40" i="36"/>
  <c r="AX40" i="36" s="1"/>
  <c r="BJ46" i="36"/>
  <c r="AX46" i="36" s="1"/>
  <c r="BE50" i="36"/>
  <c r="BE62" i="36"/>
  <c r="BJ65" i="36"/>
  <c r="AX65" i="36" s="1"/>
  <c r="BJ61" i="36"/>
  <c r="AX61" i="36" s="1"/>
  <c r="BJ38" i="36"/>
  <c r="AX38" i="36" s="1"/>
  <c r="BJ43" i="36"/>
  <c r="AX43" i="36" s="1"/>
  <c r="BE45" i="36"/>
  <c r="BJ54" i="36"/>
  <c r="AX54" i="36" s="1"/>
  <c r="BE58" i="36"/>
  <c r="BJ68" i="36"/>
  <c r="AX68" i="36" s="1"/>
  <c r="BE47" i="36"/>
  <c r="BJ51" i="36"/>
  <c r="AX51" i="36" s="1"/>
  <c r="BE53" i="36"/>
  <c r="BJ62" i="36"/>
  <c r="AX62" i="36" s="1"/>
  <c r="AA66" i="36"/>
  <c r="BL69" i="36"/>
  <c r="BM69" i="36" s="1"/>
  <c r="BK69" i="36"/>
  <c r="AY69" i="36" s="1"/>
  <c r="BE71" i="36"/>
  <c r="BJ72" i="36"/>
  <c r="AX72" i="36" s="1"/>
  <c r="BE36" i="36"/>
  <c r="BJ42" i="36"/>
  <c r="AX42" i="36" s="1"/>
  <c r="BE44" i="36"/>
  <c r="BJ47" i="36"/>
  <c r="AX47" i="36" s="1"/>
  <c r="BJ48" i="36"/>
  <c r="AX48" i="36" s="1"/>
  <c r="BE55" i="36"/>
  <c r="BJ59" i="36"/>
  <c r="AX59" i="36" s="1"/>
  <c r="BE61" i="36"/>
  <c r="BJ67" i="36"/>
  <c r="AX67" i="36" s="1"/>
  <c r="BJ70" i="36"/>
  <c r="AX70" i="36" s="1"/>
  <c r="AA26" i="36"/>
  <c r="BE34" i="36"/>
  <c r="BJ41" i="36"/>
  <c r="AX41" i="36" s="1"/>
  <c r="BE52" i="36"/>
  <c r="BJ56" i="36"/>
  <c r="AX56" i="36" s="1"/>
  <c r="BE63" i="36"/>
  <c r="AA64" i="36"/>
  <c r="AA67" i="36"/>
  <c r="BL67" i="36"/>
  <c r="BM67" i="36" s="1"/>
  <c r="BK26" i="36"/>
  <c r="AY26" i="36" s="1"/>
  <c r="BE43" i="36"/>
  <c r="BJ44" i="36"/>
  <c r="AX44" i="36" s="1"/>
  <c r="BJ58" i="36"/>
  <c r="AX58" i="36" s="1"/>
  <c r="BE60" i="36"/>
  <c r="BJ63" i="36"/>
  <c r="AX63" i="36" s="1"/>
  <c r="BJ64" i="36"/>
  <c r="AX64" i="36" s="1"/>
  <c r="BE68" i="36"/>
  <c r="AA69" i="36"/>
  <c r="BE37" i="36"/>
  <c r="BE46" i="36"/>
  <c r="AA51" i="36"/>
  <c r="BJ66" i="36"/>
  <c r="AX66" i="36" s="1"/>
  <c r="BJ59" i="34"/>
  <c r="AX59" i="34" s="1"/>
  <c r="BJ61" i="34"/>
  <c r="AX61" i="34" s="1"/>
  <c r="BJ64" i="34"/>
  <c r="AX64" i="34" s="1"/>
  <c r="BJ60" i="34"/>
  <c r="AX60" i="34" s="1"/>
  <c r="BJ62" i="34"/>
  <c r="AX62" i="34" s="1"/>
  <c r="BJ58" i="34"/>
  <c r="AX58" i="34" s="1"/>
  <c r="BJ63" i="34"/>
  <c r="AX63" i="34" s="1"/>
  <c r="BE64" i="34"/>
  <c r="BE61" i="34"/>
  <c r="BE63" i="34"/>
  <c r="BE57" i="34"/>
  <c r="AA16" i="34"/>
  <c r="AA46" i="34"/>
  <c r="BJ13" i="34"/>
  <c r="AX13" i="34" s="1"/>
  <c r="BE32" i="34"/>
  <c r="AA38" i="34"/>
  <c r="BK18" i="34"/>
  <c r="AY18" i="34" s="1"/>
  <c r="BL29" i="34"/>
  <c r="BM29" i="34" s="1"/>
  <c r="AA29" i="34"/>
  <c r="BE14" i="34"/>
  <c r="BE22" i="34"/>
  <c r="AA40" i="34"/>
  <c r="BK40" i="34"/>
  <c r="AY40" i="34" s="1"/>
  <c r="BL21" i="34"/>
  <c r="BM21" i="34" s="1"/>
  <c r="AA21" i="34"/>
  <c r="BE19" i="34"/>
  <c r="BE27" i="34"/>
  <c r="BE17" i="34"/>
  <c r="BE25" i="34"/>
  <c r="BO25" i="34" s="1"/>
  <c r="BK42" i="34"/>
  <c r="AY42" i="34" s="1"/>
  <c r="AA23" i="34"/>
  <c r="BL33" i="34"/>
  <c r="BM33" i="34" s="1"/>
  <c r="AA33" i="34"/>
  <c r="AA48" i="34"/>
  <c r="BE20" i="34"/>
  <c r="BO20" i="34" s="1"/>
  <c r="BE28" i="34"/>
  <c r="BO28" i="34" s="1"/>
  <c r="AA31" i="34"/>
  <c r="BL31" i="34"/>
  <c r="BM31" i="34" s="1"/>
  <c r="BK31" i="34"/>
  <c r="AY31" i="34" s="1"/>
  <c r="AA39" i="34"/>
  <c r="AA72" i="34"/>
  <c r="AA49" i="34"/>
  <c r="AA54" i="34"/>
  <c r="BK68" i="34"/>
  <c r="AY68" i="34" s="1"/>
  <c r="BE35" i="34"/>
  <c r="BO35" i="34" s="1"/>
  <c r="BE37" i="34"/>
  <c r="BO37" i="34" s="1"/>
  <c r="AA71" i="34"/>
  <c r="BE43" i="34"/>
  <c r="BO43" i="34" s="1"/>
  <c r="BE53" i="34"/>
  <c r="AA42" i="34"/>
  <c r="BE47" i="34"/>
  <c r="BE51" i="34"/>
  <c r="BO51" i="34" s="1"/>
  <c r="BE52" i="34"/>
  <c r="BO52" i="34" s="1"/>
  <c r="BE62" i="34"/>
  <c r="BE34" i="34"/>
  <c r="BO34" i="34" s="1"/>
  <c r="BE50" i="34"/>
  <c r="BO50" i="34" s="1"/>
  <c r="BE44" i="34"/>
  <c r="BE55" i="34"/>
  <c r="AA56" i="34"/>
  <c r="BL65" i="34"/>
  <c r="BM65" i="34" s="1"/>
  <c r="AA65" i="34"/>
  <c r="BE70" i="34"/>
  <c r="BE45" i="34"/>
  <c r="BO45" i="34" s="1"/>
  <c r="BE58" i="34"/>
  <c r="BE59" i="34"/>
  <c r="BE60" i="34"/>
  <c r="BE69" i="34"/>
  <c r="BO69" i="34" s="1"/>
  <c r="BK66" i="34" l="1"/>
  <c r="AY66" i="34" s="1"/>
  <c r="BO47" i="34"/>
  <c r="BO14" i="34"/>
  <c r="BO36" i="34"/>
  <c r="BN35" i="34" s="1"/>
  <c r="BO40" i="34"/>
  <c r="BN39" i="34" s="1"/>
  <c r="BO44" i="34"/>
  <c r="BO71" i="34"/>
  <c r="BO21" i="34"/>
  <c r="BO16" i="34"/>
  <c r="BO30" i="34"/>
  <c r="BN29" i="34" s="1"/>
  <c r="BO62" i="34"/>
  <c r="BO32" i="34"/>
  <c r="BN31" i="34" s="1"/>
  <c r="BO49" i="34"/>
  <c r="BO53" i="34"/>
  <c r="BO70" i="34"/>
  <c r="BN69" i="34" s="1"/>
  <c r="BO39" i="34"/>
  <c r="BO17" i="34"/>
  <c r="BO19" i="34"/>
  <c r="BO65" i="34"/>
  <c r="BO42" i="34"/>
  <c r="BN41" i="34" s="1"/>
  <c r="BO22" i="34"/>
  <c r="BN21" i="34" s="1"/>
  <c r="BO67" i="34"/>
  <c r="BO55" i="34"/>
  <c r="BO27" i="34"/>
  <c r="BO46" i="34"/>
  <c r="BN45" i="34" s="1"/>
  <c r="BO63" i="34"/>
  <c r="BO15" i="34"/>
  <c r="BO68" i="34"/>
  <c r="BN67" i="34" s="1"/>
  <c r="BO58" i="34"/>
  <c r="BO13" i="34"/>
  <c r="AA24" i="34"/>
  <c r="BK24" i="34"/>
  <c r="AY24" i="34" s="1"/>
  <c r="AA41" i="34"/>
  <c r="AA18" i="34"/>
  <c r="BK33" i="34"/>
  <c r="AY33" i="34" s="1"/>
  <c r="AA13" i="34"/>
  <c r="BK29" i="34"/>
  <c r="AY29" i="34" s="1"/>
  <c r="BL49" i="34"/>
  <c r="BM49" i="34" s="1"/>
  <c r="AA67" i="34"/>
  <c r="BL67" i="34"/>
  <c r="BM67" i="34" s="1"/>
  <c r="BK30" i="34"/>
  <c r="AY30" i="34" s="1"/>
  <c r="BK54" i="34"/>
  <c r="AY54" i="34" s="1"/>
  <c r="AA30" i="34"/>
  <c r="BL23" i="34"/>
  <c r="BM23" i="34" s="1"/>
  <c r="BK49" i="34"/>
  <c r="AY49" i="34" s="1"/>
  <c r="AA26" i="34"/>
  <c r="AA68" i="34"/>
  <c r="AA15" i="34"/>
  <c r="BK72" i="34"/>
  <c r="AY72" i="34" s="1"/>
  <c r="BK21" i="34"/>
  <c r="AY21" i="34" s="1"/>
  <c r="AA36" i="34"/>
  <c r="AA57" i="34"/>
  <c r="BO57" i="34"/>
  <c r="BL49" i="36"/>
  <c r="BM49" i="36" s="1"/>
  <c r="BL57" i="36"/>
  <c r="BM57" i="36" s="1"/>
  <c r="BL33" i="36"/>
  <c r="BM33" i="36" s="1"/>
  <c r="BK29" i="36"/>
  <c r="AY29" i="36" s="1"/>
  <c r="BL35" i="36"/>
  <c r="BM35" i="36" s="1"/>
  <c r="BK49" i="36"/>
  <c r="AY49" i="36" s="1"/>
  <c r="BL15" i="36"/>
  <c r="BM15" i="36" s="1"/>
  <c r="BK33" i="36"/>
  <c r="AY33" i="36" s="1"/>
  <c r="BL51" i="36"/>
  <c r="BM51" i="36" s="1"/>
  <c r="BL59" i="36"/>
  <c r="BM59" i="36" s="1"/>
  <c r="BK40" i="36"/>
  <c r="AY40" i="36" s="1"/>
  <c r="BL65" i="36"/>
  <c r="BM65" i="36" s="1"/>
  <c r="BK65" i="36"/>
  <c r="AY65" i="36" s="1"/>
  <c r="BK48" i="36"/>
  <c r="AY48" i="36" s="1"/>
  <c r="BK19" i="36"/>
  <c r="AY19" i="36" s="1"/>
  <c r="BK21" i="36"/>
  <c r="AY21" i="36" s="1"/>
  <c r="BL19" i="36"/>
  <c r="BM19" i="36" s="1"/>
  <c r="BO48" i="36"/>
  <c r="BN47" i="36" s="1"/>
  <c r="BK22" i="36"/>
  <c r="AY22" i="36" s="1"/>
  <c r="BO72" i="36"/>
  <c r="BN71" i="36" s="1"/>
  <c r="AA65" i="36"/>
  <c r="BL21" i="36"/>
  <c r="BM21" i="36" s="1"/>
  <c r="BK27" i="36"/>
  <c r="AY27" i="36" s="1"/>
  <c r="BK14" i="36"/>
  <c r="AY14" i="36" s="1"/>
  <c r="BK35" i="36"/>
  <c r="AY35" i="36" s="1"/>
  <c r="BO14" i="36"/>
  <c r="BN13" i="36" s="1"/>
  <c r="AA48" i="36"/>
  <c r="BK18" i="36"/>
  <c r="AY18" i="36" s="1"/>
  <c r="BO18" i="36"/>
  <c r="BN17" i="36" s="1"/>
  <c r="BK59" i="36"/>
  <c r="AY59" i="36" s="1"/>
  <c r="BO22" i="36"/>
  <c r="BN21" i="36" s="1"/>
  <c r="BO28" i="37"/>
  <c r="BN27" i="37" s="1"/>
  <c r="BK14" i="37"/>
  <c r="AY14" i="37" s="1"/>
  <c r="BK28" i="37"/>
  <c r="AY28" i="37" s="1"/>
  <c r="BK22" i="37"/>
  <c r="AY22" i="37" s="1"/>
  <c r="BL33" i="37"/>
  <c r="BM33" i="37" s="1"/>
  <c r="BK38" i="37"/>
  <c r="AY38" i="37" s="1"/>
  <c r="BO38" i="37"/>
  <c r="BN37" i="37" s="1"/>
  <c r="BK29" i="37"/>
  <c r="AY29" i="37" s="1"/>
  <c r="BL57" i="37"/>
  <c r="BM57" i="37" s="1"/>
  <c r="BO20" i="37"/>
  <c r="BN19" i="37" s="1"/>
  <c r="BO14" i="37"/>
  <c r="BN13" i="37" s="1"/>
  <c r="BL53" i="37"/>
  <c r="BM53" i="37" s="1"/>
  <c r="AA20" i="37"/>
  <c r="BK20" i="37"/>
  <c r="AY20" i="37" s="1"/>
  <c r="BL55" i="37"/>
  <c r="BM55" i="37" s="1"/>
  <c r="BO22" i="37"/>
  <c r="BN21" i="37" s="1"/>
  <c r="AA22" i="37"/>
  <c r="BK55" i="37"/>
  <c r="AY55" i="37" s="1"/>
  <c r="BK16" i="37"/>
  <c r="AY16" i="37" s="1"/>
  <c r="AA16" i="37"/>
  <c r="BL47" i="37"/>
  <c r="BM47" i="37" s="1"/>
  <c r="AA47" i="37"/>
  <c r="BO18" i="37"/>
  <c r="BN17" i="37" s="1"/>
  <c r="AA18" i="37"/>
  <c r="BL37" i="38"/>
  <c r="BM37" i="38" s="1"/>
  <c r="BL57" i="38"/>
  <c r="BM57" i="38" s="1"/>
  <c r="BO36" i="38"/>
  <c r="BN35" i="38" s="1"/>
  <c r="BL51" i="38"/>
  <c r="BM51" i="38" s="1"/>
  <c r="BL33" i="38"/>
  <c r="BM33" i="38" s="1"/>
  <c r="BK35" i="38"/>
  <c r="AY35" i="38" s="1"/>
  <c r="BK67" i="38"/>
  <c r="AY67" i="38" s="1"/>
  <c r="BO54" i="38"/>
  <c r="BN53" i="38" s="1"/>
  <c r="BK16" i="38"/>
  <c r="AY16" i="38" s="1"/>
  <c r="BO40" i="38"/>
  <c r="BN39" i="38" s="1"/>
  <c r="BO42" i="38"/>
  <c r="BN41" i="38" s="1"/>
  <c r="BK37" i="38"/>
  <c r="AY37" i="38" s="1"/>
  <c r="BK13" i="38"/>
  <c r="AY13" i="38" s="1"/>
  <c r="AA37" i="38"/>
  <c r="BL13" i="38"/>
  <c r="BM13" i="38" s="1"/>
  <c r="BK33" i="38"/>
  <c r="AY33" i="38" s="1"/>
  <c r="BK51" i="38"/>
  <c r="AY51" i="38" s="1"/>
  <c r="BK65" i="38"/>
  <c r="AY65" i="38" s="1"/>
  <c r="BK17" i="38"/>
  <c r="AY17" i="38" s="1"/>
  <c r="BO32" i="38"/>
  <c r="BN31" i="38" s="1"/>
  <c r="BL65" i="38"/>
  <c r="BM65" i="38" s="1"/>
  <c r="BO50" i="38"/>
  <c r="BN49" i="38" s="1"/>
  <c r="BK50" i="38"/>
  <c r="AY50" i="38" s="1"/>
  <c r="AA42" i="38"/>
  <c r="BP35" i="38"/>
  <c r="AZ35" i="38" s="1"/>
  <c r="AR45" i="9"/>
  <c r="AR46" i="9"/>
  <c r="AR44" i="9"/>
  <c r="BK25" i="39"/>
  <c r="AY25" i="39" s="1"/>
  <c r="BL25" i="39"/>
  <c r="BM25" i="39" s="1"/>
  <c r="BO25" i="39"/>
  <c r="BO61" i="39"/>
  <c r="BK65" i="39"/>
  <c r="AY65" i="39" s="1"/>
  <c r="BK61" i="39"/>
  <c r="AY61" i="39" s="1"/>
  <c r="BO63" i="39"/>
  <c r="BO65" i="39"/>
  <c r="BK63" i="39"/>
  <c r="AY63" i="39" s="1"/>
  <c r="BL33" i="39"/>
  <c r="BM33" i="39" s="1"/>
  <c r="BL65" i="39"/>
  <c r="BM65" i="39" s="1"/>
  <c r="BK33" i="39"/>
  <c r="AY33" i="39" s="1"/>
  <c r="BL59" i="39"/>
  <c r="BM59" i="39" s="1"/>
  <c r="BL23" i="39"/>
  <c r="BM23" i="39" s="1"/>
  <c r="BL61" i="39"/>
  <c r="BM61" i="39" s="1"/>
  <c r="BK44" i="39"/>
  <c r="AY44" i="39" s="1"/>
  <c r="BO44" i="39"/>
  <c r="BN43" i="39" s="1"/>
  <c r="BO16" i="39"/>
  <c r="BN15" i="39" s="1"/>
  <c r="BO26" i="39"/>
  <c r="BN25" i="39" s="1"/>
  <c r="BL63" i="39"/>
  <c r="BM63" i="39" s="1"/>
  <c r="BK16" i="39"/>
  <c r="AY16" i="39" s="1"/>
  <c r="BO64" i="39"/>
  <c r="BN63" i="39" s="1"/>
  <c r="BK62" i="39"/>
  <c r="AY62" i="39" s="1"/>
  <c r="BK46" i="39"/>
  <c r="AY46" i="39" s="1"/>
  <c r="BO35" i="39"/>
  <c r="BO30" i="39"/>
  <c r="BN29" i="39" s="1"/>
  <c r="BO59" i="39"/>
  <c r="BK68" i="39"/>
  <c r="AY68" i="39" s="1"/>
  <c r="BO36" i="39"/>
  <c r="BN35" i="39" s="1"/>
  <c r="BO23" i="39"/>
  <c r="AA36" i="39"/>
  <c r="AA46" i="39"/>
  <c r="BO62" i="39"/>
  <c r="BN61" i="39" s="1"/>
  <c r="BK64" i="39"/>
  <c r="AY64" i="39" s="1"/>
  <c r="BK23" i="39"/>
  <c r="AY23" i="39" s="1"/>
  <c r="AA30" i="39"/>
  <c r="AA23" i="39"/>
  <c r="BO13" i="39"/>
  <c r="BK17" i="39"/>
  <c r="AY17" i="39" s="1"/>
  <c r="AA62" i="39"/>
  <c r="BL13" i="39"/>
  <c r="BM13" i="39" s="1"/>
  <c r="BK30" i="39"/>
  <c r="AY30" i="39" s="1"/>
  <c r="BO33" i="39"/>
  <c r="AA69" i="39"/>
  <c r="BO69" i="39"/>
  <c r="BK69" i="39"/>
  <c r="AY69" i="39" s="1"/>
  <c r="BL69" i="39"/>
  <c r="BM69" i="39" s="1"/>
  <c r="AA53" i="39"/>
  <c r="BO53" i="39"/>
  <c r="BK53" i="39"/>
  <c r="AY53" i="39" s="1"/>
  <c r="BL53" i="39"/>
  <c r="BM53" i="39" s="1"/>
  <c r="BO54" i="39"/>
  <c r="BN53" i="39" s="1"/>
  <c r="AA54" i="39"/>
  <c r="BK54" i="39"/>
  <c r="AY54" i="39" s="1"/>
  <c r="BK59" i="39"/>
  <c r="AY59" i="39" s="1"/>
  <c r="BO28" i="39"/>
  <c r="BN27" i="39" s="1"/>
  <c r="AA28" i="39"/>
  <c r="BK28" i="39"/>
  <c r="AY28" i="39" s="1"/>
  <c r="BO43" i="39"/>
  <c r="BK26" i="39"/>
  <c r="AY26" i="39" s="1"/>
  <c r="AA41" i="39"/>
  <c r="BO41" i="39"/>
  <c r="BL41" i="39"/>
  <c r="BM41" i="39" s="1"/>
  <c r="BK41" i="39"/>
  <c r="AY41" i="39" s="1"/>
  <c r="AA40" i="39"/>
  <c r="BO40" i="39"/>
  <c r="BN39" i="39" s="1"/>
  <c r="BK40" i="39"/>
  <c r="AY40" i="39" s="1"/>
  <c r="AA52" i="39"/>
  <c r="BK52" i="39"/>
  <c r="AY52" i="39" s="1"/>
  <c r="BO52" i="39"/>
  <c r="BN51" i="39" s="1"/>
  <c r="BO37" i="39"/>
  <c r="AA37" i="39"/>
  <c r="BL37" i="39"/>
  <c r="BM37" i="39" s="1"/>
  <c r="BK37" i="39"/>
  <c r="AY37" i="39" s="1"/>
  <c r="BK48" i="39"/>
  <c r="AY48" i="39" s="1"/>
  <c r="AA48" i="39"/>
  <c r="BO48" i="39"/>
  <c r="BN47" i="39" s="1"/>
  <c r="BO55" i="39"/>
  <c r="BL55" i="39"/>
  <c r="BM55" i="39" s="1"/>
  <c r="BK55" i="39"/>
  <c r="AY55" i="39" s="1"/>
  <c r="AA55" i="39"/>
  <c r="BK42" i="39"/>
  <c r="AY42" i="39" s="1"/>
  <c r="BL21" i="39"/>
  <c r="BM21" i="39" s="1"/>
  <c r="BK21" i="39"/>
  <c r="AY21" i="39" s="1"/>
  <c r="AA21" i="39"/>
  <c r="BO21" i="39"/>
  <c r="BO32" i="39"/>
  <c r="BN31" i="39" s="1"/>
  <c r="BO70" i="39"/>
  <c r="BN69" i="39" s="1"/>
  <c r="BK70" i="39"/>
  <c r="AY70" i="39" s="1"/>
  <c r="AA70" i="39"/>
  <c r="BO56" i="39"/>
  <c r="BN55" i="39" s="1"/>
  <c r="BK56" i="39"/>
  <c r="AY56" i="39" s="1"/>
  <c r="AA56" i="39"/>
  <c r="BO47" i="39"/>
  <c r="AA22" i="39"/>
  <c r="BK22" i="39"/>
  <c r="AY22" i="39" s="1"/>
  <c r="BO22" i="39"/>
  <c r="BN21" i="39" s="1"/>
  <c r="BO66" i="39"/>
  <c r="BN65" i="39" s="1"/>
  <c r="BK66" i="39"/>
  <c r="AY66" i="39" s="1"/>
  <c r="AA66" i="39"/>
  <c r="AX68" i="39"/>
  <c r="BO68" i="39"/>
  <c r="BN67" i="39" s="1"/>
  <c r="BL39" i="39"/>
  <c r="BM39" i="39" s="1"/>
  <c r="BO39" i="39"/>
  <c r="AA39" i="39"/>
  <c r="BK39" i="39"/>
  <c r="AY39" i="39" s="1"/>
  <c r="BO50" i="39"/>
  <c r="BN49" i="39" s="1"/>
  <c r="BK50" i="39"/>
  <c r="AY50" i="39" s="1"/>
  <c r="AA50" i="39"/>
  <c r="BL51" i="39"/>
  <c r="BM51" i="39" s="1"/>
  <c r="BK51" i="39"/>
  <c r="AY51" i="39" s="1"/>
  <c r="BO51" i="39"/>
  <c r="AA51" i="39"/>
  <c r="BO18" i="39"/>
  <c r="BN17" i="39" s="1"/>
  <c r="BK18" i="39"/>
  <c r="AY18" i="39" s="1"/>
  <c r="AA18" i="39"/>
  <c r="BL47" i="39"/>
  <c r="BM47" i="39" s="1"/>
  <c r="BO42" i="39"/>
  <c r="BN41" i="39" s="1"/>
  <c r="BO19" i="39"/>
  <c r="BL19" i="39"/>
  <c r="BM19" i="39" s="1"/>
  <c r="BK19" i="39"/>
  <c r="AY19" i="39" s="1"/>
  <c r="AA19" i="39"/>
  <c r="BO20" i="39"/>
  <c r="BN19" i="39" s="1"/>
  <c r="BK20" i="39"/>
  <c r="AY20" i="39" s="1"/>
  <c r="AA20" i="39"/>
  <c r="BK32" i="39"/>
  <c r="AY32" i="39" s="1"/>
  <c r="BO58" i="39"/>
  <c r="BN57" i="39" s="1"/>
  <c r="AA58" i="39"/>
  <c r="BK58" i="39"/>
  <c r="AY58" i="39" s="1"/>
  <c r="BL35" i="39"/>
  <c r="BM35" i="39" s="1"/>
  <c r="BO49" i="39"/>
  <c r="BK49" i="39"/>
  <c r="AY49" i="39" s="1"/>
  <c r="BP49" i="39" s="1"/>
  <c r="AZ49" i="39" s="1"/>
  <c r="AA49" i="39"/>
  <c r="BL49" i="39"/>
  <c r="BM49" i="39" s="1"/>
  <c r="BL45" i="39"/>
  <c r="BM45" i="39" s="1"/>
  <c r="BK45" i="39"/>
  <c r="AY45" i="39" s="1"/>
  <c r="AA45" i="39"/>
  <c r="BO45" i="39"/>
  <c r="BK34" i="39"/>
  <c r="AY34" i="39" s="1"/>
  <c r="BO34" i="39"/>
  <c r="BN33" i="39" s="1"/>
  <c r="AA34" i="39"/>
  <c r="BK24" i="39"/>
  <c r="AY24" i="39" s="1"/>
  <c r="BK36" i="39"/>
  <c r="AY36" i="39" s="1"/>
  <c r="BL15" i="39"/>
  <c r="BM15" i="39" s="1"/>
  <c r="BK15" i="39"/>
  <c r="AY15" i="39" s="1"/>
  <c r="AA15" i="39"/>
  <c r="BO15" i="39"/>
  <c r="BL17" i="39"/>
  <c r="BM17" i="39" s="1"/>
  <c r="BK35" i="39"/>
  <c r="AY35" i="39" s="1"/>
  <c r="BL57" i="39"/>
  <c r="BM57" i="39" s="1"/>
  <c r="BK57" i="39"/>
  <c r="AY57" i="39" s="1"/>
  <c r="AA57" i="39"/>
  <c r="BO57" i="39"/>
  <c r="BO60" i="39"/>
  <c r="BN59" i="39" s="1"/>
  <c r="BK60" i="39"/>
  <c r="AY60" i="39" s="1"/>
  <c r="AA60" i="39"/>
  <c r="BL67" i="39"/>
  <c r="BM67" i="39" s="1"/>
  <c r="BK67" i="39"/>
  <c r="AY67" i="39" s="1"/>
  <c r="AA67" i="39"/>
  <c r="BO67" i="39"/>
  <c r="BO38" i="39"/>
  <c r="BN37" i="39" s="1"/>
  <c r="AA38" i="39"/>
  <c r="BK38" i="39"/>
  <c r="AY38" i="39" s="1"/>
  <c r="BL31" i="39"/>
  <c r="BM31" i="39" s="1"/>
  <c r="BK31" i="39"/>
  <c r="AY31" i="39" s="1"/>
  <c r="AA31" i="39"/>
  <c r="BO31" i="39"/>
  <c r="BK43" i="39"/>
  <c r="AY43" i="39" s="1"/>
  <c r="BP43" i="39" s="1"/>
  <c r="AZ43" i="39" s="1"/>
  <c r="BO24" i="39"/>
  <c r="BN23" i="39" s="1"/>
  <c r="BK47" i="39"/>
  <c r="AY47" i="39" s="1"/>
  <c r="AA29" i="39"/>
  <c r="BO29" i="39"/>
  <c r="BL29" i="39"/>
  <c r="BM29" i="39" s="1"/>
  <c r="BK29" i="39"/>
  <c r="AY29" i="39" s="1"/>
  <c r="BO14" i="39"/>
  <c r="BN13" i="39" s="1"/>
  <c r="BK14" i="39"/>
  <c r="AY14" i="39" s="1"/>
  <c r="AA14" i="39"/>
  <c r="AX13" i="39"/>
  <c r="BK13" i="39"/>
  <c r="BO17" i="39"/>
  <c r="BL27" i="39"/>
  <c r="BM27" i="39" s="1"/>
  <c r="BK27" i="39"/>
  <c r="AY27" i="39" s="1"/>
  <c r="AA27" i="39"/>
  <c r="BO27" i="39"/>
  <c r="BO72" i="39"/>
  <c r="BN71" i="39" s="1"/>
  <c r="BK72" i="39"/>
  <c r="AY72" i="39" s="1"/>
  <c r="AA72" i="39"/>
  <c r="BO71" i="39"/>
  <c r="BL71" i="39"/>
  <c r="BM71" i="39" s="1"/>
  <c r="BK71" i="39"/>
  <c r="AY71" i="39" s="1"/>
  <c r="AA71" i="39"/>
  <c r="BL43" i="39"/>
  <c r="BM43" i="39" s="1"/>
  <c r="BO46" i="39"/>
  <c r="BN45" i="39" s="1"/>
  <c r="BK61" i="38"/>
  <c r="AY61" i="38" s="1"/>
  <c r="AA61" i="38"/>
  <c r="BL61" i="38"/>
  <c r="BM61" i="38" s="1"/>
  <c r="BO46" i="38"/>
  <c r="BN45" i="38" s="1"/>
  <c r="AA46" i="38"/>
  <c r="BK46" i="38"/>
  <c r="AY46" i="38" s="1"/>
  <c r="BO34" i="38"/>
  <c r="BN33" i="38" s="1"/>
  <c r="AA27" i="38"/>
  <c r="BL27" i="38"/>
  <c r="BM27" i="38" s="1"/>
  <c r="BK27" i="38"/>
  <c r="AY27" i="38" s="1"/>
  <c r="BL49" i="38"/>
  <c r="BM49" i="38" s="1"/>
  <c r="BK49" i="38"/>
  <c r="AY49" i="38" s="1"/>
  <c r="AA49" i="38"/>
  <c r="BK54" i="38"/>
  <c r="AY54" i="38" s="1"/>
  <c r="BP53" i="38" s="1"/>
  <c r="AZ53" i="38" s="1"/>
  <c r="BK34" i="38"/>
  <c r="AY34" i="38" s="1"/>
  <c r="BO14" i="38"/>
  <c r="BK14" i="38"/>
  <c r="AY14" i="38" s="1"/>
  <c r="AA14" i="38"/>
  <c r="BK42" i="38"/>
  <c r="AY42" i="38" s="1"/>
  <c r="BP41" i="38" s="1"/>
  <c r="AZ41" i="38" s="1"/>
  <c r="BL25" i="38"/>
  <c r="BM25" i="38" s="1"/>
  <c r="BO22" i="38"/>
  <c r="BN21" i="38" s="1"/>
  <c r="BK22" i="38"/>
  <c r="AY22" i="38" s="1"/>
  <c r="AA22" i="38"/>
  <c r="BL55" i="38"/>
  <c r="BM55" i="38" s="1"/>
  <c r="BK55" i="38"/>
  <c r="AY55" i="38" s="1"/>
  <c r="AA55" i="38"/>
  <c r="AX39" i="38"/>
  <c r="BK39" i="38"/>
  <c r="AY39" i="38" s="1"/>
  <c r="BO62" i="38"/>
  <c r="BN61" i="38" s="1"/>
  <c r="BK62" i="38"/>
  <c r="AY62" i="38" s="1"/>
  <c r="AA62" i="38"/>
  <c r="BO48" i="38"/>
  <c r="BN47" i="38" s="1"/>
  <c r="BK48" i="38"/>
  <c r="AY48" i="38" s="1"/>
  <c r="AA48" i="38"/>
  <c r="AA20" i="38"/>
  <c r="BO20" i="38"/>
  <c r="BN19" i="38" s="1"/>
  <c r="BK20" i="38"/>
  <c r="AY20" i="38" s="1"/>
  <c r="BK43" i="38"/>
  <c r="AY43" i="38" s="1"/>
  <c r="BP43" i="38" s="1"/>
  <c r="AZ43" i="38" s="1"/>
  <c r="BO72" i="38"/>
  <c r="BN71" i="38" s="1"/>
  <c r="BK72" i="38"/>
  <c r="AY72" i="38" s="1"/>
  <c r="AA72" i="38"/>
  <c r="BO56" i="38"/>
  <c r="BN55" i="38" s="1"/>
  <c r="BK56" i="38"/>
  <c r="AY56" i="38" s="1"/>
  <c r="AA56" i="38"/>
  <c r="BL23" i="38"/>
  <c r="BM23" i="38" s="1"/>
  <c r="BK23" i="38"/>
  <c r="AY23" i="38" s="1"/>
  <c r="AA23" i="38"/>
  <c r="BO18" i="38"/>
  <c r="BN17" i="38" s="1"/>
  <c r="BK18" i="38"/>
  <c r="AY18" i="38" s="1"/>
  <c r="AA18" i="38"/>
  <c r="BL47" i="38"/>
  <c r="BM47" i="38" s="1"/>
  <c r="BK47" i="38"/>
  <c r="AY47" i="38" s="1"/>
  <c r="AA47" i="38"/>
  <c r="BL31" i="38"/>
  <c r="BM31" i="38" s="1"/>
  <c r="BK31" i="38"/>
  <c r="AY31" i="38" s="1"/>
  <c r="BP31" i="38" s="1"/>
  <c r="AZ31" i="38" s="1"/>
  <c r="AA31" i="38"/>
  <c r="BK45" i="38"/>
  <c r="AY45" i="38" s="1"/>
  <c r="BK30" i="38"/>
  <c r="AY30" i="38" s="1"/>
  <c r="AA19" i="38"/>
  <c r="BL19" i="38"/>
  <c r="BM19" i="38" s="1"/>
  <c r="BK19" i="38"/>
  <c r="AY19" i="38" s="1"/>
  <c r="BO24" i="38"/>
  <c r="BN23" i="38" s="1"/>
  <c r="BK25" i="38"/>
  <c r="AY25" i="38" s="1"/>
  <c r="BO60" i="38"/>
  <c r="BN59" i="38" s="1"/>
  <c r="BK60" i="38"/>
  <c r="AY60" i="38" s="1"/>
  <c r="AA60" i="38"/>
  <c r="AA28" i="38"/>
  <c r="BO28" i="38"/>
  <c r="BN27" i="38" s="1"/>
  <c r="BK28" i="38"/>
  <c r="AY28" i="38" s="1"/>
  <c r="BL69" i="38"/>
  <c r="BM69" i="38" s="1"/>
  <c r="AA69" i="38"/>
  <c r="BK69" i="38"/>
  <c r="AY69" i="38" s="1"/>
  <c r="BO52" i="38"/>
  <c r="BN51" i="38" s="1"/>
  <c r="BK52" i="38"/>
  <c r="AY52" i="38" s="1"/>
  <c r="BP51" i="38" s="1"/>
  <c r="AZ51" i="38" s="1"/>
  <c r="AA52" i="38"/>
  <c r="BL71" i="38"/>
  <c r="BM71" i="38" s="1"/>
  <c r="BK71" i="38"/>
  <c r="AY71" i="38" s="1"/>
  <c r="AA71" i="38"/>
  <c r="BO26" i="38"/>
  <c r="BN25" i="38" s="1"/>
  <c r="BK26" i="38"/>
  <c r="AY26" i="38" s="1"/>
  <c r="AA26" i="38"/>
  <c r="BO30" i="38"/>
  <c r="BN29" i="38" s="1"/>
  <c r="BL59" i="38"/>
  <c r="BM59" i="38" s="1"/>
  <c r="BL21" i="38"/>
  <c r="BM21" i="38" s="1"/>
  <c r="BK21" i="38"/>
  <c r="AY21" i="38" s="1"/>
  <c r="AA21" i="38"/>
  <c r="BO68" i="38"/>
  <c r="BN67" i="38" s="1"/>
  <c r="BK68" i="38"/>
  <c r="AY68" i="38" s="1"/>
  <c r="AA68" i="38"/>
  <c r="BO70" i="38"/>
  <c r="BN69" i="38" s="1"/>
  <c r="BK70" i="38"/>
  <c r="AY70" i="38" s="1"/>
  <c r="AA70" i="38"/>
  <c r="AA58" i="38"/>
  <c r="BK58" i="38"/>
  <c r="AY58" i="38" s="1"/>
  <c r="BP57" i="38" s="1"/>
  <c r="AZ57" i="38" s="1"/>
  <c r="BO58" i="38"/>
  <c r="BN57" i="38" s="1"/>
  <c r="BL43" i="38"/>
  <c r="BM43" i="38" s="1"/>
  <c r="BK59" i="38"/>
  <c r="AY59" i="38" s="1"/>
  <c r="BP59" i="38" s="1"/>
  <c r="AZ59" i="38" s="1"/>
  <c r="BL45" i="38"/>
  <c r="BM45" i="38" s="1"/>
  <c r="BL15" i="38"/>
  <c r="BM15" i="38" s="1"/>
  <c r="BK15" i="38"/>
  <c r="AY15" i="38" s="1"/>
  <c r="AA15" i="38"/>
  <c r="AA66" i="38"/>
  <c r="BK66" i="38"/>
  <c r="AY66" i="38" s="1"/>
  <c r="BO66" i="38"/>
  <c r="BN65" i="38" s="1"/>
  <c r="BO16" i="38"/>
  <c r="BN15" i="38" s="1"/>
  <c r="BK24" i="38"/>
  <c r="AY24" i="38" s="1"/>
  <c r="BL63" i="38"/>
  <c r="BM63" i="38" s="1"/>
  <c r="BK63" i="38"/>
  <c r="AY63" i="38" s="1"/>
  <c r="AA63" i="38"/>
  <c r="BO38" i="38"/>
  <c r="BN37" i="38" s="1"/>
  <c r="AA38" i="38"/>
  <c r="BK38" i="38"/>
  <c r="AY38" i="38" s="1"/>
  <c r="BP37" i="38" s="1"/>
  <c r="AZ37" i="38" s="1"/>
  <c r="BO64" i="38"/>
  <c r="BN63" i="38" s="1"/>
  <c r="BK64" i="38"/>
  <c r="AY64" i="38" s="1"/>
  <c r="AA64" i="38"/>
  <c r="BK40" i="38"/>
  <c r="AY40" i="38" s="1"/>
  <c r="BL29" i="38"/>
  <c r="BM29" i="38" s="1"/>
  <c r="BK29" i="38"/>
  <c r="AY29" i="38" s="1"/>
  <c r="AA29" i="38"/>
  <c r="BL67" i="38"/>
  <c r="BM67" i="38" s="1"/>
  <c r="BL39" i="37"/>
  <c r="BM39" i="37" s="1"/>
  <c r="BK39" i="37"/>
  <c r="AY39" i="37" s="1"/>
  <c r="AA39" i="37"/>
  <c r="BL45" i="37"/>
  <c r="BM45" i="37" s="1"/>
  <c r="BK45" i="37"/>
  <c r="AY45" i="37" s="1"/>
  <c r="AA45" i="37"/>
  <c r="BK72" i="37"/>
  <c r="AY72" i="37" s="1"/>
  <c r="BK63" i="37"/>
  <c r="AY63" i="37" s="1"/>
  <c r="AA36" i="37"/>
  <c r="BO36" i="37"/>
  <c r="BN35" i="37" s="1"/>
  <c r="BK36" i="37"/>
  <c r="AY36" i="37" s="1"/>
  <c r="BK69" i="37"/>
  <c r="AY69" i="37" s="1"/>
  <c r="BO24" i="37"/>
  <c r="BN23" i="37" s="1"/>
  <c r="AA24" i="37"/>
  <c r="BK24" i="37"/>
  <c r="AY24" i="37" s="1"/>
  <c r="AA25" i="37"/>
  <c r="BL25" i="37"/>
  <c r="BM25" i="37" s="1"/>
  <c r="BK25" i="37"/>
  <c r="AY25" i="37" s="1"/>
  <c r="BL67" i="37"/>
  <c r="BM67" i="37" s="1"/>
  <c r="BK67" i="37"/>
  <c r="AY67" i="37" s="1"/>
  <c r="AA67" i="37"/>
  <c r="BO40" i="37"/>
  <c r="BN39" i="37" s="1"/>
  <c r="AA40" i="37"/>
  <c r="BK40" i="37"/>
  <c r="AY40" i="37" s="1"/>
  <c r="BL31" i="37"/>
  <c r="BM31" i="37" s="1"/>
  <c r="BK31" i="37"/>
  <c r="AY31" i="37" s="1"/>
  <c r="AA31" i="37"/>
  <c r="BL69" i="37"/>
  <c r="BM69" i="37" s="1"/>
  <c r="BK13" i="37"/>
  <c r="BL65" i="37"/>
  <c r="BM65" i="37" s="1"/>
  <c r="BK65" i="37"/>
  <c r="AY65" i="37" s="1"/>
  <c r="AA65" i="37"/>
  <c r="BK68" i="37"/>
  <c r="AY68" i="37" s="1"/>
  <c r="BO56" i="37"/>
  <c r="BN55" i="37" s="1"/>
  <c r="BK56" i="37"/>
  <c r="AY56" i="37" s="1"/>
  <c r="AA56" i="37"/>
  <c r="BL27" i="37"/>
  <c r="BM27" i="37" s="1"/>
  <c r="BK27" i="37"/>
  <c r="AY27" i="37" s="1"/>
  <c r="BP27" i="37" s="1"/>
  <c r="AZ27" i="37" s="1"/>
  <c r="AA27" i="37"/>
  <c r="BL23" i="37"/>
  <c r="BM23" i="37" s="1"/>
  <c r="BK23" i="37"/>
  <c r="AY23" i="37" s="1"/>
  <c r="AA23" i="37"/>
  <c r="BO54" i="37"/>
  <c r="BN53" i="37" s="1"/>
  <c r="BK54" i="37"/>
  <c r="AY54" i="37" s="1"/>
  <c r="BP53" i="37" s="1"/>
  <c r="AZ53" i="37" s="1"/>
  <c r="AA54" i="37"/>
  <c r="BO60" i="37"/>
  <c r="BN59" i="37" s="1"/>
  <c r="BK60" i="37"/>
  <c r="AY60" i="37" s="1"/>
  <c r="AA60" i="37"/>
  <c r="BO44" i="37"/>
  <c r="BN43" i="37" s="1"/>
  <c r="BK44" i="37"/>
  <c r="AY44" i="37" s="1"/>
  <c r="AA44" i="37"/>
  <c r="BO64" i="37"/>
  <c r="BN63" i="37" s="1"/>
  <c r="BK64" i="37"/>
  <c r="AY64" i="37" s="1"/>
  <c r="AA64" i="37"/>
  <c r="BO68" i="37"/>
  <c r="BN67" i="37" s="1"/>
  <c r="BL15" i="37"/>
  <c r="BM15" i="37" s="1"/>
  <c r="BK15" i="37"/>
  <c r="AY15" i="37" s="1"/>
  <c r="AA15" i="37"/>
  <c r="AA34" i="37"/>
  <c r="BO34" i="37"/>
  <c r="BN33" i="37" s="1"/>
  <c r="BK34" i="37"/>
  <c r="AY34" i="37" s="1"/>
  <c r="BP33" i="37" s="1"/>
  <c r="AZ33" i="37" s="1"/>
  <c r="BL41" i="37"/>
  <c r="BM41" i="37" s="1"/>
  <c r="AA41" i="37"/>
  <c r="BK41" i="37"/>
  <c r="AY41" i="37" s="1"/>
  <c r="BL13" i="37"/>
  <c r="BK21" i="37"/>
  <c r="AY21" i="37" s="1"/>
  <c r="BP21" i="37" s="1"/>
  <c r="AZ21" i="37" s="1"/>
  <c r="BL61" i="37"/>
  <c r="BM61" i="37" s="1"/>
  <c r="BK61" i="37"/>
  <c r="AY61" i="37" s="1"/>
  <c r="AA61" i="37"/>
  <c r="BL51" i="37"/>
  <c r="BM51" i="37" s="1"/>
  <c r="BK51" i="37"/>
  <c r="AY51" i="37" s="1"/>
  <c r="AA51" i="37"/>
  <c r="BO50" i="37"/>
  <c r="BN49" i="37" s="1"/>
  <c r="BK50" i="37"/>
  <c r="AY50" i="37" s="1"/>
  <c r="AA50" i="37"/>
  <c r="AA59" i="37"/>
  <c r="BK59" i="37"/>
  <c r="AY59" i="37" s="1"/>
  <c r="BL59" i="37"/>
  <c r="BM59" i="37" s="1"/>
  <c r="BO32" i="37"/>
  <c r="BN31" i="37" s="1"/>
  <c r="BK32" i="37"/>
  <c r="AY32" i="37" s="1"/>
  <c r="AA32" i="37"/>
  <c r="AA19" i="37"/>
  <c r="BK19" i="37"/>
  <c r="AY19" i="37" s="1"/>
  <c r="BL19" i="37"/>
  <c r="BM19" i="37" s="1"/>
  <c r="BO46" i="37"/>
  <c r="BN45" i="37" s="1"/>
  <c r="BO62" i="37"/>
  <c r="BN61" i="37" s="1"/>
  <c r="BL21" i="37"/>
  <c r="BM21" i="37" s="1"/>
  <c r="BO30" i="37"/>
  <c r="BN29" i="37" s="1"/>
  <c r="BK30" i="37"/>
  <c r="AY30" i="37" s="1"/>
  <c r="BP29" i="37" s="1"/>
  <c r="AZ29" i="37" s="1"/>
  <c r="AA30" i="37"/>
  <c r="BL49" i="37"/>
  <c r="BM49" i="37" s="1"/>
  <c r="BK49" i="37"/>
  <c r="AY49" i="37" s="1"/>
  <c r="AA49" i="37"/>
  <c r="BO58" i="37"/>
  <c r="BN57" i="37" s="1"/>
  <c r="BK58" i="37"/>
  <c r="AY58" i="37" s="1"/>
  <c r="AA58" i="37"/>
  <c r="BL35" i="37"/>
  <c r="BM35" i="37" s="1"/>
  <c r="AA35" i="37"/>
  <c r="BK35" i="37"/>
  <c r="AY35" i="37" s="1"/>
  <c r="BP35" i="37" s="1"/>
  <c r="AZ35" i="37" s="1"/>
  <c r="AA43" i="37"/>
  <c r="BL43" i="37"/>
  <c r="BM43" i="37" s="1"/>
  <c r="BK43" i="37"/>
  <c r="AY43" i="37" s="1"/>
  <c r="BL63" i="37"/>
  <c r="BM63" i="37" s="1"/>
  <c r="BL29" i="37"/>
  <c r="BM29" i="37" s="1"/>
  <c r="BL17" i="37"/>
  <c r="BM17" i="37" s="1"/>
  <c r="AA17" i="37"/>
  <c r="BK17" i="37"/>
  <c r="AY17" i="37" s="1"/>
  <c r="BP17" i="37" s="1"/>
  <c r="AZ17" i="37" s="1"/>
  <c r="BL71" i="37"/>
  <c r="BM71" i="37" s="1"/>
  <c r="BK71" i="37"/>
  <c r="AY71" i="37" s="1"/>
  <c r="AA71" i="37"/>
  <c r="BO72" i="37"/>
  <c r="BN71" i="37" s="1"/>
  <c r="BO70" i="37"/>
  <c r="BN69" i="37" s="1"/>
  <c r="BK70" i="37"/>
  <c r="AY70" i="37" s="1"/>
  <c r="AA70" i="37"/>
  <c r="BO48" i="37"/>
  <c r="BN47" i="37" s="1"/>
  <c r="BK48" i="37"/>
  <c r="AY48" i="37" s="1"/>
  <c r="BP47" i="37" s="1"/>
  <c r="AZ47" i="37" s="1"/>
  <c r="AA48" i="37"/>
  <c r="BK57" i="37"/>
  <c r="AY57" i="37" s="1"/>
  <c r="BK46" i="37"/>
  <c r="AY46" i="37" s="1"/>
  <c r="BK62" i="37"/>
  <c r="AY62" i="37" s="1"/>
  <c r="BK26" i="37"/>
  <c r="AY26" i="37" s="1"/>
  <c r="BO66" i="37"/>
  <c r="BN65" i="37" s="1"/>
  <c r="BK66" i="37"/>
  <c r="AY66" i="37" s="1"/>
  <c r="AA66" i="37"/>
  <c r="BO42" i="37"/>
  <c r="BN41" i="37" s="1"/>
  <c r="BK42" i="37"/>
  <c r="AY42" i="37" s="1"/>
  <c r="AA42" i="37"/>
  <c r="AA52" i="37"/>
  <c r="BO52" i="37"/>
  <c r="BN51" i="37" s="1"/>
  <c r="BK52" i="37"/>
  <c r="AY52" i="37" s="1"/>
  <c r="BO26" i="37"/>
  <c r="BN25" i="37" s="1"/>
  <c r="BK37" i="37"/>
  <c r="AY37" i="37" s="1"/>
  <c r="BP37" i="37" s="1"/>
  <c r="AZ37" i="37" s="1"/>
  <c r="AA37" i="37"/>
  <c r="BL37" i="37"/>
  <c r="BM37" i="37" s="1"/>
  <c r="BK42" i="36"/>
  <c r="AY42" i="36" s="1"/>
  <c r="BO46" i="36"/>
  <c r="BN45" i="36" s="1"/>
  <c r="BK46" i="36"/>
  <c r="AY46" i="36" s="1"/>
  <c r="AA46" i="36"/>
  <c r="BL37" i="36"/>
  <c r="BM37" i="36" s="1"/>
  <c r="BK37" i="36"/>
  <c r="AY37" i="36" s="1"/>
  <c r="AA37" i="36"/>
  <c r="BO60" i="36"/>
  <c r="BN59" i="36" s="1"/>
  <c r="BK60" i="36"/>
  <c r="AY60" i="36" s="1"/>
  <c r="AA60" i="36"/>
  <c r="AA34" i="36"/>
  <c r="BO34" i="36"/>
  <c r="BN33" i="36" s="1"/>
  <c r="BK34" i="36"/>
  <c r="AY34" i="36" s="1"/>
  <c r="BP33" i="36" s="1"/>
  <c r="AZ33" i="36" s="1"/>
  <c r="BL61" i="36"/>
  <c r="BM61" i="36" s="1"/>
  <c r="BK61" i="36"/>
  <c r="AY61" i="36" s="1"/>
  <c r="AA61" i="36"/>
  <c r="BO42" i="36"/>
  <c r="BN41" i="36" s="1"/>
  <c r="BK51" i="36"/>
  <c r="AY51" i="36" s="1"/>
  <c r="AA31" i="36"/>
  <c r="BL31" i="36"/>
  <c r="BM31" i="36" s="1"/>
  <c r="BK31" i="36"/>
  <c r="AY31" i="36" s="1"/>
  <c r="BL17" i="36"/>
  <c r="BM17" i="36" s="1"/>
  <c r="BK17" i="36"/>
  <c r="AY17" i="36" s="1"/>
  <c r="AA17" i="36"/>
  <c r="BO32" i="36"/>
  <c r="BN31" i="36" s="1"/>
  <c r="BK32" i="36"/>
  <c r="AY32" i="36" s="1"/>
  <c r="AA32" i="36"/>
  <c r="BO36" i="36"/>
  <c r="BN35" i="36" s="1"/>
  <c r="BK36" i="36"/>
  <c r="AY36" i="36" s="1"/>
  <c r="AA36" i="36"/>
  <c r="BO66" i="36"/>
  <c r="BN65" i="36" s="1"/>
  <c r="BO70" i="36"/>
  <c r="BN69" i="36" s="1"/>
  <c r="BK67" i="36"/>
  <c r="AY67" i="36" s="1"/>
  <c r="BK64" i="36"/>
  <c r="AY64" i="36" s="1"/>
  <c r="BK54" i="36"/>
  <c r="AY54" i="36" s="1"/>
  <c r="BO40" i="36"/>
  <c r="BN39" i="36" s="1"/>
  <c r="AA23" i="36"/>
  <c r="BL23" i="36"/>
  <c r="BM23" i="36" s="1"/>
  <c r="BK23" i="36"/>
  <c r="AY23" i="36" s="1"/>
  <c r="AA28" i="36"/>
  <c r="BK28" i="36"/>
  <c r="AY28" i="36" s="1"/>
  <c r="BO28" i="36"/>
  <c r="BN27" i="36" s="1"/>
  <c r="BO64" i="36"/>
  <c r="BN63" i="36" s="1"/>
  <c r="BL55" i="36"/>
  <c r="BM55" i="36" s="1"/>
  <c r="BK55" i="36"/>
  <c r="AY55" i="36" s="1"/>
  <c r="AA55" i="36"/>
  <c r="BL25" i="36"/>
  <c r="BM25" i="36" s="1"/>
  <c r="BK25" i="36"/>
  <c r="AY25" i="36" s="1"/>
  <c r="BP25" i="36" s="1"/>
  <c r="AZ25" i="36" s="1"/>
  <c r="AA25" i="36"/>
  <c r="BK56" i="36"/>
  <c r="AY56" i="36" s="1"/>
  <c r="BO54" i="36"/>
  <c r="BN53" i="36" s="1"/>
  <c r="BL53" i="36"/>
  <c r="BM53" i="36" s="1"/>
  <c r="BK53" i="36"/>
  <c r="AY53" i="36" s="1"/>
  <c r="AA53" i="36"/>
  <c r="AA20" i="36"/>
  <c r="BK20" i="36"/>
  <c r="AY20" i="36" s="1"/>
  <c r="BO20" i="36"/>
  <c r="BN19" i="36" s="1"/>
  <c r="BO24" i="36"/>
  <c r="BN23" i="36" s="1"/>
  <c r="BK24" i="36"/>
  <c r="AY24" i="36" s="1"/>
  <c r="AA24" i="36"/>
  <c r="BK66" i="36"/>
  <c r="AY66" i="36" s="1"/>
  <c r="BP65" i="36" s="1"/>
  <c r="AZ65" i="36" s="1"/>
  <c r="AA43" i="36"/>
  <c r="BL43" i="36"/>
  <c r="BM43" i="36" s="1"/>
  <c r="BK43" i="36"/>
  <c r="AY43" i="36" s="1"/>
  <c r="BL63" i="36"/>
  <c r="BM63" i="36" s="1"/>
  <c r="BK63" i="36"/>
  <c r="AY63" i="36" s="1"/>
  <c r="BP63" i="36" s="1"/>
  <c r="AZ63" i="36" s="1"/>
  <c r="AA63" i="36"/>
  <c r="AA58" i="36"/>
  <c r="BO58" i="36"/>
  <c r="BN57" i="36" s="1"/>
  <c r="BK58" i="36"/>
  <c r="AY58" i="36" s="1"/>
  <c r="BP57" i="36" s="1"/>
  <c r="AZ57" i="36" s="1"/>
  <c r="BO62" i="36"/>
  <c r="BN61" i="36" s="1"/>
  <c r="BK62" i="36"/>
  <c r="AY62" i="36" s="1"/>
  <c r="AA62" i="36"/>
  <c r="BK41" i="36"/>
  <c r="AY41" i="36" s="1"/>
  <c r="BO16" i="36"/>
  <c r="BN15" i="36" s="1"/>
  <c r="BK16" i="36"/>
  <c r="AY16" i="36" s="1"/>
  <c r="BP15" i="36" s="1"/>
  <c r="AZ15" i="36" s="1"/>
  <c r="AA16" i="36"/>
  <c r="BO56" i="36"/>
  <c r="BN55" i="36" s="1"/>
  <c r="BK72" i="36"/>
  <c r="AY72" i="36" s="1"/>
  <c r="BL71" i="36"/>
  <c r="BM71" i="36" s="1"/>
  <c r="BK71" i="36"/>
  <c r="AY71" i="36" s="1"/>
  <c r="AA71" i="36"/>
  <c r="BL47" i="36"/>
  <c r="BM47" i="36" s="1"/>
  <c r="BK47" i="36"/>
  <c r="AY47" i="36" s="1"/>
  <c r="BP47" i="36" s="1"/>
  <c r="AZ47" i="36" s="1"/>
  <c r="AA47" i="36"/>
  <c r="AA50" i="36"/>
  <c r="BO50" i="36"/>
  <c r="BN49" i="36" s="1"/>
  <c r="BK50" i="36"/>
  <c r="AY50" i="36" s="1"/>
  <c r="BP49" i="36" s="1"/>
  <c r="AZ49" i="36" s="1"/>
  <c r="BM13" i="36"/>
  <c r="BP59" i="36"/>
  <c r="AZ59" i="36" s="1"/>
  <c r="BO68" i="36"/>
  <c r="BN67" i="36" s="1"/>
  <c r="BK68" i="36"/>
  <c r="AY68" i="36" s="1"/>
  <c r="AA68" i="36"/>
  <c r="BO52" i="36"/>
  <c r="BN51" i="36" s="1"/>
  <c r="BK52" i="36"/>
  <c r="AY52" i="36" s="1"/>
  <c r="AA52" i="36"/>
  <c r="BO44" i="36"/>
  <c r="BN43" i="36" s="1"/>
  <c r="BK44" i="36"/>
  <c r="AY44" i="36" s="1"/>
  <c r="AA44" i="36"/>
  <c r="BL45" i="36"/>
  <c r="BM45" i="36" s="1"/>
  <c r="BK45" i="36"/>
  <c r="AY45" i="36" s="1"/>
  <c r="AA45" i="36"/>
  <c r="AY13" i="36"/>
  <c r="BL41" i="36"/>
  <c r="BM41" i="36" s="1"/>
  <c r="BK38" i="36"/>
  <c r="AY38" i="36" s="1"/>
  <c r="BK70" i="36"/>
  <c r="AY70" i="36" s="1"/>
  <c r="BP69" i="36" s="1"/>
  <c r="AZ69" i="36" s="1"/>
  <c r="BO30" i="36"/>
  <c r="BN29" i="36" s="1"/>
  <c r="BK30" i="36"/>
  <c r="AY30" i="36" s="1"/>
  <c r="BP29" i="36" s="1"/>
  <c r="AZ29" i="36" s="1"/>
  <c r="AA30" i="36"/>
  <c r="BO38" i="36"/>
  <c r="BN37" i="36" s="1"/>
  <c r="BP39" i="36"/>
  <c r="AZ39" i="36" s="1"/>
  <c r="BO60" i="34"/>
  <c r="BN59" i="34" s="1"/>
  <c r="BK61" i="34"/>
  <c r="AY61" i="34" s="1"/>
  <c r="BO59" i="34"/>
  <c r="BO64" i="34"/>
  <c r="BN63" i="34" s="1"/>
  <c r="AA64" i="34"/>
  <c r="BK64" i="34"/>
  <c r="AY64" i="34" s="1"/>
  <c r="AA61" i="34"/>
  <c r="BO61" i="34"/>
  <c r="AA63" i="34"/>
  <c r="BK63" i="34"/>
  <c r="AY63" i="34" s="1"/>
  <c r="BL61" i="34"/>
  <c r="BM61" i="34" s="1"/>
  <c r="BL63" i="34"/>
  <c r="BM63" i="34" s="1"/>
  <c r="BK70" i="34"/>
  <c r="AY70" i="34" s="1"/>
  <c r="AA70" i="34"/>
  <c r="BK56" i="34"/>
  <c r="AY56" i="34" s="1"/>
  <c r="BN71" i="34"/>
  <c r="BN27" i="34"/>
  <c r="BK28" i="34"/>
  <c r="AY28" i="34" s="1"/>
  <c r="AA28" i="34"/>
  <c r="BL15" i="34"/>
  <c r="BM15" i="34" s="1"/>
  <c r="BL25" i="34"/>
  <c r="BM25" i="34" s="1"/>
  <c r="BK25" i="34"/>
  <c r="AY25" i="34" s="1"/>
  <c r="AA25" i="34"/>
  <c r="BL19" i="34"/>
  <c r="BM19" i="34" s="1"/>
  <c r="BK19" i="34"/>
  <c r="AY19" i="34" s="1"/>
  <c r="AA19" i="34"/>
  <c r="BN17" i="34"/>
  <c r="BK36" i="34"/>
  <c r="AY36" i="34" s="1"/>
  <c r="BN47" i="34"/>
  <c r="AA14" i="34"/>
  <c r="BK14" i="34"/>
  <c r="AY14" i="34" s="1"/>
  <c r="BK67" i="34"/>
  <c r="AY67" i="34" s="1"/>
  <c r="BP67" i="34" s="1"/>
  <c r="AZ67" i="34" s="1"/>
  <c r="BN55" i="34"/>
  <c r="BN61" i="34"/>
  <c r="BK62" i="34"/>
  <c r="AY62" i="34" s="1"/>
  <c r="AA62" i="34"/>
  <c r="BK71" i="34"/>
  <c r="AY71" i="34" s="1"/>
  <c r="BP29" i="34"/>
  <c r="AZ29" i="34" s="1"/>
  <c r="BK46" i="34"/>
  <c r="AY46" i="34" s="1"/>
  <c r="BK60" i="34"/>
  <c r="AY60" i="34" s="1"/>
  <c r="AA60" i="34"/>
  <c r="BL55" i="34"/>
  <c r="BM55" i="34" s="1"/>
  <c r="BK55" i="34"/>
  <c r="AY55" i="34" s="1"/>
  <c r="AA55" i="34"/>
  <c r="BL71" i="34"/>
  <c r="BM71" i="34" s="1"/>
  <c r="BK39" i="34"/>
  <c r="AY39" i="34" s="1"/>
  <c r="BP39" i="34" s="1"/>
  <c r="AZ39" i="34" s="1"/>
  <c r="BN19" i="34"/>
  <c r="BK20" i="34"/>
  <c r="AY20" i="34" s="1"/>
  <c r="AA20" i="34"/>
  <c r="BL17" i="34"/>
  <c r="BM17" i="34" s="1"/>
  <c r="BK17" i="34"/>
  <c r="AY17" i="34" s="1"/>
  <c r="BP17" i="34" s="1"/>
  <c r="AZ17" i="34" s="1"/>
  <c r="AA17" i="34"/>
  <c r="BK26" i="34"/>
  <c r="AY26" i="34" s="1"/>
  <c r="BK41" i="34"/>
  <c r="AY41" i="34" s="1"/>
  <c r="BP41" i="34" s="1"/>
  <c r="AZ41" i="34" s="1"/>
  <c r="BK13" i="34"/>
  <c r="BK32" i="34"/>
  <c r="AY32" i="34" s="1"/>
  <c r="BP31" i="34" s="1"/>
  <c r="AZ31" i="34" s="1"/>
  <c r="AA32" i="34"/>
  <c r="BL45" i="34"/>
  <c r="BM45" i="34" s="1"/>
  <c r="BK45" i="34"/>
  <c r="AY45" i="34" s="1"/>
  <c r="AA45" i="34"/>
  <c r="AA22" i="34"/>
  <c r="BK22" i="34"/>
  <c r="AY22" i="34" s="1"/>
  <c r="AA34" i="34"/>
  <c r="BN33" i="34"/>
  <c r="BK34" i="34"/>
  <c r="AY34" i="34" s="1"/>
  <c r="BK15" i="34"/>
  <c r="AY15" i="34" s="1"/>
  <c r="BL27" i="34"/>
  <c r="BM27" i="34" s="1"/>
  <c r="BK27" i="34"/>
  <c r="AY27" i="34" s="1"/>
  <c r="AA27" i="34"/>
  <c r="BL69" i="34"/>
  <c r="BM69" i="34" s="1"/>
  <c r="BK69" i="34"/>
  <c r="AY69" i="34" s="1"/>
  <c r="AA69" i="34"/>
  <c r="AA59" i="34"/>
  <c r="BL59" i="34"/>
  <c r="BM59" i="34" s="1"/>
  <c r="BK59" i="34"/>
  <c r="AY59" i="34" s="1"/>
  <c r="BK65" i="34"/>
  <c r="AY65" i="34" s="1"/>
  <c r="BP65" i="34" s="1"/>
  <c r="AZ65" i="34" s="1"/>
  <c r="BN43" i="34"/>
  <c r="BK44" i="34"/>
  <c r="AY44" i="34" s="1"/>
  <c r="AA44" i="34"/>
  <c r="BN51" i="34"/>
  <c r="BK52" i="34"/>
  <c r="AY52" i="34" s="1"/>
  <c r="AA52" i="34"/>
  <c r="BL39" i="34"/>
  <c r="BM39" i="34" s="1"/>
  <c r="BK23" i="34"/>
  <c r="AY23" i="34" s="1"/>
  <c r="BP23" i="34" s="1"/>
  <c r="AZ23" i="34" s="1"/>
  <c r="BK57" i="34"/>
  <c r="AY57" i="34" s="1"/>
  <c r="BN25" i="34"/>
  <c r="BL41" i="34"/>
  <c r="BM41" i="34" s="1"/>
  <c r="BL13" i="34"/>
  <c r="AA58" i="34"/>
  <c r="BN57" i="34"/>
  <c r="BK58" i="34"/>
  <c r="AY58" i="34" s="1"/>
  <c r="AA51" i="34"/>
  <c r="BL51" i="34"/>
  <c r="BM51" i="34" s="1"/>
  <c r="BK51" i="34"/>
  <c r="AY51" i="34" s="1"/>
  <c r="BL53" i="34"/>
  <c r="BM53" i="34" s="1"/>
  <c r="BK53" i="34"/>
  <c r="AY53" i="34" s="1"/>
  <c r="BP53" i="34" s="1"/>
  <c r="AZ53" i="34" s="1"/>
  <c r="AA53" i="34"/>
  <c r="BL37" i="34"/>
  <c r="BM37" i="34" s="1"/>
  <c r="BK37" i="34"/>
  <c r="AY37" i="34" s="1"/>
  <c r="AA37" i="34"/>
  <c r="BL57" i="34"/>
  <c r="BM57" i="34" s="1"/>
  <c r="BK16" i="34"/>
  <c r="AY16" i="34" s="1"/>
  <c r="AA50" i="34"/>
  <c r="BN49" i="34"/>
  <c r="BK50" i="34"/>
  <c r="AY50" i="34" s="1"/>
  <c r="BL47" i="34"/>
  <c r="BM47" i="34" s="1"/>
  <c r="BK47" i="34"/>
  <c r="AY47" i="34" s="1"/>
  <c r="AA47" i="34"/>
  <c r="AA43" i="34"/>
  <c r="BL43" i="34"/>
  <c r="BM43" i="34" s="1"/>
  <c r="BK43" i="34"/>
  <c r="AY43" i="34" s="1"/>
  <c r="BL35" i="34"/>
  <c r="BM35" i="34" s="1"/>
  <c r="AA35" i="34"/>
  <c r="BK35" i="34"/>
  <c r="AY35" i="34" s="1"/>
  <c r="BK48" i="34"/>
  <c r="AY48" i="34" s="1"/>
  <c r="BN23" i="34"/>
  <c r="BK38" i="34"/>
  <c r="AY38" i="34" s="1"/>
  <c r="BN15" i="34"/>
  <c r="AW14" i="24"/>
  <c r="BI14" i="24" s="1"/>
  <c r="AW15" i="24"/>
  <c r="BI15" i="24" s="1"/>
  <c r="AW16" i="24"/>
  <c r="BI16" i="24" s="1"/>
  <c r="AW17" i="24"/>
  <c r="BI17" i="24" s="1"/>
  <c r="AW18" i="24"/>
  <c r="BI18" i="24" s="1"/>
  <c r="AW19" i="24"/>
  <c r="BI19" i="24" s="1"/>
  <c r="AW20" i="24"/>
  <c r="BI20" i="24" s="1"/>
  <c r="AW21" i="24"/>
  <c r="BI21" i="24" s="1"/>
  <c r="AW22" i="24"/>
  <c r="BI22" i="24" s="1"/>
  <c r="AW23" i="24"/>
  <c r="BI23" i="24" s="1"/>
  <c r="AW24" i="24"/>
  <c r="BI24" i="24" s="1"/>
  <c r="AW25" i="24"/>
  <c r="BI25" i="24" s="1"/>
  <c r="AW26" i="24"/>
  <c r="BI26" i="24" s="1"/>
  <c r="AW27" i="24"/>
  <c r="BI27" i="24" s="1"/>
  <c r="AW28" i="24"/>
  <c r="BI28" i="24" s="1"/>
  <c r="AW29" i="24"/>
  <c r="BI29" i="24" s="1"/>
  <c r="AW30" i="24"/>
  <c r="BI30" i="24" s="1"/>
  <c r="AW31" i="24"/>
  <c r="BI31" i="24" s="1"/>
  <c r="AW32" i="24"/>
  <c r="BI32" i="24" s="1"/>
  <c r="AW33" i="24"/>
  <c r="BI33" i="24" s="1"/>
  <c r="AW34" i="24"/>
  <c r="BI34" i="24" s="1"/>
  <c r="AW35" i="24"/>
  <c r="BI35" i="24" s="1"/>
  <c r="AW36" i="24"/>
  <c r="BI36" i="24" s="1"/>
  <c r="AW37" i="24"/>
  <c r="BI37" i="24" s="1"/>
  <c r="AW38" i="24"/>
  <c r="BI38" i="24" s="1"/>
  <c r="AW39" i="24"/>
  <c r="BI39" i="24" s="1"/>
  <c r="AW40" i="24"/>
  <c r="BI40" i="24" s="1"/>
  <c r="AW41" i="24"/>
  <c r="BI41" i="24" s="1"/>
  <c r="AW42" i="24"/>
  <c r="BI42" i="24" s="1"/>
  <c r="AW43" i="24"/>
  <c r="BI43" i="24" s="1"/>
  <c r="AW44" i="24"/>
  <c r="BI44" i="24" s="1"/>
  <c r="AW45" i="24"/>
  <c r="BI45" i="24" s="1"/>
  <c r="AW46" i="24"/>
  <c r="BI46" i="24" s="1"/>
  <c r="AW47" i="24"/>
  <c r="BI47" i="24" s="1"/>
  <c r="AW48" i="24"/>
  <c r="BI48" i="24" s="1"/>
  <c r="AW49" i="24"/>
  <c r="BI49" i="24" s="1"/>
  <c r="AW50" i="24"/>
  <c r="BI50" i="24" s="1"/>
  <c r="AW51" i="24"/>
  <c r="BI51" i="24" s="1"/>
  <c r="AW52" i="24"/>
  <c r="BI52" i="24" s="1"/>
  <c r="AW53" i="24"/>
  <c r="BI53" i="24" s="1"/>
  <c r="AW54" i="24"/>
  <c r="BI54" i="24" s="1"/>
  <c r="AW55" i="24"/>
  <c r="BI55" i="24" s="1"/>
  <c r="AW56" i="24"/>
  <c r="BI56" i="24" s="1"/>
  <c r="AW57" i="24"/>
  <c r="BI57" i="24" s="1"/>
  <c r="AW58" i="24"/>
  <c r="BI58" i="24" s="1"/>
  <c r="AW59" i="24"/>
  <c r="BI59" i="24" s="1"/>
  <c r="AW60" i="24"/>
  <c r="BI60" i="24" s="1"/>
  <c r="AW61" i="24"/>
  <c r="BI61" i="24" s="1"/>
  <c r="AW62" i="24"/>
  <c r="BI62" i="24" s="1"/>
  <c r="AW63" i="24"/>
  <c r="BI63" i="24" s="1"/>
  <c r="AW64" i="24"/>
  <c r="BI64" i="24" s="1"/>
  <c r="AW65" i="24"/>
  <c r="BI65" i="24" s="1"/>
  <c r="AW66" i="24"/>
  <c r="BI66" i="24" s="1"/>
  <c r="AW67" i="24"/>
  <c r="BI67" i="24" s="1"/>
  <c r="AW68" i="24"/>
  <c r="BI68" i="24" s="1"/>
  <c r="AW69" i="24"/>
  <c r="BI69" i="24" s="1"/>
  <c r="AW70" i="24"/>
  <c r="BI70" i="24" s="1"/>
  <c r="AW71" i="24"/>
  <c r="BI71" i="24" s="1"/>
  <c r="AW72" i="24"/>
  <c r="BI72" i="24" s="1"/>
  <c r="AW13" i="24"/>
  <c r="BI13" i="24" s="1"/>
  <c r="AT14" i="24"/>
  <c r="BH14" i="24" s="1"/>
  <c r="AT15" i="24"/>
  <c r="BH15" i="24" s="1"/>
  <c r="AT16" i="24"/>
  <c r="BH16" i="24" s="1"/>
  <c r="AT17" i="24"/>
  <c r="BH17" i="24" s="1"/>
  <c r="AT18" i="24"/>
  <c r="BH18" i="24" s="1"/>
  <c r="AT19" i="24"/>
  <c r="BH19" i="24" s="1"/>
  <c r="AT20" i="24"/>
  <c r="BH20" i="24" s="1"/>
  <c r="AT21" i="24"/>
  <c r="BH21" i="24" s="1"/>
  <c r="AT22" i="24"/>
  <c r="BH22" i="24" s="1"/>
  <c r="AT23" i="24"/>
  <c r="BH23" i="24" s="1"/>
  <c r="AT24" i="24"/>
  <c r="BH24" i="24" s="1"/>
  <c r="AT25" i="24"/>
  <c r="BH25" i="24" s="1"/>
  <c r="AT26" i="24"/>
  <c r="BH26" i="24" s="1"/>
  <c r="AT27" i="24"/>
  <c r="BH27" i="24" s="1"/>
  <c r="AT28" i="24"/>
  <c r="BH28" i="24" s="1"/>
  <c r="AT29" i="24"/>
  <c r="BH29" i="24" s="1"/>
  <c r="AT30" i="24"/>
  <c r="BH30" i="24" s="1"/>
  <c r="AT31" i="24"/>
  <c r="BH31" i="24" s="1"/>
  <c r="AT32" i="24"/>
  <c r="BH32" i="24" s="1"/>
  <c r="AT33" i="24"/>
  <c r="BH33" i="24" s="1"/>
  <c r="AT34" i="24"/>
  <c r="BH34" i="24" s="1"/>
  <c r="AT35" i="24"/>
  <c r="BH35" i="24" s="1"/>
  <c r="AT36" i="24"/>
  <c r="BH36" i="24" s="1"/>
  <c r="AT37" i="24"/>
  <c r="BH37" i="24" s="1"/>
  <c r="AT38" i="24"/>
  <c r="BH38" i="24" s="1"/>
  <c r="AT39" i="24"/>
  <c r="BH39" i="24" s="1"/>
  <c r="AT40" i="24"/>
  <c r="BH40" i="24" s="1"/>
  <c r="AT41" i="24"/>
  <c r="BH41" i="24" s="1"/>
  <c r="AT42" i="24"/>
  <c r="BH42" i="24" s="1"/>
  <c r="AT43" i="24"/>
  <c r="BH43" i="24" s="1"/>
  <c r="AT44" i="24"/>
  <c r="BH44" i="24" s="1"/>
  <c r="AT45" i="24"/>
  <c r="BH45" i="24" s="1"/>
  <c r="AT46" i="24"/>
  <c r="BH46" i="24" s="1"/>
  <c r="AT47" i="24"/>
  <c r="BH47" i="24" s="1"/>
  <c r="AT48" i="24"/>
  <c r="BH48" i="24" s="1"/>
  <c r="AT49" i="24"/>
  <c r="BH49" i="24" s="1"/>
  <c r="AT50" i="24"/>
  <c r="BH50" i="24" s="1"/>
  <c r="AT51" i="24"/>
  <c r="BH51" i="24" s="1"/>
  <c r="AT52" i="24"/>
  <c r="BH52" i="24" s="1"/>
  <c r="AT53" i="24"/>
  <c r="BH53" i="24" s="1"/>
  <c r="AT54" i="24"/>
  <c r="BH54" i="24" s="1"/>
  <c r="AT55" i="24"/>
  <c r="BH55" i="24" s="1"/>
  <c r="AT56" i="24"/>
  <c r="BH56" i="24" s="1"/>
  <c r="AT57" i="24"/>
  <c r="BH57" i="24" s="1"/>
  <c r="AT58" i="24"/>
  <c r="BH58" i="24" s="1"/>
  <c r="AT59" i="24"/>
  <c r="BH59" i="24" s="1"/>
  <c r="AT60" i="24"/>
  <c r="BH60" i="24" s="1"/>
  <c r="AT61" i="24"/>
  <c r="BH61" i="24" s="1"/>
  <c r="AT62" i="24"/>
  <c r="BH62" i="24" s="1"/>
  <c r="AT63" i="24"/>
  <c r="BH63" i="24" s="1"/>
  <c r="AT64" i="24"/>
  <c r="BH64" i="24" s="1"/>
  <c r="AT65" i="24"/>
  <c r="BH65" i="24" s="1"/>
  <c r="AT66" i="24"/>
  <c r="BH66" i="24" s="1"/>
  <c r="AT67" i="24"/>
  <c r="BH67" i="24" s="1"/>
  <c r="AT68" i="24"/>
  <c r="BH68" i="24" s="1"/>
  <c r="AT69" i="24"/>
  <c r="BH69" i="24" s="1"/>
  <c r="AT70" i="24"/>
  <c r="BH70" i="24" s="1"/>
  <c r="AT71" i="24"/>
  <c r="BH71" i="24" s="1"/>
  <c r="AT72" i="24"/>
  <c r="BH72" i="24" s="1"/>
  <c r="AT13" i="24"/>
  <c r="BH13" i="24" s="1"/>
  <c r="AN14" i="24"/>
  <c r="BG14" i="24" s="1"/>
  <c r="AN15" i="24"/>
  <c r="BG15" i="24" s="1"/>
  <c r="AN16" i="24"/>
  <c r="BG16" i="24" s="1"/>
  <c r="AN17" i="24"/>
  <c r="BG17" i="24" s="1"/>
  <c r="AN18" i="24"/>
  <c r="BG18" i="24" s="1"/>
  <c r="AN19" i="24"/>
  <c r="BG19" i="24" s="1"/>
  <c r="AN20" i="24"/>
  <c r="BG20" i="24" s="1"/>
  <c r="AN21" i="24"/>
  <c r="BG21" i="24" s="1"/>
  <c r="AN22" i="24"/>
  <c r="BG22" i="24" s="1"/>
  <c r="AN23" i="24"/>
  <c r="BG23" i="24" s="1"/>
  <c r="AN24" i="24"/>
  <c r="BG24" i="24" s="1"/>
  <c r="AN25" i="24"/>
  <c r="BG25" i="24" s="1"/>
  <c r="AN26" i="24"/>
  <c r="BG26" i="24" s="1"/>
  <c r="AN27" i="24"/>
  <c r="BG27" i="24" s="1"/>
  <c r="AN28" i="24"/>
  <c r="BG28" i="24" s="1"/>
  <c r="AN29" i="24"/>
  <c r="BG29" i="24" s="1"/>
  <c r="AN30" i="24"/>
  <c r="BG30" i="24" s="1"/>
  <c r="AN31" i="24"/>
  <c r="BG31" i="24" s="1"/>
  <c r="AN32" i="24"/>
  <c r="BG32" i="24" s="1"/>
  <c r="AN33" i="24"/>
  <c r="BG33" i="24" s="1"/>
  <c r="AN34" i="24"/>
  <c r="BG34" i="24" s="1"/>
  <c r="AN35" i="24"/>
  <c r="BG35" i="24" s="1"/>
  <c r="AN36" i="24"/>
  <c r="BG36" i="24" s="1"/>
  <c r="AN37" i="24"/>
  <c r="BG37" i="24" s="1"/>
  <c r="AN38" i="24"/>
  <c r="BG38" i="24" s="1"/>
  <c r="AN39" i="24"/>
  <c r="BG39" i="24" s="1"/>
  <c r="AN40" i="24"/>
  <c r="BG40" i="24" s="1"/>
  <c r="AN41" i="24"/>
  <c r="BG41" i="24" s="1"/>
  <c r="AN42" i="24"/>
  <c r="BG42" i="24" s="1"/>
  <c r="AN43" i="24"/>
  <c r="BG43" i="24" s="1"/>
  <c r="AN44" i="24"/>
  <c r="BG44" i="24" s="1"/>
  <c r="AN45" i="24"/>
  <c r="BG45" i="24" s="1"/>
  <c r="AN46" i="24"/>
  <c r="BG46" i="24" s="1"/>
  <c r="AN47" i="24"/>
  <c r="BG47" i="24" s="1"/>
  <c r="AN48" i="24"/>
  <c r="BG48" i="24" s="1"/>
  <c r="AN49" i="24"/>
  <c r="BG49" i="24" s="1"/>
  <c r="AN50" i="24"/>
  <c r="BG50" i="24" s="1"/>
  <c r="AN51" i="24"/>
  <c r="BG51" i="24" s="1"/>
  <c r="AN52" i="24"/>
  <c r="BG52" i="24" s="1"/>
  <c r="AN53" i="24"/>
  <c r="BG53" i="24" s="1"/>
  <c r="AN54" i="24"/>
  <c r="BG54" i="24" s="1"/>
  <c r="AN55" i="24"/>
  <c r="BG55" i="24" s="1"/>
  <c r="AN56" i="24"/>
  <c r="BG56" i="24" s="1"/>
  <c r="AN57" i="24"/>
  <c r="BG57" i="24" s="1"/>
  <c r="AN58" i="24"/>
  <c r="BG58" i="24" s="1"/>
  <c r="AN59" i="24"/>
  <c r="BG59" i="24" s="1"/>
  <c r="AN60" i="24"/>
  <c r="BG60" i="24" s="1"/>
  <c r="AN61" i="24"/>
  <c r="BG61" i="24" s="1"/>
  <c r="AN62" i="24"/>
  <c r="BG62" i="24" s="1"/>
  <c r="AN63" i="24"/>
  <c r="BG63" i="24" s="1"/>
  <c r="AN64" i="24"/>
  <c r="BG64" i="24" s="1"/>
  <c r="AN65" i="24"/>
  <c r="BG65" i="24" s="1"/>
  <c r="AN66" i="24"/>
  <c r="BG66" i="24" s="1"/>
  <c r="AN67" i="24"/>
  <c r="BG67" i="24" s="1"/>
  <c r="AN68" i="24"/>
  <c r="BG68" i="24" s="1"/>
  <c r="AN69" i="24"/>
  <c r="BG69" i="24" s="1"/>
  <c r="AN70" i="24"/>
  <c r="BG70" i="24" s="1"/>
  <c r="AN71" i="24"/>
  <c r="BG71" i="24" s="1"/>
  <c r="AN72" i="24"/>
  <c r="BG72" i="24" s="1"/>
  <c r="AN13" i="24"/>
  <c r="BG13" i="24" s="1"/>
  <c r="AH14" i="24"/>
  <c r="BF14" i="24" s="1"/>
  <c r="AH15" i="24"/>
  <c r="BF15" i="24" s="1"/>
  <c r="AH16" i="24"/>
  <c r="BF16" i="24" s="1"/>
  <c r="AH17" i="24"/>
  <c r="BF17" i="24" s="1"/>
  <c r="AH18" i="24"/>
  <c r="BF18" i="24" s="1"/>
  <c r="AH19" i="24"/>
  <c r="BF19" i="24" s="1"/>
  <c r="AH20" i="24"/>
  <c r="BF20" i="24" s="1"/>
  <c r="AH21" i="24"/>
  <c r="BF21" i="24" s="1"/>
  <c r="AH22" i="24"/>
  <c r="BF22" i="24" s="1"/>
  <c r="AH23" i="24"/>
  <c r="BF23" i="24" s="1"/>
  <c r="AH24" i="24"/>
  <c r="BF24" i="24" s="1"/>
  <c r="AH25" i="24"/>
  <c r="BF25" i="24" s="1"/>
  <c r="AH26" i="24"/>
  <c r="BF26" i="24" s="1"/>
  <c r="AH27" i="24"/>
  <c r="BF27" i="24" s="1"/>
  <c r="AH28" i="24"/>
  <c r="BF28" i="24" s="1"/>
  <c r="AH29" i="24"/>
  <c r="BF29" i="24" s="1"/>
  <c r="AH30" i="24"/>
  <c r="BF30" i="24" s="1"/>
  <c r="AH31" i="24"/>
  <c r="BF31" i="24" s="1"/>
  <c r="AH32" i="24"/>
  <c r="BF32" i="24" s="1"/>
  <c r="AH33" i="24"/>
  <c r="BF33" i="24" s="1"/>
  <c r="AH34" i="24"/>
  <c r="BF34" i="24" s="1"/>
  <c r="AH35" i="24"/>
  <c r="BF35" i="24" s="1"/>
  <c r="AH36" i="24"/>
  <c r="BF36" i="24" s="1"/>
  <c r="AH37" i="24"/>
  <c r="BF37" i="24" s="1"/>
  <c r="AH38" i="24"/>
  <c r="BF38" i="24" s="1"/>
  <c r="AH39" i="24"/>
  <c r="BF39" i="24" s="1"/>
  <c r="AH40" i="24"/>
  <c r="BF40" i="24" s="1"/>
  <c r="AH41" i="24"/>
  <c r="BF41" i="24" s="1"/>
  <c r="AH42" i="24"/>
  <c r="BF42" i="24" s="1"/>
  <c r="AH43" i="24"/>
  <c r="BF43" i="24" s="1"/>
  <c r="AH44" i="24"/>
  <c r="BF44" i="24" s="1"/>
  <c r="AH45" i="24"/>
  <c r="BF45" i="24" s="1"/>
  <c r="AH46" i="24"/>
  <c r="BF46" i="24" s="1"/>
  <c r="AH47" i="24"/>
  <c r="BF47" i="24" s="1"/>
  <c r="AH48" i="24"/>
  <c r="BF48" i="24" s="1"/>
  <c r="AH49" i="24"/>
  <c r="BF49" i="24" s="1"/>
  <c r="AH50" i="24"/>
  <c r="BF50" i="24" s="1"/>
  <c r="AH51" i="24"/>
  <c r="BF51" i="24" s="1"/>
  <c r="AH52" i="24"/>
  <c r="BF52" i="24" s="1"/>
  <c r="AH53" i="24"/>
  <c r="BF53" i="24" s="1"/>
  <c r="AH54" i="24"/>
  <c r="BF54" i="24" s="1"/>
  <c r="AH55" i="24"/>
  <c r="BF55" i="24" s="1"/>
  <c r="AH56" i="24"/>
  <c r="BF56" i="24" s="1"/>
  <c r="AH57" i="24"/>
  <c r="BF57" i="24" s="1"/>
  <c r="AH58" i="24"/>
  <c r="BF58" i="24" s="1"/>
  <c r="AH59" i="24"/>
  <c r="BF59" i="24" s="1"/>
  <c r="AH60" i="24"/>
  <c r="BF60" i="24" s="1"/>
  <c r="AH61" i="24"/>
  <c r="BF61" i="24" s="1"/>
  <c r="AH62" i="24"/>
  <c r="BF62" i="24" s="1"/>
  <c r="AH63" i="24"/>
  <c r="BF63" i="24" s="1"/>
  <c r="AH64" i="24"/>
  <c r="BF64" i="24" s="1"/>
  <c r="AH65" i="24"/>
  <c r="BF65" i="24" s="1"/>
  <c r="AH66" i="24"/>
  <c r="BF66" i="24" s="1"/>
  <c r="AH67" i="24"/>
  <c r="BF67" i="24" s="1"/>
  <c r="AH68" i="24"/>
  <c r="BF68" i="24" s="1"/>
  <c r="AH69" i="24"/>
  <c r="BF69" i="24" s="1"/>
  <c r="AH70" i="24"/>
  <c r="BF70" i="24" s="1"/>
  <c r="AH71" i="24"/>
  <c r="BF71" i="24" s="1"/>
  <c r="AH72" i="24"/>
  <c r="BF72" i="24" s="1"/>
  <c r="AH13" i="24"/>
  <c r="BF13" i="24" s="1"/>
  <c r="W14" i="24"/>
  <c r="BC14" i="24" s="1"/>
  <c r="W15" i="24"/>
  <c r="BC15" i="24" s="1"/>
  <c r="W16" i="24"/>
  <c r="BC16" i="24" s="1"/>
  <c r="W17" i="24"/>
  <c r="BC17" i="24" s="1"/>
  <c r="W18" i="24"/>
  <c r="BC18" i="24" s="1"/>
  <c r="W19" i="24"/>
  <c r="BC19" i="24" s="1"/>
  <c r="W20" i="24"/>
  <c r="BC20" i="24" s="1"/>
  <c r="W21" i="24"/>
  <c r="BC21" i="24" s="1"/>
  <c r="W22" i="24"/>
  <c r="BC22" i="24" s="1"/>
  <c r="W23" i="24"/>
  <c r="BC23" i="24" s="1"/>
  <c r="W24" i="24"/>
  <c r="BC24" i="24" s="1"/>
  <c r="W25" i="24"/>
  <c r="BC25" i="24" s="1"/>
  <c r="W26" i="24"/>
  <c r="BC26" i="24" s="1"/>
  <c r="W27" i="24"/>
  <c r="BC27" i="24" s="1"/>
  <c r="W28" i="24"/>
  <c r="BC28" i="24" s="1"/>
  <c r="W29" i="24"/>
  <c r="BC29" i="24" s="1"/>
  <c r="W30" i="24"/>
  <c r="BC30" i="24" s="1"/>
  <c r="W31" i="24"/>
  <c r="BC31" i="24" s="1"/>
  <c r="W32" i="24"/>
  <c r="BC32" i="24" s="1"/>
  <c r="W33" i="24"/>
  <c r="BC33" i="24" s="1"/>
  <c r="W34" i="24"/>
  <c r="BC34" i="24" s="1"/>
  <c r="W35" i="24"/>
  <c r="BC35" i="24" s="1"/>
  <c r="W36" i="24"/>
  <c r="BC36" i="24" s="1"/>
  <c r="W37" i="24"/>
  <c r="BC37" i="24" s="1"/>
  <c r="W38" i="24"/>
  <c r="BC38" i="24" s="1"/>
  <c r="W39" i="24"/>
  <c r="BC39" i="24" s="1"/>
  <c r="W40" i="24"/>
  <c r="BC40" i="24" s="1"/>
  <c r="W41" i="24"/>
  <c r="BC41" i="24" s="1"/>
  <c r="W42" i="24"/>
  <c r="BC42" i="24" s="1"/>
  <c r="W43" i="24"/>
  <c r="BC43" i="24" s="1"/>
  <c r="W44" i="24"/>
  <c r="BC44" i="24" s="1"/>
  <c r="W45" i="24"/>
  <c r="BC45" i="24" s="1"/>
  <c r="W46" i="24"/>
  <c r="BC46" i="24" s="1"/>
  <c r="W47" i="24"/>
  <c r="BC47" i="24" s="1"/>
  <c r="W48" i="24"/>
  <c r="BC48" i="24" s="1"/>
  <c r="W49" i="24"/>
  <c r="BC49" i="24" s="1"/>
  <c r="W50" i="24"/>
  <c r="BC50" i="24" s="1"/>
  <c r="W51" i="24"/>
  <c r="BC51" i="24" s="1"/>
  <c r="W52" i="24"/>
  <c r="BC52" i="24" s="1"/>
  <c r="W53" i="24"/>
  <c r="BC53" i="24" s="1"/>
  <c r="W54" i="24"/>
  <c r="BC54" i="24" s="1"/>
  <c r="W55" i="24"/>
  <c r="BC55" i="24" s="1"/>
  <c r="W56" i="24"/>
  <c r="BC56" i="24" s="1"/>
  <c r="W57" i="24"/>
  <c r="BC57" i="24" s="1"/>
  <c r="W58" i="24"/>
  <c r="BC58" i="24" s="1"/>
  <c r="W59" i="24"/>
  <c r="BC59" i="24" s="1"/>
  <c r="W60" i="24"/>
  <c r="BC60" i="24" s="1"/>
  <c r="W61" i="24"/>
  <c r="BC61" i="24" s="1"/>
  <c r="W62" i="24"/>
  <c r="BC62" i="24" s="1"/>
  <c r="W63" i="24"/>
  <c r="BC63" i="24" s="1"/>
  <c r="W64" i="24"/>
  <c r="BC64" i="24" s="1"/>
  <c r="W65" i="24"/>
  <c r="BC65" i="24" s="1"/>
  <c r="W66" i="24"/>
  <c r="BC66" i="24" s="1"/>
  <c r="W67" i="24"/>
  <c r="BC67" i="24" s="1"/>
  <c r="W68" i="24"/>
  <c r="BC68" i="24" s="1"/>
  <c r="W69" i="24"/>
  <c r="BC69" i="24" s="1"/>
  <c r="W70" i="24"/>
  <c r="BC70" i="24" s="1"/>
  <c r="W71" i="24"/>
  <c r="BC71" i="24" s="1"/>
  <c r="W72" i="24"/>
  <c r="BC72" i="24" s="1"/>
  <c r="Q17" i="24"/>
  <c r="BB17" i="24" s="1"/>
  <c r="Q18" i="24"/>
  <c r="BB18" i="24" s="1"/>
  <c r="Q19" i="24"/>
  <c r="BB19" i="24" s="1"/>
  <c r="Q20" i="24"/>
  <c r="BB20" i="24" s="1"/>
  <c r="Q21" i="24"/>
  <c r="BB21" i="24" s="1"/>
  <c r="Q22" i="24"/>
  <c r="BB22" i="24" s="1"/>
  <c r="Q23" i="24"/>
  <c r="BB23" i="24" s="1"/>
  <c r="Q24" i="24"/>
  <c r="BB24" i="24" s="1"/>
  <c r="Q25" i="24"/>
  <c r="BB25" i="24" s="1"/>
  <c r="Q26" i="24"/>
  <c r="BB26" i="24" s="1"/>
  <c r="Q27" i="24"/>
  <c r="BB27" i="24" s="1"/>
  <c r="Q28" i="24"/>
  <c r="BB28" i="24" s="1"/>
  <c r="Q29" i="24"/>
  <c r="BB29" i="24" s="1"/>
  <c r="Q30" i="24"/>
  <c r="BB30" i="24" s="1"/>
  <c r="Q31" i="24"/>
  <c r="BB31" i="24" s="1"/>
  <c r="Q32" i="24"/>
  <c r="BB32" i="24" s="1"/>
  <c r="Q33" i="24"/>
  <c r="BB33" i="24" s="1"/>
  <c r="Q34" i="24"/>
  <c r="BB34" i="24" s="1"/>
  <c r="Q35" i="24"/>
  <c r="BB35" i="24" s="1"/>
  <c r="Q36" i="24"/>
  <c r="BB36" i="24" s="1"/>
  <c r="Q37" i="24"/>
  <c r="BB37" i="24" s="1"/>
  <c r="Q38" i="24"/>
  <c r="BB38" i="24" s="1"/>
  <c r="Q39" i="24"/>
  <c r="BB39" i="24" s="1"/>
  <c r="Q40" i="24"/>
  <c r="BB40" i="24" s="1"/>
  <c r="Q41" i="24"/>
  <c r="BB41" i="24" s="1"/>
  <c r="Q42" i="24"/>
  <c r="BB42" i="24" s="1"/>
  <c r="Q43" i="24"/>
  <c r="BB43" i="24" s="1"/>
  <c r="Q44" i="24"/>
  <c r="BB44" i="24" s="1"/>
  <c r="Q45" i="24"/>
  <c r="BB45" i="24" s="1"/>
  <c r="Q46" i="24"/>
  <c r="BB46" i="24" s="1"/>
  <c r="Q47" i="24"/>
  <c r="BB47" i="24" s="1"/>
  <c r="Q48" i="24"/>
  <c r="BB48" i="24" s="1"/>
  <c r="Q49" i="24"/>
  <c r="BB49" i="24" s="1"/>
  <c r="Q50" i="24"/>
  <c r="BB50" i="24" s="1"/>
  <c r="Q51" i="24"/>
  <c r="BB51" i="24" s="1"/>
  <c r="Q52" i="24"/>
  <c r="BB52" i="24" s="1"/>
  <c r="Q53" i="24"/>
  <c r="BB53" i="24" s="1"/>
  <c r="Q54" i="24"/>
  <c r="BB54" i="24" s="1"/>
  <c r="Q55" i="24"/>
  <c r="BB55" i="24" s="1"/>
  <c r="Q56" i="24"/>
  <c r="BB56" i="24" s="1"/>
  <c r="Q57" i="24"/>
  <c r="BB57" i="24" s="1"/>
  <c r="Q58" i="24"/>
  <c r="BB58" i="24" s="1"/>
  <c r="Q59" i="24"/>
  <c r="BB59" i="24" s="1"/>
  <c r="Q60" i="24"/>
  <c r="BB60" i="24" s="1"/>
  <c r="Q61" i="24"/>
  <c r="BB61" i="24" s="1"/>
  <c r="Q62" i="24"/>
  <c r="BB62" i="24" s="1"/>
  <c r="Q63" i="24"/>
  <c r="BB63" i="24" s="1"/>
  <c r="Q64" i="24"/>
  <c r="BB64" i="24" s="1"/>
  <c r="Q65" i="24"/>
  <c r="BB65" i="24" s="1"/>
  <c r="Q66" i="24"/>
  <c r="BB66" i="24" s="1"/>
  <c r="Q67" i="24"/>
  <c r="BB67" i="24" s="1"/>
  <c r="Q68" i="24"/>
  <c r="BB68" i="24" s="1"/>
  <c r="Q69" i="24"/>
  <c r="BB69" i="24" s="1"/>
  <c r="Q70" i="24"/>
  <c r="BB70" i="24" s="1"/>
  <c r="Q71" i="24"/>
  <c r="BB71" i="24" s="1"/>
  <c r="Q72" i="24"/>
  <c r="BB72" i="24" s="1"/>
  <c r="Q16" i="24"/>
  <c r="BB16" i="24" s="1"/>
  <c r="Q15" i="24"/>
  <c r="BB15" i="24" s="1"/>
  <c r="Q14" i="24"/>
  <c r="BB14" i="24" s="1"/>
  <c r="Z20" i="24"/>
  <c r="BD20" i="24" s="1"/>
  <c r="Z21" i="24"/>
  <c r="BD21" i="24" s="1"/>
  <c r="Z22" i="24"/>
  <c r="BD22" i="24" s="1"/>
  <c r="Z23" i="24"/>
  <c r="BD23" i="24" s="1"/>
  <c r="Z24" i="24"/>
  <c r="BD24" i="24" s="1"/>
  <c r="Z25" i="24"/>
  <c r="BD25" i="24" s="1"/>
  <c r="Z26" i="24"/>
  <c r="BD26" i="24" s="1"/>
  <c r="Z27" i="24"/>
  <c r="BD27" i="24" s="1"/>
  <c r="Z28" i="24"/>
  <c r="BD28" i="24" s="1"/>
  <c r="Z29" i="24"/>
  <c r="BD29" i="24" s="1"/>
  <c r="Z30" i="24"/>
  <c r="BD30" i="24" s="1"/>
  <c r="Z31" i="24"/>
  <c r="BD31" i="24" s="1"/>
  <c r="Z32" i="24"/>
  <c r="BD32" i="24" s="1"/>
  <c r="Z33" i="24"/>
  <c r="BD33" i="24" s="1"/>
  <c r="Z34" i="24"/>
  <c r="BD34" i="24" s="1"/>
  <c r="Z35" i="24"/>
  <c r="BD35" i="24" s="1"/>
  <c r="Z36" i="24"/>
  <c r="BD36" i="24" s="1"/>
  <c r="Z37" i="24"/>
  <c r="BD37" i="24" s="1"/>
  <c r="Z38" i="24"/>
  <c r="BD38" i="24" s="1"/>
  <c r="Z39" i="24"/>
  <c r="BD39" i="24" s="1"/>
  <c r="Z40" i="24"/>
  <c r="BD40" i="24" s="1"/>
  <c r="Z41" i="24"/>
  <c r="BD41" i="24" s="1"/>
  <c r="Z42" i="24"/>
  <c r="BD42" i="24" s="1"/>
  <c r="Z43" i="24"/>
  <c r="BD43" i="24" s="1"/>
  <c r="Z44" i="24"/>
  <c r="BD44" i="24" s="1"/>
  <c r="Z45" i="24"/>
  <c r="BD45" i="24" s="1"/>
  <c r="Z46" i="24"/>
  <c r="BD46" i="24" s="1"/>
  <c r="Z47" i="24"/>
  <c r="BD47" i="24" s="1"/>
  <c r="Z48" i="24"/>
  <c r="BD48" i="24" s="1"/>
  <c r="Z49" i="24"/>
  <c r="BD49" i="24" s="1"/>
  <c r="Z50" i="24"/>
  <c r="BD50" i="24" s="1"/>
  <c r="Z51" i="24"/>
  <c r="BD51" i="24" s="1"/>
  <c r="Z52" i="24"/>
  <c r="BD52" i="24" s="1"/>
  <c r="Z53" i="24"/>
  <c r="BD53" i="24" s="1"/>
  <c r="Z54" i="24"/>
  <c r="BD54" i="24" s="1"/>
  <c r="Z55" i="24"/>
  <c r="BD55" i="24" s="1"/>
  <c r="Z56" i="24"/>
  <c r="BD56" i="24" s="1"/>
  <c r="Z57" i="24"/>
  <c r="BD57" i="24" s="1"/>
  <c r="Z58" i="24"/>
  <c r="BD58" i="24" s="1"/>
  <c r="Z59" i="24"/>
  <c r="BD59" i="24" s="1"/>
  <c r="Z60" i="24"/>
  <c r="BD60" i="24" s="1"/>
  <c r="Z61" i="24"/>
  <c r="BD61" i="24" s="1"/>
  <c r="Z62" i="24"/>
  <c r="BD62" i="24" s="1"/>
  <c r="Z63" i="24"/>
  <c r="BD63" i="24" s="1"/>
  <c r="Z64" i="24"/>
  <c r="BD64" i="24" s="1"/>
  <c r="Z65" i="24"/>
  <c r="BD65" i="24" s="1"/>
  <c r="Z66" i="24"/>
  <c r="BD66" i="24" s="1"/>
  <c r="Z67" i="24"/>
  <c r="BD67" i="24" s="1"/>
  <c r="Z68" i="24"/>
  <c r="BD68" i="24" s="1"/>
  <c r="Z69" i="24"/>
  <c r="BD69" i="24" s="1"/>
  <c r="Z70" i="24"/>
  <c r="BD70" i="24" s="1"/>
  <c r="Z71" i="24"/>
  <c r="BD71" i="24" s="1"/>
  <c r="Z72" i="24"/>
  <c r="BD72" i="24" s="1"/>
  <c r="Z14" i="24"/>
  <c r="BD14" i="24" s="1"/>
  <c r="Z15" i="24"/>
  <c r="BD15" i="24" s="1"/>
  <c r="Z16" i="24"/>
  <c r="BD16" i="24" s="1"/>
  <c r="Z17" i="24"/>
  <c r="BD17" i="24" s="1"/>
  <c r="Z18" i="24"/>
  <c r="BD18" i="24" s="1"/>
  <c r="Z19" i="24"/>
  <c r="BD19" i="24" s="1"/>
  <c r="Z13" i="24"/>
  <c r="BD13" i="24" s="1"/>
  <c r="W13" i="24"/>
  <c r="BC13" i="24" s="1"/>
  <c r="Q13" i="24"/>
  <c r="BB13" i="24" s="1"/>
  <c r="K14" i="24"/>
  <c r="BA14" i="24" s="1"/>
  <c r="K15" i="24"/>
  <c r="BA15" i="24" s="1"/>
  <c r="K16" i="24"/>
  <c r="BA16" i="24" s="1"/>
  <c r="K17" i="24"/>
  <c r="BA17" i="24" s="1"/>
  <c r="K18" i="24"/>
  <c r="BA18" i="24" s="1"/>
  <c r="K19" i="24"/>
  <c r="BA19" i="24" s="1"/>
  <c r="K20" i="24"/>
  <c r="BA20" i="24" s="1"/>
  <c r="K21" i="24"/>
  <c r="BA21" i="24" s="1"/>
  <c r="K22" i="24"/>
  <c r="BA22" i="24" s="1"/>
  <c r="K23" i="24"/>
  <c r="BA23" i="24" s="1"/>
  <c r="K24" i="24"/>
  <c r="BA24" i="24" s="1"/>
  <c r="K25" i="24"/>
  <c r="BA25" i="24" s="1"/>
  <c r="K26" i="24"/>
  <c r="BA26" i="24" s="1"/>
  <c r="K27" i="24"/>
  <c r="BA27" i="24" s="1"/>
  <c r="K28" i="24"/>
  <c r="BA28" i="24" s="1"/>
  <c r="K29" i="24"/>
  <c r="BA29" i="24" s="1"/>
  <c r="K30" i="24"/>
  <c r="BA30" i="24" s="1"/>
  <c r="K31" i="24"/>
  <c r="BA31" i="24" s="1"/>
  <c r="K32" i="24"/>
  <c r="BA32" i="24" s="1"/>
  <c r="K33" i="24"/>
  <c r="BA33" i="24" s="1"/>
  <c r="K34" i="24"/>
  <c r="BA34" i="24" s="1"/>
  <c r="K35" i="24"/>
  <c r="BA35" i="24" s="1"/>
  <c r="K36" i="24"/>
  <c r="BA36" i="24" s="1"/>
  <c r="K37" i="24"/>
  <c r="BA37" i="24" s="1"/>
  <c r="K38" i="24"/>
  <c r="BA38" i="24" s="1"/>
  <c r="K39" i="24"/>
  <c r="BA39" i="24" s="1"/>
  <c r="K40" i="24"/>
  <c r="BA40" i="24" s="1"/>
  <c r="K41" i="24"/>
  <c r="BA41" i="24" s="1"/>
  <c r="K42" i="24"/>
  <c r="BA42" i="24" s="1"/>
  <c r="K43" i="24"/>
  <c r="BA43" i="24" s="1"/>
  <c r="K44" i="24"/>
  <c r="BA44" i="24" s="1"/>
  <c r="K45" i="24"/>
  <c r="BA45" i="24" s="1"/>
  <c r="K46" i="24"/>
  <c r="BA46" i="24" s="1"/>
  <c r="K47" i="24"/>
  <c r="BA47" i="24" s="1"/>
  <c r="K48" i="24"/>
  <c r="BA48" i="24" s="1"/>
  <c r="K49" i="24"/>
  <c r="BA49" i="24" s="1"/>
  <c r="K50" i="24"/>
  <c r="BA50" i="24" s="1"/>
  <c r="K51" i="24"/>
  <c r="BA51" i="24" s="1"/>
  <c r="K52" i="24"/>
  <c r="BA52" i="24" s="1"/>
  <c r="K53" i="24"/>
  <c r="BA53" i="24" s="1"/>
  <c r="K54" i="24"/>
  <c r="BA54" i="24" s="1"/>
  <c r="K55" i="24"/>
  <c r="BA55" i="24" s="1"/>
  <c r="K56" i="24"/>
  <c r="BA56" i="24" s="1"/>
  <c r="K57" i="24"/>
  <c r="BA57" i="24" s="1"/>
  <c r="K58" i="24"/>
  <c r="BA58" i="24" s="1"/>
  <c r="K59" i="24"/>
  <c r="BA59" i="24" s="1"/>
  <c r="K60" i="24"/>
  <c r="BA60" i="24" s="1"/>
  <c r="K61" i="24"/>
  <c r="BA61" i="24" s="1"/>
  <c r="K62" i="24"/>
  <c r="BA62" i="24" s="1"/>
  <c r="K63" i="24"/>
  <c r="BA63" i="24" s="1"/>
  <c r="K64" i="24"/>
  <c r="BA64" i="24" s="1"/>
  <c r="K65" i="24"/>
  <c r="BA65" i="24" s="1"/>
  <c r="K66" i="24"/>
  <c r="BA66" i="24" s="1"/>
  <c r="K67" i="24"/>
  <c r="BA67" i="24" s="1"/>
  <c r="K68" i="24"/>
  <c r="BA68" i="24" s="1"/>
  <c r="K69" i="24"/>
  <c r="BA69" i="24" s="1"/>
  <c r="K70" i="24"/>
  <c r="BA70" i="24" s="1"/>
  <c r="K71" i="24"/>
  <c r="BA71" i="24" s="1"/>
  <c r="K72" i="24"/>
  <c r="BA72" i="24" s="1"/>
  <c r="K13" i="24"/>
  <c r="BA13" i="24" s="1"/>
  <c r="BP21" i="34" l="1"/>
  <c r="AZ21" i="34" s="1"/>
  <c r="BP35" i="34"/>
  <c r="AZ35" i="34" s="1"/>
  <c r="BP33" i="34"/>
  <c r="AZ33" i="34" s="1"/>
  <c r="BP71" i="34"/>
  <c r="AZ71" i="34" s="1"/>
  <c r="BP49" i="34"/>
  <c r="AZ49" i="34" s="1"/>
  <c r="BP55" i="34"/>
  <c r="AZ55" i="34" s="1"/>
  <c r="BP69" i="34"/>
  <c r="AZ69" i="34" s="1"/>
  <c r="BP63" i="34"/>
  <c r="AZ63" i="34" s="1"/>
  <c r="BP47" i="34"/>
  <c r="AZ47" i="34" s="1"/>
  <c r="BP43" i="34"/>
  <c r="AZ43" i="34" s="1"/>
  <c r="AD8" i="34"/>
  <c r="AM44" i="9" s="1"/>
  <c r="BP27" i="36"/>
  <c r="AZ27" i="36" s="1"/>
  <c r="BP21" i="36"/>
  <c r="AZ21" i="36" s="1"/>
  <c r="BP19" i="36"/>
  <c r="AZ19" i="36" s="1"/>
  <c r="BP35" i="36"/>
  <c r="AZ35" i="36" s="1"/>
  <c r="BP71" i="36"/>
  <c r="AZ71" i="36" s="1"/>
  <c r="BP41" i="36"/>
  <c r="AZ41" i="36" s="1"/>
  <c r="BP13" i="36"/>
  <c r="AZ13" i="36" s="1"/>
  <c r="BP17" i="36"/>
  <c r="AZ17" i="36" s="1"/>
  <c r="BP45" i="36"/>
  <c r="AZ45" i="36" s="1"/>
  <c r="AB6" i="36"/>
  <c r="AB5" i="36"/>
  <c r="AC7" i="36"/>
  <c r="AB4" i="36"/>
  <c r="AC6" i="36"/>
  <c r="AC5" i="36"/>
  <c r="AC4" i="36"/>
  <c r="AB3" i="36"/>
  <c r="AC3" i="36"/>
  <c r="AB7" i="36"/>
  <c r="BP61" i="36"/>
  <c r="AZ61" i="36" s="1"/>
  <c r="AD8" i="36"/>
  <c r="AN44" i="9" s="1"/>
  <c r="AO8" i="36"/>
  <c r="AN45" i="9" s="1"/>
  <c r="BP15" i="37"/>
  <c r="AZ15" i="37" s="1"/>
  <c r="BP19" i="37"/>
  <c r="AZ19" i="37" s="1"/>
  <c r="BP55" i="37"/>
  <c r="AZ55" i="37" s="1"/>
  <c r="BP57" i="37"/>
  <c r="AZ57" i="37" s="1"/>
  <c r="BP43" i="37"/>
  <c r="AZ43" i="37" s="1"/>
  <c r="BP71" i="37"/>
  <c r="AZ71" i="37" s="1"/>
  <c r="AK5" i="37"/>
  <c r="BP65" i="37"/>
  <c r="AZ65" i="37" s="1"/>
  <c r="BP49" i="37"/>
  <c r="AZ49" i="37" s="1"/>
  <c r="BP59" i="37"/>
  <c r="AZ59" i="37" s="1"/>
  <c r="BP61" i="37"/>
  <c r="AZ61" i="37" s="1"/>
  <c r="AM4" i="37"/>
  <c r="BP69" i="37"/>
  <c r="AZ69" i="37" s="1"/>
  <c r="BP45" i="37"/>
  <c r="AZ45" i="37" s="1"/>
  <c r="BP25" i="37"/>
  <c r="AZ25" i="37" s="1"/>
  <c r="AO8" i="37"/>
  <c r="AO45" i="9" s="1"/>
  <c r="AD8" i="37"/>
  <c r="AO44" i="9" s="1"/>
  <c r="BP23" i="37"/>
  <c r="AZ23" i="37" s="1"/>
  <c r="BP39" i="37"/>
  <c r="AZ39" i="37" s="1"/>
  <c r="BP33" i="38"/>
  <c r="AZ33" i="38" s="1"/>
  <c r="BP17" i="38"/>
  <c r="AZ17" i="38" s="1"/>
  <c r="BP55" i="38"/>
  <c r="AZ55" i="38" s="1"/>
  <c r="BP29" i="38"/>
  <c r="AZ29" i="38" s="1"/>
  <c r="BP15" i="38"/>
  <c r="AZ15" i="38" s="1"/>
  <c r="BP67" i="38"/>
  <c r="AZ67" i="38" s="1"/>
  <c r="BP65" i="38"/>
  <c r="AZ65" i="38" s="1"/>
  <c r="BP63" i="38"/>
  <c r="AZ63" i="38" s="1"/>
  <c r="BP19" i="38"/>
  <c r="AZ19" i="38" s="1"/>
  <c r="BP23" i="38"/>
  <c r="AZ23" i="38" s="1"/>
  <c r="BP49" i="38"/>
  <c r="AZ49" i="38" s="1"/>
  <c r="BP21" i="38"/>
  <c r="AZ21" i="38" s="1"/>
  <c r="AC3" i="38"/>
  <c r="AC4" i="38"/>
  <c r="AB7" i="38"/>
  <c r="AB4" i="38"/>
  <c r="AB6" i="38"/>
  <c r="AB3" i="38"/>
  <c r="AB5" i="38"/>
  <c r="AC7" i="38"/>
  <c r="AC5" i="38"/>
  <c r="AC6" i="38"/>
  <c r="BP69" i="38"/>
  <c r="AZ69" i="38" s="1"/>
  <c r="BP27" i="38"/>
  <c r="AZ27" i="38" s="1"/>
  <c r="BP61" i="39"/>
  <c r="AZ61" i="39" s="1"/>
  <c r="BP25" i="39"/>
  <c r="AZ25" i="39" s="1"/>
  <c r="BP33" i="39"/>
  <c r="AZ33" i="39" s="1"/>
  <c r="BP65" i="39"/>
  <c r="AZ65" i="39" s="1"/>
  <c r="BP63" i="39"/>
  <c r="AZ63" i="39" s="1"/>
  <c r="BP15" i="39"/>
  <c r="AZ15" i="39" s="1"/>
  <c r="BP67" i="39"/>
  <c r="AZ67" i="39" s="1"/>
  <c r="BP31" i="39"/>
  <c r="AZ31" i="39" s="1"/>
  <c r="BP17" i="39"/>
  <c r="AZ17" i="39" s="1"/>
  <c r="BP45" i="39"/>
  <c r="AZ45" i="39" s="1"/>
  <c r="BP39" i="39"/>
  <c r="AZ39" i="39" s="1"/>
  <c r="BP23" i="39"/>
  <c r="AZ23" i="39" s="1"/>
  <c r="BP21" i="39"/>
  <c r="AZ21" i="39" s="1"/>
  <c r="BP47" i="39"/>
  <c r="AZ47" i="39" s="1"/>
  <c r="BP57" i="39"/>
  <c r="AZ57" i="39" s="1"/>
  <c r="BP29" i="39"/>
  <c r="AZ29" i="39" s="1"/>
  <c r="BP53" i="39"/>
  <c r="AZ53" i="39" s="1"/>
  <c r="AB7" i="39"/>
  <c r="AB6" i="39"/>
  <c r="AB5" i="39"/>
  <c r="AC7" i="39"/>
  <c r="AB4" i="39"/>
  <c r="AC3" i="39"/>
  <c r="AC6" i="39"/>
  <c r="AB3" i="39"/>
  <c r="AC5" i="39"/>
  <c r="AC4" i="39"/>
  <c r="AO8" i="39"/>
  <c r="BP51" i="39"/>
  <c r="AZ51" i="39" s="1"/>
  <c r="AY13" i="39"/>
  <c r="BP13" i="39" s="1"/>
  <c r="AZ13" i="39" s="1"/>
  <c r="AY8" i="39"/>
  <c r="AQ46" i="9" s="1"/>
  <c r="BP41" i="39"/>
  <c r="AZ41" i="39" s="1"/>
  <c r="AM7" i="39"/>
  <c r="AG6" i="39"/>
  <c r="AM4" i="39"/>
  <c r="AK7" i="39"/>
  <c r="AK4" i="39"/>
  <c r="AG3" i="39"/>
  <c r="AG7" i="39"/>
  <c r="AM5" i="39"/>
  <c r="AG4" i="39"/>
  <c r="AK5" i="39"/>
  <c r="AM6" i="39"/>
  <c r="AK3" i="39"/>
  <c r="AG5" i="39"/>
  <c r="AM3" i="39"/>
  <c r="AK6" i="39"/>
  <c r="BP19" i="39"/>
  <c r="AZ19" i="39" s="1"/>
  <c r="X7" i="39"/>
  <c r="X5" i="39"/>
  <c r="X6" i="39"/>
  <c r="X4" i="39"/>
  <c r="X3" i="39"/>
  <c r="BP59" i="39"/>
  <c r="AZ59" i="39" s="1"/>
  <c r="BP71" i="39"/>
  <c r="AZ71" i="39" s="1"/>
  <c r="BP27" i="39"/>
  <c r="AZ27" i="39" s="1"/>
  <c r="BP37" i="39"/>
  <c r="AZ37" i="39" s="1"/>
  <c r="AD8" i="39"/>
  <c r="AQ44" i="9" s="1"/>
  <c r="BP69" i="39"/>
  <c r="AZ69" i="39" s="1"/>
  <c r="BP35" i="39"/>
  <c r="AZ35" i="39" s="1"/>
  <c r="BP55" i="39"/>
  <c r="AZ55" i="39" s="1"/>
  <c r="BP61" i="38"/>
  <c r="AZ61" i="38" s="1"/>
  <c r="AY8" i="38"/>
  <c r="AP46" i="9" s="1"/>
  <c r="BP47" i="38"/>
  <c r="AZ47" i="38" s="1"/>
  <c r="BN13" i="38"/>
  <c r="AO8" i="38" s="1"/>
  <c r="AP45" i="9" s="1"/>
  <c r="BP13" i="38"/>
  <c r="AZ13" i="38" s="1"/>
  <c r="BP39" i="38"/>
  <c r="AZ39" i="38" s="1"/>
  <c r="BP71" i="38"/>
  <c r="AZ71" i="38" s="1"/>
  <c r="BP25" i="38"/>
  <c r="AZ25" i="38" s="1"/>
  <c r="BP45" i="38"/>
  <c r="AZ45" i="38" s="1"/>
  <c r="AD8" i="38"/>
  <c r="AP44" i="9" s="1"/>
  <c r="X5" i="38"/>
  <c r="X6" i="38"/>
  <c r="X4" i="38"/>
  <c r="X3" i="38"/>
  <c r="X7" i="38"/>
  <c r="AM6" i="37"/>
  <c r="AG7" i="37"/>
  <c r="AO7" i="37" s="1"/>
  <c r="AG5" i="37"/>
  <c r="AK6" i="37"/>
  <c r="AK7" i="37"/>
  <c r="BP31" i="37"/>
  <c r="AZ31" i="37" s="1"/>
  <c r="BP67" i="37"/>
  <c r="AZ67" i="37" s="1"/>
  <c r="AG3" i="37"/>
  <c r="AK4" i="37"/>
  <c r="AG4" i="37"/>
  <c r="BP51" i="37"/>
  <c r="AZ51" i="37" s="1"/>
  <c r="BP41" i="37"/>
  <c r="AZ41" i="37" s="1"/>
  <c r="BM13" i="37"/>
  <c r="AG6" i="37"/>
  <c r="AM5" i="37"/>
  <c r="AK3" i="37"/>
  <c r="AM7" i="37"/>
  <c r="AY8" i="37"/>
  <c r="AO46" i="9" s="1"/>
  <c r="AY13" i="37"/>
  <c r="BP13" i="37" s="1"/>
  <c r="AZ13" i="37" s="1"/>
  <c r="AM3" i="37"/>
  <c r="BP63" i="37"/>
  <c r="AZ63" i="37" s="1"/>
  <c r="BP53" i="36"/>
  <c r="AZ53" i="36" s="1"/>
  <c r="BP55" i="36"/>
  <c r="AZ55" i="36" s="1"/>
  <c r="BP23" i="36"/>
  <c r="AZ23" i="36" s="1"/>
  <c r="BP37" i="36"/>
  <c r="AZ37" i="36" s="1"/>
  <c r="BP31" i="36"/>
  <c r="AZ31" i="36" s="1"/>
  <c r="BP43" i="36"/>
  <c r="AZ43" i="36" s="1"/>
  <c r="AK3" i="36"/>
  <c r="AM7" i="36"/>
  <c r="AG6" i="36"/>
  <c r="AM4" i="36"/>
  <c r="AK7" i="36"/>
  <c r="AK4" i="36"/>
  <c r="AG3" i="36"/>
  <c r="AG5" i="36"/>
  <c r="AG7" i="36"/>
  <c r="AM5" i="36"/>
  <c r="AG4" i="36"/>
  <c r="AK5" i="36"/>
  <c r="AK6" i="36"/>
  <c r="AM6" i="36"/>
  <c r="AM3" i="36"/>
  <c r="AY8" i="36"/>
  <c r="AN46" i="9" s="1"/>
  <c r="BP51" i="36"/>
  <c r="AZ51" i="36" s="1"/>
  <c r="X4" i="36"/>
  <c r="X7" i="36"/>
  <c r="X3" i="36"/>
  <c r="X5" i="36"/>
  <c r="X6" i="36"/>
  <c r="BP67" i="36"/>
  <c r="AZ67" i="36" s="1"/>
  <c r="BP61" i="34"/>
  <c r="AZ61" i="34" s="1"/>
  <c r="BP59" i="34"/>
  <c r="AZ59" i="34" s="1"/>
  <c r="BP37" i="34"/>
  <c r="AZ37" i="34" s="1"/>
  <c r="BP19" i="34"/>
  <c r="AZ19" i="34" s="1"/>
  <c r="BP15" i="34"/>
  <c r="AZ15" i="34" s="1"/>
  <c r="BP51" i="34"/>
  <c r="AZ51" i="34" s="1"/>
  <c r="BP45" i="34"/>
  <c r="AZ45" i="34" s="1"/>
  <c r="BM13" i="34"/>
  <c r="BN13" i="34"/>
  <c r="AO8" i="34" s="1"/>
  <c r="AM45" i="9" s="1"/>
  <c r="BP25" i="34"/>
  <c r="AZ25" i="34" s="1"/>
  <c r="BP57" i="34"/>
  <c r="AZ57" i="34" s="1"/>
  <c r="BP27" i="34"/>
  <c r="AZ27" i="34" s="1"/>
  <c r="AY8" i="34"/>
  <c r="AM46" i="9" s="1"/>
  <c r="AY13" i="34"/>
  <c r="BP13" i="34" s="1"/>
  <c r="AZ13" i="34" s="1"/>
  <c r="BJ71" i="24"/>
  <c r="BJ63" i="24"/>
  <c r="BJ55" i="24"/>
  <c r="BJ47" i="24"/>
  <c r="BJ39" i="24"/>
  <c r="BJ31" i="24"/>
  <c r="BJ23" i="24"/>
  <c r="BJ65" i="24"/>
  <c r="BJ57" i="24"/>
  <c r="BJ49" i="24"/>
  <c r="BJ41" i="24"/>
  <c r="BJ33" i="24"/>
  <c r="BJ25" i="24"/>
  <c r="BJ17" i="24"/>
  <c r="BJ15" i="24"/>
  <c r="BJ70" i="24"/>
  <c r="BJ62" i="24"/>
  <c r="BJ54" i="24"/>
  <c r="BJ46" i="24"/>
  <c r="BJ38" i="24"/>
  <c r="BJ30" i="24"/>
  <c r="BJ22" i="24"/>
  <c r="BJ72" i="24"/>
  <c r="BJ64" i="24"/>
  <c r="BJ56" i="24"/>
  <c r="BJ48" i="24"/>
  <c r="BJ40" i="24"/>
  <c r="BJ32" i="24"/>
  <c r="BJ24" i="24"/>
  <c r="BJ16" i="24"/>
  <c r="BJ14" i="24"/>
  <c r="BJ13" i="24"/>
  <c r="AX13" i="24" s="1"/>
  <c r="BJ67" i="24"/>
  <c r="BJ59" i="24"/>
  <c r="BJ51" i="24"/>
  <c r="BJ43" i="24"/>
  <c r="BJ66" i="24"/>
  <c r="BJ58" i="24"/>
  <c r="BJ50" i="24"/>
  <c r="BJ42" i="24"/>
  <c r="BJ34" i="24"/>
  <c r="BJ26" i="24"/>
  <c r="BJ18" i="24"/>
  <c r="BJ69" i="24"/>
  <c r="BJ61" i="24"/>
  <c r="BJ53" i="24"/>
  <c r="BJ45" i="24"/>
  <c r="BJ37" i="24"/>
  <c r="BJ29" i="24"/>
  <c r="BJ21" i="24"/>
  <c r="BJ68" i="24"/>
  <c r="BJ60" i="24"/>
  <c r="BJ52" i="24"/>
  <c r="BJ44" i="24"/>
  <c r="BJ36" i="24"/>
  <c r="BJ28" i="24"/>
  <c r="BJ20" i="24"/>
  <c r="BJ35" i="24"/>
  <c r="BJ27" i="24"/>
  <c r="BJ19" i="24"/>
  <c r="BE71" i="24"/>
  <c r="BE49" i="24"/>
  <c r="BE13" i="24"/>
  <c r="AA13" i="24" s="1"/>
  <c r="BE63" i="24"/>
  <c r="BE55" i="24"/>
  <c r="BE47" i="24"/>
  <c r="BE39" i="24"/>
  <c r="BE31" i="24"/>
  <c r="BE23" i="24"/>
  <c r="BE69" i="24"/>
  <c r="BE45" i="24"/>
  <c r="BE21" i="24"/>
  <c r="BE65" i="24"/>
  <c r="BE57" i="24"/>
  <c r="BE41" i="24"/>
  <c r="BE33" i="24"/>
  <c r="BE25" i="24"/>
  <c r="BE17" i="24"/>
  <c r="BE72" i="24"/>
  <c r="BE64" i="24"/>
  <c r="BE56" i="24"/>
  <c r="BE48" i="24"/>
  <c r="BE40" i="24"/>
  <c r="BE32" i="24"/>
  <c r="BE24" i="24"/>
  <c r="BE16" i="24"/>
  <c r="BO16" i="24" s="1"/>
  <c r="BE70" i="24"/>
  <c r="BE62" i="24"/>
  <c r="BE54" i="24"/>
  <c r="BE46" i="24"/>
  <c r="BE38" i="24"/>
  <c r="BE30" i="24"/>
  <c r="BE22" i="24"/>
  <c r="BE68" i="24"/>
  <c r="BE60" i="24"/>
  <c r="BE52" i="24"/>
  <c r="BE44" i="24"/>
  <c r="BE36" i="24"/>
  <c r="BE28" i="24"/>
  <c r="BE20" i="24"/>
  <c r="BE61" i="24"/>
  <c r="BE37" i="24"/>
  <c r="BE67" i="24"/>
  <c r="BE59" i="24"/>
  <c r="BE51" i="24"/>
  <c r="BE43" i="24"/>
  <c r="BE35" i="24"/>
  <c r="BE27" i="24"/>
  <c r="BE19" i="24"/>
  <c r="BE14" i="24"/>
  <c r="BE53" i="24"/>
  <c r="BE29" i="24"/>
  <c r="BE66" i="24"/>
  <c r="BE58" i="24"/>
  <c r="BE50" i="24"/>
  <c r="BE42" i="24"/>
  <c r="BE34" i="24"/>
  <c r="BE26" i="24"/>
  <c r="BE18" i="24"/>
  <c r="BE15" i="24"/>
  <c r="AC3" i="34" l="1"/>
  <c r="AB7" i="34"/>
  <c r="AB6" i="34"/>
  <c r="AB3" i="34"/>
  <c r="AB5" i="34"/>
  <c r="AC4" i="34"/>
  <c r="AC7" i="34"/>
  <c r="AB4" i="34"/>
  <c r="AC6" i="34"/>
  <c r="AC5" i="34"/>
  <c r="AW6" i="36"/>
  <c r="AR3" i="36"/>
  <c r="AR5" i="36"/>
  <c r="AC6" i="37"/>
  <c r="AB3" i="37"/>
  <c r="AC5" i="37"/>
  <c r="AC4" i="37"/>
  <c r="AB5" i="37"/>
  <c r="AC3" i="37"/>
  <c r="AB7" i="37"/>
  <c r="AB6" i="37"/>
  <c r="AC7" i="37"/>
  <c r="AB4" i="37"/>
  <c r="AQ45" i="9"/>
  <c r="AD7" i="39"/>
  <c r="AO7" i="39"/>
  <c r="AD3" i="39"/>
  <c r="Z4" i="39" s="1"/>
  <c r="AD5" i="39"/>
  <c r="AO5" i="39"/>
  <c r="AO3" i="39"/>
  <c r="AI5" i="39" s="1"/>
  <c r="AW6" i="39"/>
  <c r="AR5" i="39"/>
  <c r="AW3" i="39"/>
  <c r="AV6" i="39"/>
  <c r="AV3" i="39"/>
  <c r="AW7" i="39"/>
  <c r="AV7" i="39"/>
  <c r="AR6" i="39"/>
  <c r="AW4" i="39"/>
  <c r="AR3" i="39"/>
  <c r="AV4" i="39"/>
  <c r="AV5" i="39"/>
  <c r="AR4" i="39"/>
  <c r="AW5" i="39"/>
  <c r="AR7" i="39"/>
  <c r="AD3" i="38"/>
  <c r="Z3" i="38" s="1"/>
  <c r="AD5" i="38"/>
  <c r="AV6" i="38"/>
  <c r="AV3" i="38"/>
  <c r="AW7" i="38"/>
  <c r="AR4" i="38"/>
  <c r="AV7" i="38"/>
  <c r="AR6" i="38"/>
  <c r="AW4" i="38"/>
  <c r="AR3" i="38"/>
  <c r="AV4" i="38"/>
  <c r="AR7" i="38"/>
  <c r="AW5" i="38"/>
  <c r="AV5" i="38"/>
  <c r="AW6" i="38"/>
  <c r="AW3" i="38"/>
  <c r="AR5" i="38"/>
  <c r="AG7" i="38"/>
  <c r="AM5" i="38"/>
  <c r="AG4" i="38"/>
  <c r="AK5" i="38"/>
  <c r="AK3" i="38"/>
  <c r="AM6" i="38"/>
  <c r="AK6" i="38"/>
  <c r="AG5" i="38"/>
  <c r="AM3" i="38"/>
  <c r="AK4" i="38"/>
  <c r="AK7" i="38"/>
  <c r="AG6" i="38"/>
  <c r="AG3" i="38"/>
  <c r="AM4" i="38"/>
  <c r="AM7" i="38"/>
  <c r="AD7" i="38"/>
  <c r="AO5" i="37"/>
  <c r="AO3" i="37"/>
  <c r="AI7" i="37" s="1"/>
  <c r="X5" i="37"/>
  <c r="X7" i="37"/>
  <c r="X6" i="37"/>
  <c r="X3" i="37"/>
  <c r="X4" i="37"/>
  <c r="AV5" i="37"/>
  <c r="AW6" i="37"/>
  <c r="AV6" i="37"/>
  <c r="AW7" i="37"/>
  <c r="AV3" i="37"/>
  <c r="AW4" i="37"/>
  <c r="AR3" i="37"/>
  <c r="AV7" i="37"/>
  <c r="AV4" i="37"/>
  <c r="AR6" i="37"/>
  <c r="AW5" i="37"/>
  <c r="AR4" i="37"/>
  <c r="AR7" i="37"/>
  <c r="AR5" i="37"/>
  <c r="AW3" i="37"/>
  <c r="AI4" i="37"/>
  <c r="AV7" i="36"/>
  <c r="AW4" i="36"/>
  <c r="AW5" i="36"/>
  <c r="AR7" i="36"/>
  <c r="AY7" i="36" s="1"/>
  <c r="AW7" i="36"/>
  <c r="AR4" i="36"/>
  <c r="AD7" i="36"/>
  <c r="AV3" i="36"/>
  <c r="AV5" i="36"/>
  <c r="AD5" i="36"/>
  <c r="AD3" i="36"/>
  <c r="Z4" i="36" s="1"/>
  <c r="AO7" i="36"/>
  <c r="AV6" i="36"/>
  <c r="AV4" i="36"/>
  <c r="AW3" i="36"/>
  <c r="AO5" i="36"/>
  <c r="AO3" i="36"/>
  <c r="AI7" i="36" s="1"/>
  <c r="AR6" i="36"/>
  <c r="AR7" i="34"/>
  <c r="AW5" i="34"/>
  <c r="AV5" i="34"/>
  <c r="AR4" i="34"/>
  <c r="AW6" i="34"/>
  <c r="AR5" i="34"/>
  <c r="AW3" i="34"/>
  <c r="AV4" i="34"/>
  <c r="AV6" i="34"/>
  <c r="AV3" i="34"/>
  <c r="AW7" i="34"/>
  <c r="AV7" i="34"/>
  <c r="AR6" i="34"/>
  <c r="AW4" i="34"/>
  <c r="AR3" i="34"/>
  <c r="AK6" i="34"/>
  <c r="AG5" i="34"/>
  <c r="AM3" i="34"/>
  <c r="AG6" i="34"/>
  <c r="AM4" i="34"/>
  <c r="AK3" i="34"/>
  <c r="AM7" i="34"/>
  <c r="AK7" i="34"/>
  <c r="AK4" i="34"/>
  <c r="AG3" i="34"/>
  <c r="AG7" i="34"/>
  <c r="AM5" i="34"/>
  <c r="AG4" i="34"/>
  <c r="AK5" i="34"/>
  <c r="AM6" i="34"/>
  <c r="X3" i="34"/>
  <c r="X4" i="34"/>
  <c r="X7" i="34"/>
  <c r="X5" i="34"/>
  <c r="X6" i="34"/>
  <c r="AX60" i="24"/>
  <c r="BK60" i="24"/>
  <c r="AY60" i="24" s="1"/>
  <c r="AX32" i="24"/>
  <c r="BK32" i="24"/>
  <c r="AX44" i="24"/>
  <c r="BK44" i="24"/>
  <c r="AY44" i="24" s="1"/>
  <c r="AX53" i="24"/>
  <c r="BK53" i="24"/>
  <c r="AX58" i="24"/>
  <c r="BK58" i="24"/>
  <c r="AY58" i="24" s="1"/>
  <c r="AX16" i="24"/>
  <c r="BK16" i="24"/>
  <c r="AY16" i="24" s="1"/>
  <c r="AX22" i="24"/>
  <c r="BK22" i="24"/>
  <c r="AY22" i="24" s="1"/>
  <c r="AX17" i="24"/>
  <c r="BK17" i="24"/>
  <c r="AX31" i="24"/>
  <c r="BK31" i="24"/>
  <c r="AX52" i="24"/>
  <c r="BK52" i="24"/>
  <c r="AY52" i="24" s="1"/>
  <c r="AX61" i="24"/>
  <c r="BK61" i="24"/>
  <c r="AY61" i="24" s="1"/>
  <c r="AX66" i="24"/>
  <c r="BK66" i="24"/>
  <c r="AX24" i="24"/>
  <c r="BK24" i="24"/>
  <c r="AY24" i="24" s="1"/>
  <c r="AX30" i="24"/>
  <c r="BK30" i="24"/>
  <c r="AX25" i="24"/>
  <c r="BK25" i="24"/>
  <c r="AY25" i="24" s="1"/>
  <c r="AX39" i="24"/>
  <c r="BK39" i="24"/>
  <c r="AX19" i="24"/>
  <c r="BK19" i="24"/>
  <c r="AX38" i="24"/>
  <c r="BK38" i="24"/>
  <c r="AY38" i="24" s="1"/>
  <c r="AX68" i="24"/>
  <c r="BK68" i="24"/>
  <c r="AY68" i="24" s="1"/>
  <c r="AX51" i="24"/>
  <c r="BK51" i="24"/>
  <c r="AX41" i="24"/>
  <c r="BK41" i="24"/>
  <c r="AX55" i="24"/>
  <c r="BK55" i="24"/>
  <c r="AY55" i="24" s="1"/>
  <c r="AX35" i="24"/>
  <c r="BK35" i="24"/>
  <c r="AY35" i="24" s="1"/>
  <c r="AX21" i="24"/>
  <c r="BK21" i="24"/>
  <c r="AX26" i="24"/>
  <c r="BK26" i="24"/>
  <c r="AY26" i="24" s="1"/>
  <c r="AX59" i="24"/>
  <c r="BK59" i="24"/>
  <c r="AY59" i="24" s="1"/>
  <c r="AX48" i="24"/>
  <c r="BK48" i="24"/>
  <c r="AY48" i="24" s="1"/>
  <c r="AX54" i="24"/>
  <c r="BK54" i="24"/>
  <c r="AX49" i="24"/>
  <c r="BK49" i="24"/>
  <c r="AY49" i="24" s="1"/>
  <c r="AX63" i="24"/>
  <c r="BK63" i="24"/>
  <c r="AY63" i="24" s="1"/>
  <c r="AX69" i="24"/>
  <c r="BK69" i="24"/>
  <c r="AY69" i="24" s="1"/>
  <c r="AX33" i="24"/>
  <c r="BK33" i="24"/>
  <c r="AX27" i="24"/>
  <c r="BK27" i="24"/>
  <c r="AY27" i="24" s="1"/>
  <c r="AX40" i="24"/>
  <c r="BK40" i="24"/>
  <c r="AY40" i="24" s="1"/>
  <c r="AX20" i="24"/>
  <c r="BK20" i="24"/>
  <c r="AY20" i="24" s="1"/>
  <c r="AX67" i="24"/>
  <c r="BK67" i="24"/>
  <c r="AX56" i="24"/>
  <c r="BK56" i="24"/>
  <c r="AX71" i="24"/>
  <c r="BK71" i="24"/>
  <c r="AY71" i="24" s="1"/>
  <c r="AX28" i="24"/>
  <c r="BK28" i="24"/>
  <c r="AY28" i="24" s="1"/>
  <c r="AX37" i="24"/>
  <c r="BK37" i="24"/>
  <c r="AX42" i="24"/>
  <c r="BK42" i="24"/>
  <c r="AY42" i="24" s="1"/>
  <c r="AX64" i="24"/>
  <c r="BK64" i="24"/>
  <c r="AY64" i="24" s="1"/>
  <c r="AX70" i="24"/>
  <c r="BK70" i="24"/>
  <c r="AY70" i="24" s="1"/>
  <c r="AX65" i="24"/>
  <c r="BK65" i="24"/>
  <c r="AX43" i="24"/>
  <c r="BK43" i="24"/>
  <c r="AY43" i="24" s="1"/>
  <c r="AX47" i="24"/>
  <c r="BK47" i="24"/>
  <c r="AY47" i="24" s="1"/>
  <c r="AX18" i="24"/>
  <c r="BK18" i="24"/>
  <c r="AY18" i="24" s="1"/>
  <c r="AX46" i="24"/>
  <c r="BK46" i="24"/>
  <c r="AY46" i="24" s="1"/>
  <c r="AX29" i="24"/>
  <c r="BK29" i="24"/>
  <c r="AY29" i="24" s="1"/>
  <c r="AX34" i="24"/>
  <c r="BK34" i="24"/>
  <c r="AY34" i="24" s="1"/>
  <c r="AX62" i="24"/>
  <c r="BK62" i="24"/>
  <c r="AY62" i="24" s="1"/>
  <c r="AX57" i="24"/>
  <c r="BK57" i="24"/>
  <c r="AY57" i="24" s="1"/>
  <c r="AX36" i="24"/>
  <c r="BK36" i="24"/>
  <c r="AY36" i="24" s="1"/>
  <c r="AX45" i="24"/>
  <c r="BK45" i="24"/>
  <c r="AY45" i="24" s="1"/>
  <c r="AX50" i="24"/>
  <c r="BK50" i="24"/>
  <c r="AY50" i="24" s="1"/>
  <c r="AX14" i="24"/>
  <c r="BK14" i="24"/>
  <c r="AX72" i="24"/>
  <c r="BK72" i="24"/>
  <c r="AY72" i="24" s="1"/>
  <c r="AX15" i="24"/>
  <c r="BK15" i="24"/>
  <c r="AY15" i="24" s="1"/>
  <c r="AX23" i="24"/>
  <c r="BK23" i="24"/>
  <c r="AY23" i="24" s="1"/>
  <c r="AA40" i="24"/>
  <c r="BO40" i="24"/>
  <c r="BN39" i="24" s="1"/>
  <c r="AA58" i="24"/>
  <c r="BO58" i="24"/>
  <c r="BN57" i="24" s="1"/>
  <c r="AA43" i="24"/>
  <c r="BL43" i="24"/>
  <c r="BM43" i="24" s="1"/>
  <c r="AA36" i="24"/>
  <c r="BO36" i="24"/>
  <c r="BN35" i="24" s="1"/>
  <c r="AA46" i="24"/>
  <c r="BO46" i="24"/>
  <c r="BN45" i="24" s="1"/>
  <c r="AA48" i="24"/>
  <c r="BO48" i="24"/>
  <c r="BN47" i="24" s="1"/>
  <c r="AA57" i="24"/>
  <c r="BL57" i="24"/>
  <c r="BM57" i="24" s="1"/>
  <c r="AA47" i="24"/>
  <c r="BL47" i="24"/>
  <c r="BM47" i="24" s="1"/>
  <c r="AA38" i="24"/>
  <c r="BO38" i="24"/>
  <c r="BN37" i="24" s="1"/>
  <c r="AA15" i="24"/>
  <c r="BL15" i="24"/>
  <c r="BM15" i="24" s="1"/>
  <c r="AA29" i="24"/>
  <c r="BL29" i="24"/>
  <c r="BM29" i="24" s="1"/>
  <c r="AA59" i="24"/>
  <c r="BL59" i="24"/>
  <c r="BM59" i="24" s="1"/>
  <c r="AA52" i="24"/>
  <c r="BO52" i="24"/>
  <c r="BN51" i="24" s="1"/>
  <c r="AA62" i="24"/>
  <c r="BO62" i="24"/>
  <c r="BN61" i="24" s="1"/>
  <c r="AA64" i="24"/>
  <c r="BO64" i="24"/>
  <c r="BN63" i="24" s="1"/>
  <c r="AA21" i="24"/>
  <c r="AY21" i="24"/>
  <c r="BL21" i="24"/>
  <c r="BM21" i="24" s="1"/>
  <c r="AA63" i="24"/>
  <c r="BL63" i="24"/>
  <c r="BM63" i="24" s="1"/>
  <c r="AA66" i="24"/>
  <c r="BO66" i="24"/>
  <c r="BN65" i="24" s="1"/>
  <c r="AY66" i="24"/>
  <c r="AA18" i="24"/>
  <c r="BO18" i="24"/>
  <c r="BN17" i="24" s="1"/>
  <c r="AA53" i="24"/>
  <c r="AY53" i="24"/>
  <c r="BL53" i="24"/>
  <c r="BM53" i="24" s="1"/>
  <c r="AA67" i="24"/>
  <c r="BL67" i="24"/>
  <c r="BM67" i="24" s="1"/>
  <c r="AY67" i="24"/>
  <c r="AA60" i="24"/>
  <c r="BO60" i="24"/>
  <c r="BN59" i="24" s="1"/>
  <c r="AA70" i="24"/>
  <c r="BO70" i="24"/>
  <c r="BN69" i="24" s="1"/>
  <c r="AA72" i="24"/>
  <c r="BO72" i="24"/>
  <c r="BN71" i="24" s="1"/>
  <c r="AA45" i="24"/>
  <c r="BL45" i="24"/>
  <c r="BM45" i="24" s="1"/>
  <c r="BK13" i="24"/>
  <c r="AY13" i="24" s="1"/>
  <c r="BL13" i="24"/>
  <c r="AA35" i="24"/>
  <c r="BL35" i="24"/>
  <c r="BM35" i="24" s="1"/>
  <c r="AA54" i="24"/>
  <c r="BO54" i="24"/>
  <c r="BN53" i="24" s="1"/>
  <c r="AY54" i="24"/>
  <c r="AA68" i="24"/>
  <c r="BO68" i="24"/>
  <c r="BN67" i="24" s="1"/>
  <c r="AA50" i="24"/>
  <c r="BO50" i="24"/>
  <c r="BN49" i="24" s="1"/>
  <c r="AA44" i="24"/>
  <c r="BO44" i="24"/>
  <c r="BN43" i="24" s="1"/>
  <c r="AA65" i="24"/>
  <c r="AY65" i="24"/>
  <c r="BL65" i="24"/>
  <c r="BM65" i="24" s="1"/>
  <c r="AA26" i="24"/>
  <c r="BO26" i="24"/>
  <c r="BN25" i="24" s="1"/>
  <c r="AA37" i="24"/>
  <c r="AY37" i="24"/>
  <c r="BL37" i="24"/>
  <c r="BM37" i="24" s="1"/>
  <c r="AA17" i="24"/>
  <c r="AY17" i="24"/>
  <c r="BL17" i="24"/>
  <c r="BM17" i="24" s="1"/>
  <c r="AA49" i="24"/>
  <c r="BL49" i="24"/>
  <c r="BM49" i="24" s="1"/>
  <c r="AA34" i="24"/>
  <c r="BO34" i="24"/>
  <c r="BN33" i="24" s="1"/>
  <c r="AA19" i="24"/>
  <c r="BL19" i="24"/>
  <c r="BM19" i="24" s="1"/>
  <c r="AY19" i="24"/>
  <c r="AA61" i="24"/>
  <c r="BL61" i="24"/>
  <c r="BM61" i="24" s="1"/>
  <c r="AA22" i="24"/>
  <c r="BO22" i="24"/>
  <c r="BN21" i="24" s="1"/>
  <c r="AA24" i="24"/>
  <c r="BO24" i="24"/>
  <c r="BN23" i="24" s="1"/>
  <c r="AA25" i="24"/>
  <c r="BL25" i="24"/>
  <c r="BM25" i="24" s="1"/>
  <c r="AA23" i="24"/>
  <c r="BL23" i="24"/>
  <c r="BM23" i="24" s="1"/>
  <c r="AA71" i="24"/>
  <c r="BL71" i="24"/>
  <c r="BM71" i="24" s="1"/>
  <c r="AA51" i="24"/>
  <c r="BL51" i="24"/>
  <c r="BM51" i="24" s="1"/>
  <c r="AY51" i="24"/>
  <c r="AA56" i="24"/>
  <c r="AY56" i="24"/>
  <c r="BO56" i="24"/>
  <c r="BN55" i="24" s="1"/>
  <c r="AA55" i="24"/>
  <c r="BL55" i="24"/>
  <c r="BM55" i="24" s="1"/>
  <c r="AA14" i="24"/>
  <c r="BO14" i="24"/>
  <c r="AY14" i="24"/>
  <c r="AA16" i="24"/>
  <c r="BN15" i="24"/>
  <c r="AA69" i="24"/>
  <c r="BL69" i="24"/>
  <c r="BM69" i="24" s="1"/>
  <c r="AA42" i="24"/>
  <c r="BO42" i="24"/>
  <c r="BN41" i="24" s="1"/>
  <c r="AA27" i="24"/>
  <c r="BL27" i="24"/>
  <c r="BM27" i="24" s="1"/>
  <c r="AA20" i="24"/>
  <c r="BO20" i="24"/>
  <c r="BN19" i="24" s="1"/>
  <c r="AA30" i="24"/>
  <c r="BO30" i="24"/>
  <c r="BN29" i="24" s="1"/>
  <c r="AY30" i="24"/>
  <c r="AA32" i="24"/>
  <c r="AY32" i="24"/>
  <c r="BO32" i="24"/>
  <c r="BN31" i="24" s="1"/>
  <c r="AA33" i="24"/>
  <c r="AY33" i="24"/>
  <c r="BL33" i="24"/>
  <c r="BM33" i="24" s="1"/>
  <c r="AA31" i="24"/>
  <c r="BL31" i="24"/>
  <c r="BM31" i="24" s="1"/>
  <c r="AY31" i="24"/>
  <c r="AA28" i="24"/>
  <c r="BO28" i="24"/>
  <c r="BN27" i="24" s="1"/>
  <c r="AA41" i="24"/>
  <c r="AY41" i="24"/>
  <c r="BL41" i="24"/>
  <c r="BM41" i="24" s="1"/>
  <c r="AA39" i="24"/>
  <c r="BL39" i="24"/>
  <c r="BM39" i="24" s="1"/>
  <c r="AY39" i="24"/>
  <c r="AO8" i="24" l="1"/>
  <c r="AL45" i="9" s="1"/>
  <c r="W50" i="9" s="1"/>
  <c r="BP45" i="24"/>
  <c r="AZ45" i="24" s="1"/>
  <c r="AD8" i="24"/>
  <c r="AL44" i="9" s="1"/>
  <c r="L50" i="9" s="1"/>
  <c r="Z7" i="38"/>
  <c r="Z4" i="38"/>
  <c r="Z5" i="38"/>
  <c r="Z3" i="39"/>
  <c r="Z6" i="39"/>
  <c r="Z7" i="39"/>
  <c r="Z5" i="39"/>
  <c r="AI6" i="39"/>
  <c r="AI7" i="39"/>
  <c r="AY7" i="39"/>
  <c r="AI3" i="39"/>
  <c r="AI4" i="39"/>
  <c r="AY3" i="39"/>
  <c r="AT6" i="39" s="1"/>
  <c r="AY5" i="39"/>
  <c r="Z6" i="38"/>
  <c r="AY7" i="38"/>
  <c r="AO7" i="38"/>
  <c r="AY5" i="38"/>
  <c r="AY3" i="38"/>
  <c r="AT4" i="38" s="1"/>
  <c r="AO5" i="38"/>
  <c r="AO3" i="38"/>
  <c r="AI3" i="38" s="1"/>
  <c r="AI5" i="37"/>
  <c r="AI3" i="37"/>
  <c r="AI6" i="37"/>
  <c r="AD3" i="37"/>
  <c r="Z3" i="37" s="1"/>
  <c r="AD5" i="37"/>
  <c r="AD7" i="37"/>
  <c r="AY5" i="37"/>
  <c r="AY3" i="37"/>
  <c r="AT3" i="37" s="1"/>
  <c r="AY7" i="37"/>
  <c r="Z6" i="36"/>
  <c r="Z3" i="36"/>
  <c r="AI5" i="36"/>
  <c r="Z5" i="36"/>
  <c r="Z7" i="36"/>
  <c r="AI3" i="36"/>
  <c r="AI6" i="36"/>
  <c r="AI4" i="36"/>
  <c r="AY5" i="36"/>
  <c r="AY3" i="36"/>
  <c r="AT4" i="36" s="1"/>
  <c r="AY3" i="34"/>
  <c r="AT3" i="34" s="1"/>
  <c r="AY5" i="34"/>
  <c r="AD7" i="34"/>
  <c r="AO7" i="34"/>
  <c r="AD5" i="34"/>
  <c r="AD3" i="34"/>
  <c r="Z6" i="34" s="1"/>
  <c r="AO5" i="34"/>
  <c r="AO3" i="34"/>
  <c r="AI3" i="34" s="1"/>
  <c r="AY7" i="34"/>
  <c r="BP33" i="24"/>
  <c r="AZ33" i="24" s="1"/>
  <c r="BP71" i="24"/>
  <c r="AZ71" i="24" s="1"/>
  <c r="BP51" i="24"/>
  <c r="AZ51" i="24" s="1"/>
  <c r="BP63" i="24"/>
  <c r="AZ63" i="24" s="1"/>
  <c r="BP65" i="24"/>
  <c r="AZ65" i="24" s="1"/>
  <c r="BP69" i="24"/>
  <c r="AZ69" i="24" s="1"/>
  <c r="BP19" i="24"/>
  <c r="AZ19" i="24" s="1"/>
  <c r="BP43" i="24"/>
  <c r="AZ43" i="24" s="1"/>
  <c r="BP37" i="24"/>
  <c r="AZ37" i="24" s="1"/>
  <c r="BP25" i="24"/>
  <c r="AZ25" i="24" s="1"/>
  <c r="BP61" i="24"/>
  <c r="AZ61" i="24" s="1"/>
  <c r="BP39" i="24"/>
  <c r="AZ39" i="24" s="1"/>
  <c r="BP47" i="24"/>
  <c r="AZ47" i="24" s="1"/>
  <c r="BP31" i="24"/>
  <c r="AZ31" i="24" s="1"/>
  <c r="BP27" i="24"/>
  <c r="AZ27" i="24" s="1"/>
  <c r="BP41" i="24"/>
  <c r="AZ41" i="24" s="1"/>
  <c r="BP17" i="24"/>
  <c r="AZ17" i="24" s="1"/>
  <c r="BP67" i="24"/>
  <c r="AZ67" i="24" s="1"/>
  <c r="BP21" i="24"/>
  <c r="AZ21" i="24" s="1"/>
  <c r="BP15" i="24"/>
  <c r="AZ15" i="24" s="1"/>
  <c r="BP57" i="24"/>
  <c r="AZ57" i="24" s="1"/>
  <c r="BP55" i="24"/>
  <c r="AZ55" i="24" s="1"/>
  <c r="BP13" i="24"/>
  <c r="AZ13" i="24" s="1"/>
  <c r="BP29" i="24"/>
  <c r="AZ29" i="24" s="1"/>
  <c r="BP23" i="24"/>
  <c r="AZ23" i="24" s="1"/>
  <c r="BP49" i="24"/>
  <c r="AZ49" i="24" s="1"/>
  <c r="BP53" i="24"/>
  <c r="AZ53" i="24" s="1"/>
  <c r="BP59" i="24"/>
  <c r="AZ59" i="24" s="1"/>
  <c r="BP35" i="24"/>
  <c r="AZ35" i="24" s="1"/>
  <c r="AY8" i="24"/>
  <c r="AL46" i="9" s="1"/>
  <c r="AG50" i="9" s="1"/>
  <c r="BN13" i="24"/>
  <c r="BM13" i="24"/>
  <c r="AK5" i="24" l="1"/>
  <c r="S47" i="9" s="1"/>
  <c r="AM7" i="24"/>
  <c r="U49" i="9" s="1"/>
  <c r="AK4" i="24"/>
  <c r="S46" i="9" s="1"/>
  <c r="AM6" i="24"/>
  <c r="U48" i="9" s="1"/>
  <c r="AK3" i="24"/>
  <c r="S45" i="9" s="1"/>
  <c r="AM5" i="24"/>
  <c r="U47" i="9" s="1"/>
  <c r="AM4" i="24"/>
  <c r="U46" i="9" s="1"/>
  <c r="AK6" i="24"/>
  <c r="S48" i="9" s="1"/>
  <c r="AM3" i="24"/>
  <c r="U45" i="9" s="1"/>
  <c r="AK7" i="24"/>
  <c r="S49" i="9" s="1"/>
  <c r="AC6" i="24"/>
  <c r="K48" i="9" s="1"/>
  <c r="AB3" i="24"/>
  <c r="J45" i="9" s="1"/>
  <c r="AC5" i="24"/>
  <c r="K47" i="9" s="1"/>
  <c r="AC4" i="24"/>
  <c r="K46" i="9" s="1"/>
  <c r="AC3" i="24"/>
  <c r="K45" i="9" s="1"/>
  <c r="AB7" i="24"/>
  <c r="J49" i="9" s="1"/>
  <c r="AB6" i="24"/>
  <c r="J48" i="9" s="1"/>
  <c r="AB5" i="24"/>
  <c r="J47" i="9" s="1"/>
  <c r="AC7" i="24"/>
  <c r="K49" i="9" s="1"/>
  <c r="AB4" i="24"/>
  <c r="J46" i="9" s="1"/>
  <c r="AW6" i="24"/>
  <c r="AE48" i="9" s="1"/>
  <c r="AV3" i="24"/>
  <c r="AD45" i="9" s="1"/>
  <c r="AW5" i="24"/>
  <c r="AE47" i="9" s="1"/>
  <c r="AW4" i="24"/>
  <c r="AE46" i="9" s="1"/>
  <c r="AW3" i="24"/>
  <c r="AE45" i="9" s="1"/>
  <c r="AV7" i="24"/>
  <c r="AD49" i="9" s="1"/>
  <c r="AV6" i="24"/>
  <c r="AD48" i="9" s="1"/>
  <c r="AV5" i="24"/>
  <c r="AD47" i="9" s="1"/>
  <c r="AW7" i="24"/>
  <c r="AE49" i="9" s="1"/>
  <c r="AV4" i="24"/>
  <c r="AD46" i="9" s="1"/>
  <c r="AT7" i="39"/>
  <c r="AT5" i="39"/>
  <c r="AT4" i="39"/>
  <c r="AT3" i="39"/>
  <c r="AT5" i="38"/>
  <c r="AI6" i="38"/>
  <c r="AT3" i="38"/>
  <c r="AT6" i="38"/>
  <c r="AT7" i="38"/>
  <c r="AI7" i="38"/>
  <c r="AI5" i="38"/>
  <c r="AI4" i="38"/>
  <c r="AT5" i="37"/>
  <c r="AT7" i="37"/>
  <c r="Z7" i="37"/>
  <c r="Z4" i="37"/>
  <c r="Z6" i="37"/>
  <c r="Z5" i="37"/>
  <c r="AT4" i="37"/>
  <c r="AT6" i="37"/>
  <c r="AT3" i="36"/>
  <c r="AT7" i="36"/>
  <c r="AT5" i="36"/>
  <c r="AT6" i="36"/>
  <c r="Z5" i="34"/>
  <c r="AT5" i="34"/>
  <c r="AT4" i="34"/>
  <c r="AT7" i="34"/>
  <c r="AI4" i="34"/>
  <c r="AT6" i="34"/>
  <c r="AI5" i="34"/>
  <c r="AI7" i="34"/>
  <c r="Z7" i="34"/>
  <c r="AI6" i="34"/>
  <c r="Z4" i="34"/>
  <c r="Z3" i="34"/>
  <c r="AR3" i="24"/>
  <c r="Z45" i="9" s="1"/>
  <c r="AR4" i="24"/>
  <c r="Z46" i="9" s="1"/>
  <c r="AR6" i="24"/>
  <c r="Z48" i="9" s="1"/>
  <c r="AR5" i="24"/>
  <c r="Z47" i="9" s="1"/>
  <c r="AR7" i="24"/>
  <c r="AG3" i="24"/>
  <c r="O45" i="9" s="1"/>
  <c r="AG7" i="24"/>
  <c r="O49" i="9" s="1"/>
  <c r="W49" i="9" s="1"/>
  <c r="AG6" i="24"/>
  <c r="O48" i="9" s="1"/>
  <c r="AG5" i="24"/>
  <c r="O47" i="9" s="1"/>
  <c r="AG4" i="24"/>
  <c r="O46" i="9" s="1"/>
  <c r="X5" i="24"/>
  <c r="F47" i="9" s="1" a="1"/>
  <c r="F47" i="9" s="1"/>
  <c r="X4" i="24"/>
  <c r="F46" i="9" s="1" a="1"/>
  <c r="F46" i="9" s="1"/>
  <c r="X7" i="24"/>
  <c r="F49" i="9" s="1" a="1"/>
  <c r="F49" i="9" s="1"/>
  <c r="X3" i="24"/>
  <c r="F45" i="9" s="1" a="1"/>
  <c r="F45" i="9" s="1"/>
  <c r="X6" i="24"/>
  <c r="F48" i="9" s="1" a="1"/>
  <c r="F48" i="9" s="1"/>
  <c r="AX12" i="24"/>
  <c r="AA12" i="24"/>
  <c r="W47" i="9" l="1"/>
  <c r="W45" i="9"/>
  <c r="Q46" i="9" s="1"/>
  <c r="Z49" i="9"/>
  <c r="AG49" i="9" s="1"/>
  <c r="Q47" i="9"/>
  <c r="AG47" i="9"/>
  <c r="L45" i="9"/>
  <c r="H45" i="9" s="1"/>
  <c r="L47" i="9"/>
  <c r="L49" i="9"/>
  <c r="AY3" i="24"/>
  <c r="AO7" i="24"/>
  <c r="AO5" i="24"/>
  <c r="AO3" i="24"/>
  <c r="AI6" i="24" s="1"/>
  <c r="AD5" i="24"/>
  <c r="AD3" i="24"/>
  <c r="Z3" i="24" s="1"/>
  <c r="AD7" i="24"/>
  <c r="Q45" i="9" l="1"/>
  <c r="AG45" i="9"/>
  <c r="AB49" i="9" s="1"/>
  <c r="Q49" i="9"/>
  <c r="Q48" i="9"/>
  <c r="H46" i="9"/>
  <c r="H49" i="9"/>
  <c r="H47" i="9"/>
  <c r="H48" i="9"/>
  <c r="AI3" i="24"/>
  <c r="AI5" i="24"/>
  <c r="AI7" i="24"/>
  <c r="AI4" i="24"/>
  <c r="Z6" i="24"/>
  <c r="Z5" i="24"/>
  <c r="Z4" i="24"/>
  <c r="Z7" i="24"/>
  <c r="AB45" i="9" l="1"/>
  <c r="AB47" i="9"/>
  <c r="AB48" i="9"/>
  <c r="AB46" i="9"/>
  <c r="AY7" i="24"/>
  <c r="AY5" i="24" l="1"/>
  <c r="AT7" i="24"/>
  <c r="AT3" i="24" l="1"/>
  <c r="AT4" i="24"/>
  <c r="AT6" i="24"/>
  <c r="AT5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NASER GURI</author>
  </authors>
  <commentList>
    <comment ref="F44" authorId="0" shapeId="0" xr:uid="{72213EA8-56B2-4B4F-9C6A-4468598F5F6C}">
      <text>
        <r>
          <rPr>
            <b/>
            <sz val="9"/>
            <color indexed="81"/>
            <rFont val="Tahoma"/>
            <family val="2"/>
          </rPr>
          <t>NASER GURI:</t>
        </r>
        <r>
          <rPr>
            <sz val="9"/>
            <color indexed="81"/>
            <rFont val="Tahoma"/>
            <family val="2"/>
          </rPr>
          <t xml:space="preserve">
Këtu ndryshohet viti
</t>
        </r>
      </text>
    </comment>
    <comment ref="F45" authorId="0" shapeId="0" xr:uid="{3B58241B-BA70-44C5-812A-0E6C607FF588}">
      <text>
        <r>
          <rPr>
            <b/>
            <sz val="9"/>
            <color indexed="81"/>
            <rFont val="Tahoma"/>
            <family val="2"/>
          </rPr>
          <t>NASER GURI:</t>
        </r>
        <r>
          <rPr>
            <sz val="9"/>
            <color indexed="81"/>
            <rFont val="Tahoma"/>
            <family val="2"/>
          </rPr>
          <t xml:space="preserve">
Këtu ndryshohet muaji</t>
        </r>
      </text>
    </comment>
    <comment ref="H45" authorId="0" shapeId="0" xr:uid="{47D0EF33-3570-4A9B-8CF4-4EDE6E94A739}">
      <text>
        <r>
          <rPr>
            <b/>
            <sz val="9"/>
            <color indexed="81"/>
            <rFont val="Tahoma"/>
            <family val="2"/>
          </rPr>
          <t>NASER GURI:</t>
        </r>
        <r>
          <rPr>
            <sz val="9"/>
            <color indexed="81"/>
            <rFont val="Tahoma"/>
            <family val="2"/>
          </rPr>
          <t xml:space="preserve">
Këtu vendoset dita e fundit e shkurtit</t>
        </r>
      </text>
    </comment>
    <comment ref="F46" authorId="0" shapeId="0" xr:uid="{8E4886D2-1BF6-406C-8628-76C64A91B285}">
      <text>
        <r>
          <rPr>
            <b/>
            <sz val="9"/>
            <color indexed="81"/>
            <rFont val="Tahoma"/>
            <family val="2"/>
          </rPr>
          <t>NASER GURI:</t>
        </r>
        <r>
          <rPr>
            <sz val="9"/>
            <color indexed="81"/>
            <rFont val="Tahoma"/>
            <family val="2"/>
          </rPr>
          <t xml:space="preserve">
Këtu zgjedhet dita e fillimit të javës, te ne e Hënë-2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<sst xmlns="http://schemas.openxmlformats.org/spreadsheetml/2006/main" count="599" uniqueCount="140">
  <si>
    <t>SHFMU "EMIN DURAKU" KAÇANIK</t>
  </si>
  <si>
    <t>Nota</t>
  </si>
  <si>
    <t>Shkencat e natyrës</t>
  </si>
  <si>
    <t>Lënda:</t>
  </si>
  <si>
    <t>Biologji</t>
  </si>
  <si>
    <t>Naser Guri</t>
  </si>
  <si>
    <t>Klasa:</t>
  </si>
  <si>
    <t>Gjysmëvjetori</t>
  </si>
  <si>
    <t>Nr</t>
  </si>
  <si>
    <t>Viti shkollor:</t>
  </si>
  <si>
    <t xml:space="preserve">Test </t>
  </si>
  <si>
    <t>shkëlq</t>
  </si>
  <si>
    <t>sh.mirë</t>
  </si>
  <si>
    <t>mirë</t>
  </si>
  <si>
    <t>mjaft</t>
  </si>
  <si>
    <t xml:space="preserve">gjithsej </t>
  </si>
  <si>
    <t>KLASA E GJASHTË-2022-2023</t>
  </si>
  <si>
    <t>NASER GURI</t>
  </si>
  <si>
    <t>DITARI PERSONAL I MËSIMDHËNËSIT-ES</t>
  </si>
  <si>
    <t>MËSIMDHËNËS:</t>
  </si>
  <si>
    <t>LËNDA: BIOLOGJI</t>
  </si>
  <si>
    <t>pamjaft</t>
  </si>
  <si>
    <t>Mësimdhënësi-ja</t>
  </si>
  <si>
    <t>Suksesi përfundimtar</t>
  </si>
  <si>
    <t>Nota përfundimtare</t>
  </si>
  <si>
    <t>Projekte &amp; prezentime</t>
  </si>
  <si>
    <t>Detyra shtëpie</t>
  </si>
  <si>
    <t>Angazhim në klasë</t>
  </si>
  <si>
    <t>Instrumentet e vlerësimit</t>
  </si>
  <si>
    <t>Fusha kurrikulare</t>
  </si>
  <si>
    <t>Punoi Naser A. Guri</t>
  </si>
  <si>
    <t>DITARI PERSONAL I MËSIMDHËNËSIT</t>
  </si>
  <si>
    <t>Nota 1&amp;2</t>
  </si>
  <si>
    <t>Nota 2</t>
  </si>
  <si>
    <t>Nota 1</t>
  </si>
  <si>
    <t>EMRAT DHE MBIEMRAT E NXËNËSVE</t>
  </si>
  <si>
    <t>Suksesi Përfundimtar</t>
  </si>
  <si>
    <t>Përfundim i vlerësimit 1 në anën e majtë dhe fillimi i vlerësimit përmbledhës 2 në anën e djathtë të tbelarit</t>
  </si>
  <si>
    <t>NOTA 1&amp;2</t>
  </si>
  <si>
    <t>NOTA 2</t>
  </si>
  <si>
    <t>NOTA 1</t>
  </si>
  <si>
    <t>GJYSMËVJETORI I</t>
  </si>
  <si>
    <t>GJYSMËVJETORI II</t>
  </si>
  <si>
    <t>Suksesi</t>
  </si>
  <si>
    <t>Nr.</t>
  </si>
  <si>
    <t>%</t>
  </si>
  <si>
    <t>i parë,</t>
  </si>
  <si>
    <t>i dytë,</t>
  </si>
  <si>
    <t>Kalojnë</t>
  </si>
  <si>
    <t>Mbesin</t>
  </si>
  <si>
    <t>PËRFUNDIMTARI</t>
  </si>
  <si>
    <t>2023/2024</t>
  </si>
  <si>
    <t>F</t>
  </si>
  <si>
    <t>M</t>
  </si>
  <si>
    <t>GJ2</t>
  </si>
  <si>
    <t>Nota mesatare GJ1</t>
  </si>
  <si>
    <t>Gjinia</t>
  </si>
  <si>
    <t xml:space="preserve">Gjithsej </t>
  </si>
  <si>
    <t>Përfundim i vlerësimit 1 në anën e majtë dhe fillimi i vlerësimit përmbledhës 2 në anën e djathtë të tabelarit</t>
  </si>
  <si>
    <t xml:space="preserve"> </t>
  </si>
  <si>
    <t>Gjysmëvjetori 1</t>
  </si>
  <si>
    <t>Gjysmëvjetori 2</t>
  </si>
  <si>
    <t xml:space="preserve">Nota mesatare </t>
  </si>
  <si>
    <t>shkëlqyeshëm</t>
  </si>
  <si>
    <t>shumë mirë</t>
  </si>
  <si>
    <t>mjaftueshëm</t>
  </si>
  <si>
    <t>pamjaftueshëm</t>
  </si>
  <si>
    <t>Përshtati Naser A. Guri</t>
  </si>
  <si>
    <t>Gjysmëvjetori i parë</t>
  </si>
  <si>
    <t>Gjysmëvjetori i dytë</t>
  </si>
  <si>
    <t>Gjith</t>
  </si>
  <si>
    <t>Shtator</t>
  </si>
  <si>
    <t>Janar</t>
  </si>
  <si>
    <t>Tetor</t>
  </si>
  <si>
    <t>Shkurt</t>
  </si>
  <si>
    <t>Nëntor</t>
  </si>
  <si>
    <t>Mars</t>
  </si>
  <si>
    <t>Dhjetor</t>
  </si>
  <si>
    <t>Prill</t>
  </si>
  <si>
    <t>Gjithsej</t>
  </si>
  <si>
    <t>Maj</t>
  </si>
  <si>
    <t>Qershor</t>
  </si>
  <si>
    <t>Festat</t>
  </si>
  <si>
    <t>ORARI I ZILES</t>
  </si>
  <si>
    <t>NDËRRIMI I PARË</t>
  </si>
  <si>
    <t>ORA</t>
  </si>
  <si>
    <t>FILLIMI</t>
  </si>
  <si>
    <t>MBARIMI</t>
  </si>
  <si>
    <t>NDËRRIMI I DYTË</t>
  </si>
  <si>
    <t>Pushimi pranveror</t>
  </si>
  <si>
    <t>Ditë mësimi</t>
  </si>
  <si>
    <t>Gjithsej ditë mësimi</t>
  </si>
  <si>
    <t>Pushimet</t>
  </si>
  <si>
    <t>MUAJT</t>
  </si>
  <si>
    <t>Dita e shqiptarëve</t>
  </si>
  <si>
    <t xml:space="preserve">Krishtlindjet </t>
  </si>
  <si>
    <t>Viti i ri</t>
  </si>
  <si>
    <t>Festa e vitit të ri</t>
  </si>
  <si>
    <t xml:space="preserve">Pushimi dimëror </t>
  </si>
  <si>
    <t>Dita e pavarësisë</t>
  </si>
  <si>
    <t>Pashkët katolike</t>
  </si>
  <si>
    <t xml:space="preserve">Dita e kushtetutës </t>
  </si>
  <si>
    <t>Fitër Bajrami</t>
  </si>
  <si>
    <t>Dita e punës</t>
  </si>
  <si>
    <t>Pashkët ortodokse</t>
  </si>
  <si>
    <t>Dita e Evropës</t>
  </si>
  <si>
    <t>Kurban Bajrami</t>
  </si>
  <si>
    <t>Ky tabelar është punuar për të lehtësuar punën e mësimdhënësve në vlerësimin e vazhdueshëm dhe atë përmbledhës duke u bazuar në udhëzimin administrativ të MASHTI mbi vlerësimin e nxënësve.
Në të janë përfshirë 11 fleta tri prej të cilave janë "Shpjegimi"në fletën e parë me ngjyrë të kuqe, "Kalendari" me ngjyrë blu, "Orari i ziles" me ngjyrë portokalli dhe "mbuloja" (Koveri), fleta e fundit me ngjyrë të zezë. 
Në fletën "Koveri" janë të vendosura logot e shtetit, komunës dhe shkollës, emri dhe vendbanimi i shkollës që mund të ndryshohen varësisht nga shkolla, klasa, lënda dhe mësimdhënësi.
Poshtë të njëjtës fletë është tabela me pasqyrën vjetore të suksesit të arritur, e shprehur edhe me mesatare dhe përqindje.
Kjo tabelë plotësohet në mënyrë automatike, për këtë është vendosur edhe e fundit, ashtu që të plotësohet krejtësisht.
7 fletat tjera janë të njëjta, vetëm duhet ndërruar numrin e klasës, emrat dhe gjininë për meshkuj M dhe për femra F të nxënësve.  
Këto fleta kanë nga dy faqe ku në faqen e parë janë të dhënat për lëndën dhe mësimdhënësit, nga 4 instrumente të vlerësimit për të dy gjysmëvjetorët shkollor, si dhe përqindjet për vendosjen e kritereve në kuadër të secilit instrument të vlerësimit.Përqindjet dhe instrumentet mund të ndryshohen sipas preferencave të secilit. Shtylla për teste ka edhe numrin e pikëve që duhen për secilën notë bazuar në udhëzimin administrativ të MASHTI për vlerësim. Secili instrument ka nga 5 rubrika për vendosjen e notave nga 1 deri 5. Nota e secilit instrument llogaritet automatikisht. Në faqen e parë ndodhet edhe tabela me të dhënat rreth rezultateve të arritura të nxënësve gjatë vitit shkollor.  
I tërë tabelari është i printueshëm dhe arsyja pse nuk kam përdorur ngjyra është për të kursyer ngjyrën e printerëve që po na mungon.
Më poshtë disa të dhëna për mënyrën e vlerësimit marrë nga udhëzimi administrativ i MASHTI.</t>
  </si>
  <si>
    <r>
      <rPr>
        <sz val="18"/>
        <color rgb="FF000000"/>
        <rFont val="Wingdings"/>
        <charset val="2"/>
      </rPr>
      <t></t>
    </r>
    <r>
      <rPr>
        <sz val="18"/>
        <color rgb="FF000000"/>
        <rFont val="Times New Roman"/>
        <family val="1"/>
      </rPr>
      <t xml:space="preserve"> Për një gjysmëvjetor vendosen dy nota, ku koha e planifikimit të vendosjes së tyre është e ndarë propocionalisht me kohëzgjatjen e gjysmëvjetorit
</t>
    </r>
    <r>
      <rPr>
        <sz val="18"/>
        <color rgb="FF000000"/>
        <rFont val="Wingdings"/>
        <charset val="2"/>
      </rPr>
      <t></t>
    </r>
    <r>
      <rPr>
        <sz val="18"/>
        <color rgb="FF000000"/>
        <rFont val="Times New Roman"/>
        <family val="1"/>
      </rPr>
      <t xml:space="preserve"> Llojet e instrumenteve për vlerësimin përmbledhës nuk duhen të jenë më pak se tri (3) instrumente vlerësimi.
</t>
    </r>
    <r>
      <rPr>
        <sz val="18"/>
        <color rgb="FF000000"/>
        <rFont val="Wingdings"/>
        <charset val="2"/>
      </rPr>
      <t></t>
    </r>
    <r>
      <rPr>
        <sz val="18"/>
        <color rgb="FF000000"/>
        <rFont val="Times New Roman"/>
        <family val="1"/>
      </rPr>
      <t xml:space="preserve"> Nota e vlerësimit për një gjysmëvjetor nxirret si mesatarja aritmetike e dy notave të vlerësimit përmbledhës
</t>
    </r>
    <r>
      <rPr>
        <sz val="18"/>
        <color rgb="FF000000"/>
        <rFont val="Wingdings"/>
        <charset val="2"/>
      </rPr>
      <t></t>
    </r>
    <r>
      <rPr>
        <sz val="18"/>
        <color rgb="FF000000"/>
        <rFont val="Times New Roman"/>
        <family val="1"/>
      </rPr>
      <t xml:space="preserve"> Ditari personal ruhet së paku për një shkallë kurrikulare.
</t>
    </r>
    <r>
      <rPr>
        <sz val="18"/>
        <color rgb="FF000000"/>
        <rFont val="Wingdings"/>
        <charset val="2"/>
      </rPr>
      <t></t>
    </r>
    <r>
      <rPr>
        <sz val="18"/>
        <color rgb="FF000000"/>
        <rFont val="Times New Roman"/>
        <family val="1"/>
      </rPr>
      <t xml:space="preserve"> Nota e vlerësimit përfundimtar për lëndën mësimore arrihet/vendoset me mesataren aritmetike të notave nga dy gjysmëvjetorët e vitit shkollor.</t>
    </r>
  </si>
  <si>
    <t xml:space="preserve">                             Kalendari shkollor </t>
  </si>
  <si>
    <t>Ndryshimi i vitit</t>
  </si>
  <si>
    <t>Dita e paqës</t>
  </si>
  <si>
    <t>Ndryshimi i muajit</t>
  </si>
  <si>
    <t>Festa e pavarësisë</t>
  </si>
  <si>
    <t>Dita e parë e javës</t>
  </si>
  <si>
    <t>Mësimi fillon me</t>
  </si>
  <si>
    <t>Fillon</t>
  </si>
  <si>
    <t>Mbaron</t>
  </si>
  <si>
    <t>Ditë mësimi Janar</t>
  </si>
  <si>
    <t>Ditë mësimi Prill</t>
  </si>
  <si>
    <t>Tabela për ndryshime</t>
  </si>
  <si>
    <t>1. E diell              2. E hënë</t>
  </si>
  <si>
    <t>Vërejtje: Rreshtat me ngjyrë të kuqe dhe ata të zbrazët shërbejnë për vendosjen e datave të mbajtjes së festave, nëse festa bie gjatë vikendeve apo ndryshon për gjatë viteve.</t>
  </si>
  <si>
    <t>Gjithsej javë</t>
  </si>
  <si>
    <t>Fundi i Shkurtit</t>
  </si>
  <si>
    <t>Prill b</t>
  </si>
  <si>
    <t>Pushimi vjeshtor</t>
  </si>
  <si>
    <t>Festa Kurban Bajram</t>
  </si>
  <si>
    <t>Ditë mësimi Nëntor</t>
  </si>
  <si>
    <t>Krisht. Ortodokse</t>
  </si>
  <si>
    <t>Festë K. Ortodokse</t>
  </si>
  <si>
    <t>Gjysmëvjetori i parë,</t>
  </si>
  <si>
    <t>Gjysmëvjetori i dytë,</t>
  </si>
  <si>
    <t>Gjysmëvjetorët</t>
  </si>
  <si>
    <t>VI-1</t>
  </si>
  <si>
    <t>VI-2</t>
  </si>
  <si>
    <t>VI-3</t>
  </si>
  <si>
    <t>VI-4</t>
  </si>
  <si>
    <t>VI-5</t>
  </si>
  <si>
    <t>VI-6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</si>
</sst>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###0"/>
    <numFmt numFmtId="165" formatCode="mmmm\ \'yy"/>
    <numFmt numFmtId="166" formatCode="d"/>
    <numFmt numFmtId="167" formatCode="[$-F800]dddd\,\ mmmm\ dd\,\ yyyy"/>
    <numFmt numFmtId="168" formatCode="d/m/yy"/>
  </numFmts>
  <fonts count="131">
    <font>
      <sz val="10"/>
      <color rgb="FF000000"/>
      <name val="Times New Roman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5"/>
      <color rgb="FF000000"/>
      <name val="Times New Roman"/>
      <family val="1"/>
    </font>
    <font>
      <b/>
      <sz val="12"/>
      <color theme="1"/>
      <name val="Times New Roman"/>
      <family val="1"/>
    </font>
    <font>
      <sz val="16"/>
      <color rgb="FFFF0000"/>
      <name val="Arial Black"/>
      <family val="2"/>
      <charset val="238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20"/>
      <color rgb="FF000000"/>
      <name val="Times New Roman"/>
      <family val="1"/>
      <scheme val="minor"/>
    </font>
    <font>
      <b/>
      <sz val="24"/>
      <color rgb="FF000000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b/>
      <sz val="16"/>
      <color rgb="FF000000"/>
      <name val="Times New Roman"/>
      <family val="1"/>
      <scheme val="minor"/>
    </font>
    <font>
      <b/>
      <sz val="22"/>
      <color rgb="FF000000"/>
      <name val="Times New Roman"/>
      <family val="1"/>
      <scheme val="minor"/>
    </font>
    <font>
      <b/>
      <sz val="14"/>
      <color rgb="FF000000"/>
      <name val="Times New Roman"/>
      <family val="1"/>
      <scheme val="minor"/>
    </font>
    <font>
      <b/>
      <sz val="12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6"/>
      <color rgb="FF0070C0"/>
      <name val="Times New Roman"/>
      <family val="1"/>
    </font>
    <font>
      <b/>
      <sz val="16"/>
      <color rgb="FF00B050"/>
      <name val="Times New Roman"/>
      <family val="1"/>
    </font>
    <font>
      <b/>
      <sz val="14"/>
      <color rgb="FF00B050"/>
      <name val="Times New Roman"/>
      <family val="1"/>
    </font>
    <font>
      <b/>
      <sz val="9"/>
      <color theme="1"/>
      <name val="Times New Roman"/>
      <family val="1"/>
    </font>
    <font>
      <sz val="14"/>
      <color rgb="FF000000"/>
      <name val="Times New Roman"/>
      <family val="1"/>
      <scheme val="minor"/>
    </font>
    <font>
      <sz val="11"/>
      <color rgb="FF000000"/>
      <name val="Times New Roman"/>
      <family val="1"/>
      <scheme val="minor"/>
    </font>
    <font>
      <sz val="18"/>
      <color rgb="FF000000"/>
      <name val="Times New Roman"/>
      <family val="1"/>
      <charset val="2"/>
    </font>
    <font>
      <sz val="18"/>
      <color rgb="FF000000"/>
      <name val="Wingdings"/>
      <charset val="2"/>
    </font>
    <font>
      <sz val="18"/>
      <color rgb="FF000000"/>
      <name val="Times New Roman"/>
      <family val="1"/>
    </font>
    <font>
      <sz val="20"/>
      <color rgb="FF000000"/>
      <name val="Times New Roman"/>
      <family val="1"/>
      <scheme val="minor"/>
    </font>
    <font>
      <sz val="16"/>
      <color rgb="FF000000"/>
      <name val="Times New Roman"/>
      <family val="1"/>
      <scheme val="minor"/>
    </font>
    <font>
      <b/>
      <sz val="12"/>
      <color rgb="FF00B050"/>
      <name val="Times New Roman"/>
      <family val="1"/>
    </font>
    <font>
      <b/>
      <sz val="18"/>
      <color rgb="FFC00000"/>
      <name val="Times New Roman"/>
      <family val="1"/>
    </font>
    <font>
      <sz val="10"/>
      <name val="Times New Roman"/>
      <family val="1"/>
    </font>
    <font>
      <b/>
      <sz val="16"/>
      <color rgb="FF548DD4"/>
      <name val="Times New Roman"/>
      <family val="1"/>
    </font>
    <font>
      <b/>
      <sz val="12"/>
      <color rgb="FF0070C0"/>
      <name val="Times New Roman"/>
      <family val="1"/>
    </font>
    <font>
      <sz val="12"/>
      <color theme="1"/>
      <name val="Arial Black"/>
      <family val="2"/>
    </font>
    <font>
      <sz val="10"/>
      <color rgb="FF000000"/>
      <name val="Times New Roman"/>
      <family val="1"/>
      <scheme val="minor"/>
    </font>
    <font>
      <sz val="8"/>
      <name val="Times New Roman"/>
      <family val="1"/>
      <scheme val="minor"/>
    </font>
    <font>
      <b/>
      <sz val="16"/>
      <color rgb="FFC00000"/>
      <name val="Times New Roman"/>
      <family val="1"/>
      <scheme val="minor"/>
    </font>
    <font>
      <b/>
      <sz val="16"/>
      <color rgb="FF00B050"/>
      <name val="Times New Roman"/>
      <family val="1"/>
      <scheme val="minor"/>
    </font>
    <font>
      <sz val="12"/>
      <color rgb="FF000000"/>
      <name val="Times New Roman"/>
      <family val="1"/>
      <scheme val="minor"/>
    </font>
    <font>
      <b/>
      <sz val="11"/>
      <color rgb="FFC00000"/>
      <name val="Times New Roman"/>
      <family val="1"/>
    </font>
    <font>
      <b/>
      <sz val="18"/>
      <color theme="8" tint="-0.249977111117893"/>
      <name val="Times New Roman"/>
      <family val="1"/>
    </font>
    <font>
      <b/>
      <sz val="12"/>
      <color theme="8" tint="-0.249977111117893"/>
      <name val="Times New Roman"/>
      <family val="1"/>
    </font>
    <font>
      <b/>
      <sz val="18"/>
      <color rgb="FF0070C0"/>
      <name val="Times New Roman"/>
      <family val="1"/>
      <scheme val="minor"/>
    </font>
    <font>
      <b/>
      <sz val="16"/>
      <color rgb="FF0070C0"/>
      <name val="Times New Roman"/>
      <family val="1"/>
      <scheme val="minor"/>
    </font>
    <font>
      <b/>
      <sz val="18"/>
      <color rgb="FF0070C0"/>
      <name val="Times New Roman"/>
      <family val="1"/>
    </font>
    <font>
      <b/>
      <sz val="18"/>
      <color rgb="FF00B050"/>
      <name val="Times New Roman"/>
      <family val="1"/>
      <scheme val="minor"/>
    </font>
    <font>
      <b/>
      <sz val="18"/>
      <color rgb="FF00B050"/>
      <name val="Times New Roman"/>
      <family val="1"/>
    </font>
    <font>
      <b/>
      <sz val="14"/>
      <color rgb="FFC00000"/>
      <name val="Times New Roman"/>
      <family val="1"/>
      <scheme val="minor"/>
    </font>
    <font>
      <b/>
      <sz val="18"/>
      <color rgb="FFC00000"/>
      <name val="Times New Roman"/>
      <family val="1"/>
      <scheme val="minor"/>
    </font>
    <font>
      <sz val="12"/>
      <color rgb="FF00B050"/>
      <name val="Arial Black"/>
      <family val="2"/>
      <charset val="238"/>
    </font>
    <font>
      <b/>
      <sz val="11"/>
      <color rgb="FF00B050"/>
      <name val="Times New Roman"/>
      <family val="1"/>
    </font>
    <font>
      <sz val="16"/>
      <color rgb="FF00B050"/>
      <name val="Times New Roman"/>
      <family val="1"/>
      <scheme val="minor"/>
    </font>
    <font>
      <sz val="14"/>
      <color rgb="FF0070C0"/>
      <name val="Times New Roman"/>
      <family val="1"/>
      <scheme val="minor"/>
    </font>
    <font>
      <sz val="14"/>
      <color rgb="FFC00000"/>
      <name val="Times New Roman"/>
      <family val="1"/>
      <scheme val="minor"/>
    </font>
    <font>
      <b/>
      <sz val="6"/>
      <color rgb="FF548DD4"/>
      <name val="Times New Roman"/>
      <family val="1"/>
    </font>
    <font>
      <b/>
      <sz val="7"/>
      <color rgb="FF548DD4"/>
      <name val="Times New Roman"/>
      <family val="1"/>
    </font>
    <font>
      <b/>
      <sz val="12"/>
      <color theme="0"/>
      <name val="Times New Roman"/>
      <family val="1"/>
    </font>
    <font>
      <sz val="16"/>
      <color rgb="FFC00000"/>
      <name val="Times New Roman"/>
      <family val="1"/>
      <scheme val="minor"/>
    </font>
    <font>
      <b/>
      <sz val="24"/>
      <color rgb="FF0070C0"/>
      <name val="Times New Roman"/>
      <family val="1"/>
      <scheme val="minor"/>
    </font>
    <font>
      <b/>
      <sz val="24"/>
      <color rgb="FF00B050"/>
      <name val="Times New Roman"/>
      <family val="1"/>
      <scheme val="minor"/>
    </font>
    <font>
      <b/>
      <sz val="24"/>
      <color rgb="FFC00000"/>
      <name val="Times New Roman"/>
      <family val="1"/>
      <scheme val="minor"/>
    </font>
    <font>
      <sz val="24"/>
      <color rgb="FF0070C0"/>
      <name val="Times New Roman"/>
      <family val="1"/>
      <scheme val="minor"/>
    </font>
    <font>
      <b/>
      <sz val="24"/>
      <color rgb="FF0070C0"/>
      <name val="Times New Roman"/>
      <family val="1"/>
    </font>
    <font>
      <sz val="24"/>
      <color rgb="FF00B050"/>
      <name val="Times New Roman"/>
      <family val="1"/>
      <scheme val="minor"/>
    </font>
    <font>
      <b/>
      <sz val="24"/>
      <color rgb="FF00B050"/>
      <name val="Times New Roman"/>
      <family val="1"/>
    </font>
    <font>
      <sz val="24"/>
      <color rgb="FFC00000"/>
      <name val="Times New Roman"/>
      <family val="1"/>
      <scheme val="minor"/>
    </font>
    <font>
      <b/>
      <sz val="24"/>
      <color rgb="FFC00000"/>
      <name val="Times New Roman"/>
      <family val="1"/>
    </font>
    <font>
      <b/>
      <sz val="24"/>
      <color theme="1"/>
      <name val="Times New Roman"/>
      <family val="1"/>
    </font>
    <font>
      <b/>
      <sz val="24"/>
      <name val="Times New Roman"/>
      <family val="1"/>
    </font>
    <font>
      <b/>
      <sz val="26"/>
      <color rgb="FF000000"/>
      <name val="Times New Roman"/>
      <family val="1"/>
      <scheme val="minor"/>
    </font>
    <font>
      <b/>
      <sz val="28"/>
      <color rgb="FF000000"/>
      <name val="Times New Roman"/>
      <family val="1"/>
      <scheme val="minor"/>
    </font>
    <font>
      <u/>
      <sz val="10"/>
      <color theme="10"/>
      <name val="Times New Roman"/>
      <family val="1"/>
      <scheme val="minor"/>
    </font>
    <font>
      <sz val="10"/>
      <name val="Times New Roman"/>
      <family val="2"/>
      <scheme val="minor"/>
    </font>
    <font>
      <sz val="10"/>
      <name val="Tahoma"/>
      <family val="2"/>
    </font>
    <font>
      <sz val="11"/>
      <name val="Times New Roman"/>
      <family val="2"/>
      <scheme val="minor"/>
    </font>
    <font>
      <i/>
      <sz val="11"/>
      <name val="Times New Roman"/>
      <family val="2"/>
      <scheme val="minor"/>
    </font>
    <font>
      <b/>
      <sz val="12"/>
      <color theme="1" tint="0.34998626667073579"/>
      <name val="Times New Roman"/>
      <family val="2"/>
      <scheme val="minor"/>
    </font>
    <font>
      <b/>
      <sz val="11"/>
      <color theme="1" tint="0.34998626667073579"/>
      <name val="Times New Roman"/>
      <family val="2"/>
      <scheme val="minor"/>
    </font>
    <font>
      <sz val="10"/>
      <color theme="1" tint="0.249977111117893"/>
      <name val="Times New Roman"/>
      <family val="2"/>
      <scheme val="minor"/>
    </font>
    <font>
      <sz val="10"/>
      <color theme="1" tint="0.499984740745262"/>
      <name val="Times New Roman"/>
      <family val="2"/>
      <scheme val="minor"/>
    </font>
    <font>
      <b/>
      <sz val="42"/>
      <color theme="4" tint="-0.249977111117893"/>
      <name val="Times New Roman"/>
      <family val="2"/>
      <scheme val="minor"/>
    </font>
    <font>
      <b/>
      <sz val="20"/>
      <color theme="1" tint="0.34998626667073579"/>
      <name val="Times New Roman"/>
      <family val="2"/>
      <scheme val="minor"/>
    </font>
    <font>
      <sz val="11"/>
      <color theme="1" tint="0.34998626667073579"/>
      <name val="Times New Roman"/>
      <family val="2"/>
      <scheme val="minor"/>
    </font>
    <font>
      <sz val="10"/>
      <color theme="1" tint="0.34998626667073579"/>
      <name val="Times New Roman"/>
      <family val="2"/>
      <scheme val="minor"/>
    </font>
    <font>
      <sz val="8"/>
      <name val="Times New Roman"/>
      <family val="2"/>
      <scheme val="minor"/>
    </font>
    <font>
      <sz val="14"/>
      <name val="Times New Roman"/>
      <family val="2"/>
      <scheme val="minor"/>
    </font>
    <font>
      <sz val="12"/>
      <name val="Times New Roman"/>
      <family val="2"/>
      <scheme val="minor"/>
    </font>
    <font>
      <b/>
      <sz val="12"/>
      <name val="Times New Roman"/>
      <family val="2"/>
      <scheme val="minor"/>
    </font>
    <font>
      <sz val="12"/>
      <color theme="1" tint="0.34998626667073579"/>
      <name val="Times New Roman"/>
      <family val="2"/>
      <scheme val="minor"/>
    </font>
    <font>
      <sz val="16"/>
      <name val="Times New Roman"/>
      <family val="2"/>
      <scheme val="minor"/>
    </font>
    <font>
      <b/>
      <sz val="16"/>
      <name val="Times New Roman"/>
      <family val="2"/>
      <scheme val="minor"/>
    </font>
    <font>
      <b/>
      <sz val="16"/>
      <color theme="1" tint="0.249977111117893"/>
      <name val="Times New Roman"/>
      <family val="2"/>
      <scheme val="minor"/>
    </font>
    <font>
      <b/>
      <sz val="16"/>
      <color rgb="FF00B0F0"/>
      <name val="Times New Roman"/>
      <family val="2"/>
      <scheme val="minor"/>
    </font>
    <font>
      <b/>
      <sz val="20"/>
      <color theme="0"/>
      <name val="Times New Roman"/>
      <family val="2"/>
      <scheme val="minor"/>
    </font>
    <font>
      <b/>
      <sz val="26"/>
      <color theme="1" tint="0.34998626667073579"/>
      <name val="Times New Roman"/>
      <family val="2"/>
      <scheme val="minor"/>
    </font>
    <font>
      <sz val="26"/>
      <color theme="0"/>
      <name val="Times New Roman"/>
      <family val="1"/>
      <scheme val="minor"/>
    </font>
    <font>
      <sz val="26"/>
      <color rgb="FF000000"/>
      <name val="Times New Roman"/>
      <family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name val="Times New Roman"/>
      <family val="2"/>
      <scheme val="minor"/>
    </font>
    <font>
      <b/>
      <sz val="16"/>
      <color theme="0"/>
      <name val="Times New Roman"/>
      <family val="2"/>
      <scheme val="minor"/>
    </font>
    <font>
      <b/>
      <sz val="18"/>
      <color theme="0"/>
      <name val="Times New Roman"/>
      <family val="2"/>
      <scheme val="minor"/>
    </font>
    <font>
      <b/>
      <sz val="22"/>
      <color theme="1" tint="0.34998626667073579"/>
      <name val="Times New Roman"/>
      <family val="1"/>
      <scheme val="minor"/>
    </font>
    <font>
      <b/>
      <sz val="14"/>
      <color theme="0"/>
      <name val="Times New Roman"/>
      <family val="2"/>
      <scheme val="minor"/>
    </font>
    <font>
      <b/>
      <sz val="14"/>
      <color rgb="FFC00000"/>
      <name val="Times New Roman"/>
      <family val="2"/>
      <scheme val="minor"/>
    </font>
    <font>
      <sz val="12"/>
      <color theme="0"/>
      <name val="Times New Roman"/>
      <family val="2"/>
      <scheme val="minor"/>
    </font>
    <font>
      <b/>
      <sz val="18"/>
      <color theme="4" tint="-0.249977111117893"/>
      <name val="Times New Roman"/>
      <family val="2"/>
      <scheme val="minor"/>
    </font>
    <font>
      <b/>
      <sz val="16"/>
      <color theme="4" tint="-0.249977111117893"/>
      <name val="Times New Roman"/>
      <family val="2"/>
      <scheme val="minor"/>
    </font>
    <font>
      <b/>
      <sz val="8"/>
      <color theme="4" tint="-0.249977111117893"/>
      <name val="Times New Roman"/>
      <family val="2"/>
      <scheme val="minor"/>
    </font>
    <font>
      <b/>
      <sz val="11"/>
      <color theme="4" tint="-0.249977111117893"/>
      <name val="Times New Roman"/>
      <family val="2"/>
      <scheme val="minor"/>
    </font>
    <font>
      <b/>
      <sz val="22"/>
      <color theme="4" tint="-0.249977111117893"/>
      <name val="Times New Roman"/>
      <family val="1"/>
    </font>
    <font>
      <sz val="16"/>
      <color theme="0"/>
      <name val="Times New Roman"/>
      <family val="2"/>
      <scheme val="minor"/>
    </font>
    <font>
      <b/>
      <sz val="18"/>
      <color theme="4" tint="-0.24994659260841701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4"/>
      <color theme="4" tint="-0.249977111117893"/>
      <name val="Times New Roman"/>
      <family val="2"/>
      <scheme val="minor"/>
    </font>
    <font>
      <b/>
      <sz val="16"/>
      <color rgb="FFFF0000"/>
      <name val="Times New Roman"/>
      <family val="2"/>
      <scheme val="minor"/>
    </font>
    <font>
      <b/>
      <sz val="14"/>
      <name val="Times New Roman"/>
      <family val="2"/>
      <scheme val="minor"/>
    </font>
    <font>
      <b/>
      <sz val="14"/>
      <color rgb="FFFF0000"/>
      <name val="Times New Roman"/>
      <family val="2"/>
      <scheme val="minor"/>
    </font>
    <font>
      <b/>
      <sz val="36"/>
      <color theme="0"/>
      <name val="Times New Roman"/>
      <family val="1"/>
    </font>
    <font>
      <b/>
      <sz val="36"/>
      <color theme="0"/>
      <name val="Times New Roman"/>
      <family val="2"/>
      <scheme val="minor"/>
    </font>
    <font>
      <b/>
      <sz val="12"/>
      <color theme="0"/>
      <name val="Times New Roman"/>
      <family val="2"/>
      <scheme val="minor"/>
    </font>
    <font>
      <b/>
      <sz val="10"/>
      <color theme="4" tint="-0.249977111117893"/>
      <name val="Times New Roman"/>
      <family val="2"/>
      <scheme val="minor"/>
    </font>
    <font>
      <b/>
      <sz val="22"/>
      <color theme="0"/>
      <name val="Times New Roman"/>
      <family val="2"/>
      <scheme val="minor"/>
    </font>
    <font>
      <b/>
      <sz val="16"/>
      <color theme="1"/>
      <name val="Times New Roman"/>
      <family val="2"/>
      <scheme val="minor"/>
    </font>
    <font>
      <b/>
      <sz val="11"/>
      <color theme="0"/>
      <name val="Times New Roman"/>
      <family val="2"/>
      <scheme val="minor"/>
    </font>
    <font>
      <b/>
      <sz val="12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53E0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3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 style="double">
        <color auto="1"/>
      </top>
      <bottom style="thick">
        <color theme="0" tint="-0.34998626667073579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thick">
        <color theme="0" tint="-0.14993743705557422"/>
      </top>
      <bottom/>
      <diagonal/>
    </border>
    <border>
      <left/>
      <right/>
      <top style="thick">
        <color theme="0" tint="-0.14993743705557422"/>
      </top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double">
        <color auto="1"/>
      </left>
      <right/>
      <top style="thick">
        <color theme="0" tint="-0.14990691854609822"/>
      </top>
      <bottom style="thick">
        <color theme="0" tint="-0.14990691854609822"/>
      </bottom>
      <diagonal/>
    </border>
    <border>
      <left/>
      <right/>
      <top style="thick">
        <color theme="0" tint="-0.14990691854609822"/>
      </top>
      <bottom style="thick">
        <color theme="0" tint="-0.14990691854609822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auto="1"/>
      </right>
      <top style="thick">
        <color indexed="64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ck">
        <color theme="0" tint="-0.34998626667073579"/>
      </left>
      <right style="double">
        <color auto="1"/>
      </right>
      <top style="thick">
        <color theme="0" tint="-0.34998626667073579"/>
      </top>
      <bottom style="thick">
        <color theme="0" tint="-0.34998626667073579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theme="4" tint="0.59996337778862885"/>
      </right>
      <top style="double">
        <color auto="1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double">
        <color auto="1"/>
      </top>
      <bottom style="thin">
        <color theme="4" tint="0.59996337778862885"/>
      </bottom>
      <diagonal/>
    </border>
    <border>
      <left style="thin">
        <color theme="4" tint="0.59996337778862885"/>
      </left>
      <right style="double">
        <color auto="1"/>
      </right>
      <top style="double">
        <color auto="1"/>
      </top>
      <bottom style="thin">
        <color theme="4" tint="0.59996337778862885"/>
      </bottom>
      <diagonal/>
    </border>
    <border>
      <left style="double">
        <color indexed="64"/>
      </left>
      <right style="thick">
        <color theme="4" tint="-0.24994659260841701"/>
      </right>
      <top style="double">
        <color indexed="64"/>
      </top>
      <bottom style="thin">
        <color theme="4" tint="-0.24994659260841701"/>
      </bottom>
      <diagonal/>
    </border>
    <border>
      <left style="thick">
        <color theme="4" tint="-0.24994659260841701"/>
      </left>
      <right style="thick">
        <color theme="4" tint="-0.24994659260841701"/>
      </right>
      <top style="double">
        <color indexed="64"/>
      </top>
      <bottom style="thin">
        <color theme="4" tint="-0.24994659260841701"/>
      </bottom>
      <diagonal/>
    </border>
    <border>
      <left style="thick">
        <color theme="4" tint="-0.24994659260841701"/>
      </left>
      <right style="double">
        <color indexed="64"/>
      </right>
      <top style="double">
        <color indexed="64"/>
      </top>
      <bottom style="thin">
        <color theme="4" tint="-0.24994659260841701"/>
      </bottom>
      <diagonal/>
    </border>
    <border>
      <left style="double">
        <color auto="1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double">
        <color auto="1"/>
      </right>
      <top style="thin">
        <color theme="4" tint="0.59996337778862885"/>
      </top>
      <bottom style="thin">
        <color theme="4" tint="0.59996337778862885"/>
      </bottom>
      <diagonal/>
    </border>
    <border>
      <left style="double">
        <color indexed="64"/>
      </left>
      <right style="thick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4" tint="-0.24994659260841701"/>
      </left>
      <right style="thick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4" tint="-0.24994659260841701"/>
      </left>
      <right style="double">
        <color indexed="64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4" tint="-0.24994659260841701"/>
      </left>
      <right style="thick">
        <color theme="4" tint="-0.24994659260841701"/>
      </right>
      <top style="thin">
        <color theme="4" tint="-0.24994659260841701"/>
      </top>
      <bottom style="double">
        <color auto="1"/>
      </bottom>
      <diagonal/>
    </border>
    <border>
      <left style="thick">
        <color theme="4" tint="-0.24994659260841701"/>
      </left>
      <right style="double">
        <color indexed="64"/>
      </right>
      <top style="thin">
        <color theme="4" tint="-0.24994659260841701"/>
      </top>
      <bottom style="double">
        <color auto="1"/>
      </bottom>
      <diagonal/>
    </border>
    <border>
      <left style="thick">
        <color rgb="FFC00000"/>
      </left>
      <right style="thick">
        <color rgb="FFC00000"/>
      </right>
      <top style="double">
        <color auto="1"/>
      </top>
      <bottom style="thin">
        <color rgb="FFC00000"/>
      </bottom>
      <diagonal/>
    </border>
    <border>
      <left style="thick">
        <color rgb="FFC00000"/>
      </left>
      <right style="double">
        <color indexed="64"/>
      </right>
      <top style="double">
        <color auto="1"/>
      </top>
      <bottom style="thin">
        <color rgb="FFC00000"/>
      </bottom>
      <diagonal/>
    </border>
    <border>
      <left style="thick">
        <color rgb="FFC00000"/>
      </left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ck">
        <color rgb="FFC00000"/>
      </left>
      <right style="double">
        <color indexed="64"/>
      </right>
      <top style="thin">
        <color rgb="FFC00000"/>
      </top>
      <bottom style="thin">
        <color rgb="FFC00000"/>
      </bottom>
      <diagonal/>
    </border>
    <border>
      <left style="thick">
        <color rgb="FFC00000"/>
      </left>
      <right style="thick">
        <color rgb="FFC00000"/>
      </right>
      <top style="thin">
        <color rgb="FFC00000"/>
      </top>
      <bottom style="double">
        <color indexed="64"/>
      </bottom>
      <diagonal/>
    </border>
    <border>
      <left style="thick">
        <color rgb="FFC00000"/>
      </left>
      <right style="double">
        <color indexed="64"/>
      </right>
      <top style="thin">
        <color rgb="FFC00000"/>
      </top>
      <bottom style="double">
        <color indexed="64"/>
      </bottom>
      <diagonal/>
    </border>
    <border>
      <left style="thick">
        <color theme="0" tint="-0.34998626667073579"/>
      </left>
      <right style="double">
        <color auto="1"/>
      </right>
      <top style="double">
        <color auto="1"/>
      </top>
      <bottom style="thick">
        <color theme="0" tint="-0.34998626667073579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theme="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ck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double">
        <color indexed="64"/>
      </right>
      <top style="thin">
        <color theme="4" tint="-0.24994659260841701"/>
      </top>
      <bottom style="thin">
        <color theme="4" tint="-0.24994659260841701"/>
      </bottom>
      <diagonal/>
    </border>
    <border>
      <left style="double">
        <color indexed="64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double">
        <color indexed="64"/>
      </left>
      <right/>
      <top style="thin">
        <color theme="4" tint="-0.24994659260841701"/>
      </top>
      <bottom style="double">
        <color auto="1"/>
      </bottom>
      <diagonal/>
    </border>
    <border>
      <left/>
      <right/>
      <top style="thin">
        <color theme="4" tint="-0.24994659260841701"/>
      </top>
      <bottom style="double">
        <color auto="1"/>
      </bottom>
      <diagonal/>
    </border>
    <border>
      <left/>
      <right style="thick">
        <color theme="4" tint="-0.24994659260841701"/>
      </right>
      <top style="thin">
        <color theme="4" tint="-0.24994659260841701"/>
      </top>
      <bottom style="double">
        <color auto="1"/>
      </bottom>
      <diagonal/>
    </border>
    <border>
      <left style="double">
        <color rgb="FFC00000"/>
      </left>
      <right/>
      <top style="double">
        <color auto="1"/>
      </top>
      <bottom style="thin">
        <color rgb="FFC00000"/>
      </bottom>
      <diagonal/>
    </border>
    <border>
      <left/>
      <right/>
      <top style="double">
        <color auto="1"/>
      </top>
      <bottom style="thin">
        <color rgb="FFC00000"/>
      </bottom>
      <diagonal/>
    </border>
    <border>
      <left/>
      <right style="thick">
        <color rgb="FFC00000"/>
      </right>
      <top style="double">
        <color auto="1"/>
      </top>
      <bottom style="thin">
        <color rgb="FFC00000"/>
      </bottom>
      <diagonal/>
    </border>
    <border>
      <left style="double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ck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double">
        <color indexed="64"/>
      </right>
      <top style="thin">
        <color rgb="FFC00000"/>
      </top>
      <bottom style="thin">
        <color rgb="FFC00000"/>
      </bottom>
      <diagonal/>
    </border>
    <border>
      <left style="double">
        <color rgb="FFC00000"/>
      </left>
      <right/>
      <top style="thin">
        <color rgb="FFC00000"/>
      </top>
      <bottom style="double">
        <color indexed="64"/>
      </bottom>
      <diagonal/>
    </border>
    <border>
      <left/>
      <right/>
      <top style="thin">
        <color rgb="FFC00000"/>
      </top>
      <bottom style="double">
        <color indexed="64"/>
      </bottom>
      <diagonal/>
    </border>
    <border>
      <left/>
      <right style="thick">
        <color rgb="FFC00000"/>
      </right>
      <top style="thin">
        <color rgb="FFC00000"/>
      </top>
      <bottom style="double">
        <color indexed="64"/>
      </bottom>
      <diagonal/>
    </border>
  </borders>
  <cellStyleXfs count="3">
    <xf numFmtId="0" fontId="0" fillId="0" borderId="0"/>
    <xf numFmtId="9" fontId="16" fillId="0" borderId="0" applyFont="0" applyFill="0" applyBorder="0" applyAlignment="0" applyProtection="0"/>
    <xf numFmtId="0" fontId="76" fillId="0" borderId="0" applyNumberFormat="0" applyFill="0" applyBorder="0" applyAlignment="0" applyProtection="0"/>
  </cellStyleXfs>
  <cellXfs count="574">
    <xf numFmtId="0" fontId="0" fillId="0" borderId="0" xfId="0" applyAlignment="1">
      <alignment horizontal="left" vertical="top"/>
    </xf>
    <xf numFmtId="0" fontId="15" fillId="0" borderId="0" xfId="0" applyFont="1" applyAlignment="1">
      <alignment vertical="center"/>
    </xf>
    <xf numFmtId="0" fontId="0" fillId="0" borderId="0" xfId="0" applyAlignment="1" applyProtection="1">
      <alignment horizontal="left" vertical="top"/>
      <protection locked="0"/>
    </xf>
    <xf numFmtId="0" fontId="15" fillId="0" borderId="0" xfId="0" applyFont="1" applyAlignment="1" applyProtection="1">
      <alignment vertical="center"/>
      <protection locked="0"/>
    </xf>
    <xf numFmtId="2" fontId="0" fillId="0" borderId="0" xfId="0" applyNumberFormat="1" applyAlignment="1">
      <alignment horizontal="left" vertical="top"/>
    </xf>
    <xf numFmtId="0" fontId="27" fillId="0" borderId="0" xfId="0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36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2" borderId="5" xfId="0" applyFont="1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 applyProtection="1">
      <alignment vertical="center" wrapText="1"/>
      <protection hidden="1"/>
    </xf>
    <xf numFmtId="0" fontId="45" fillId="0" borderId="0" xfId="0" applyFont="1" applyAlignment="1" applyProtection="1">
      <alignment vertical="center"/>
      <protection hidden="1"/>
    </xf>
    <xf numFmtId="0" fontId="46" fillId="0" borderId="0" xfId="0" applyFont="1" applyAlignment="1" applyProtection="1">
      <alignment vertical="center"/>
      <protection hidden="1"/>
    </xf>
    <xf numFmtId="0" fontId="47" fillId="0" borderId="0" xfId="0" applyFont="1" applyAlignment="1">
      <alignment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54" fillId="0" borderId="22" xfId="0" applyFont="1" applyBorder="1" applyAlignment="1" applyProtection="1">
      <alignment horizontal="center" vertical="center"/>
      <protection hidden="1"/>
    </xf>
    <xf numFmtId="0" fontId="38" fillId="0" borderId="34" xfId="0" applyFont="1" applyBorder="1" applyAlignment="1" applyProtection="1">
      <alignment horizontal="center" vertical="center" textRotation="255" wrapText="1"/>
      <protection hidden="1"/>
    </xf>
    <xf numFmtId="164" fontId="4" fillId="0" borderId="35" xfId="0" applyNumberFormat="1" applyFont="1" applyBorder="1" applyAlignment="1" applyProtection="1">
      <alignment horizontal="center" vertical="center" wrapText="1"/>
      <protection hidden="1"/>
    </xf>
    <xf numFmtId="164" fontId="4" fillId="0" borderId="36" xfId="0" applyNumberFormat="1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 wrapText="1"/>
      <protection hidden="1"/>
    </xf>
    <xf numFmtId="0" fontId="4" fillId="0" borderId="35" xfId="0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center" vertical="center"/>
      <protection hidden="1"/>
    </xf>
    <xf numFmtId="0" fontId="4" fillId="0" borderId="21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38" xfId="0" applyFont="1" applyBorder="1" applyAlignment="1" applyProtection="1">
      <alignment horizontal="center" vertical="center"/>
      <protection hidden="1"/>
    </xf>
    <xf numFmtId="0" fontId="57" fillId="0" borderId="5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9" fontId="59" fillId="2" borderId="5" xfId="0" applyNumberFormat="1" applyFont="1" applyFill="1" applyBorder="1" applyAlignment="1" applyProtection="1">
      <alignment vertical="center" wrapText="1"/>
      <protection hidden="1"/>
    </xf>
    <xf numFmtId="0" fontId="58" fillId="0" borderId="13" xfId="0" applyFont="1" applyBorder="1" applyAlignment="1">
      <alignment horizontal="center" vertical="center"/>
    </xf>
    <xf numFmtId="9" fontId="60" fillId="2" borderId="5" xfId="0" applyNumberFormat="1" applyFont="1" applyFill="1" applyBorder="1" applyAlignment="1" applyProtection="1">
      <alignment vertical="center" wrapText="1"/>
      <protection hidden="1"/>
    </xf>
    <xf numFmtId="0" fontId="62" fillId="0" borderId="5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66" fillId="0" borderId="5" xfId="0" applyFont="1" applyBorder="1" applyAlignment="1">
      <alignment horizontal="center" vertical="center"/>
    </xf>
    <xf numFmtId="0" fontId="70" fillId="0" borderId="5" xfId="0" applyFont="1" applyBorder="1" applyAlignment="1">
      <alignment horizontal="center" vertical="center"/>
    </xf>
    <xf numFmtId="0" fontId="78" fillId="0" borderId="0" xfId="0" applyFont="1" applyAlignment="1" applyProtection="1">
      <alignment vertical="center"/>
      <protection hidden="1"/>
    </xf>
    <xf numFmtId="0" fontId="77" fillId="0" borderId="0" xfId="0" applyFont="1" applyAlignment="1" applyProtection="1">
      <alignment vertical="center"/>
      <protection hidden="1"/>
    </xf>
    <xf numFmtId="0" fontId="77" fillId="0" borderId="0" xfId="0" applyFont="1" applyProtection="1">
      <protection hidden="1"/>
    </xf>
    <xf numFmtId="0" fontId="94" fillId="0" borderId="0" xfId="0" applyFont="1" applyAlignment="1" applyProtection="1">
      <alignment vertical="center"/>
      <protection hidden="1"/>
    </xf>
    <xf numFmtId="0" fontId="90" fillId="0" borderId="0" xfId="0" applyFont="1" applyProtection="1">
      <protection hidden="1"/>
    </xf>
    <xf numFmtId="0" fontId="96" fillId="2" borderId="0" xfId="0" applyFont="1" applyFill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vertical="top" wrapText="1"/>
      <protection hidden="1"/>
    </xf>
    <xf numFmtId="0" fontId="91" fillId="0" borderId="0" xfId="0" applyFont="1" applyAlignment="1" applyProtection="1">
      <alignment vertical="center"/>
      <protection hidden="1"/>
    </xf>
    <xf numFmtId="166" fontId="95" fillId="0" borderId="0" xfId="0" applyNumberFormat="1" applyFont="1" applyAlignment="1" applyProtection="1">
      <alignment horizontal="center" vertical="center"/>
      <protection hidden="1"/>
    </xf>
    <xf numFmtId="0" fontId="91" fillId="0" borderId="0" xfId="0" applyFont="1" applyProtection="1">
      <protection hidden="1"/>
    </xf>
    <xf numFmtId="0" fontId="93" fillId="0" borderId="0" xfId="0" applyFont="1" applyProtection="1">
      <protection hidden="1"/>
    </xf>
    <xf numFmtId="0" fontId="94" fillId="0" borderId="0" xfId="0" applyFont="1" applyProtection="1">
      <protection hidden="1"/>
    </xf>
    <xf numFmtId="166" fontId="97" fillId="0" borderId="0" xfId="0" applyNumberFormat="1" applyFont="1" applyAlignment="1" applyProtection="1">
      <alignment horizontal="center" vertical="center"/>
      <protection hidden="1"/>
    </xf>
    <xf numFmtId="0" fontId="77" fillId="0" borderId="0" xfId="0" applyFont="1" applyProtection="1">
      <protection locked="0" hidden="1"/>
    </xf>
    <xf numFmtId="0" fontId="81" fillId="0" borderId="0" xfId="0" applyFont="1" applyAlignment="1" applyProtection="1">
      <alignment vertical="center"/>
      <protection locked="0" hidden="1"/>
    </xf>
    <xf numFmtId="0" fontId="82" fillId="0" borderId="0" xfId="0" applyFont="1" applyAlignment="1" applyProtection="1">
      <alignment vertical="center"/>
      <protection locked="0" hidden="1"/>
    </xf>
    <xf numFmtId="0" fontId="83" fillId="0" borderId="0" xfId="2" applyFont="1" applyAlignment="1" applyProtection="1">
      <alignment vertical="center"/>
      <protection locked="0" hidden="1"/>
    </xf>
    <xf numFmtId="0" fontId="84" fillId="0" borderId="0" xfId="2" applyFont="1" applyAlignment="1" applyProtection="1">
      <alignment vertical="center"/>
      <protection locked="0" hidden="1"/>
    </xf>
    <xf numFmtId="0" fontId="87" fillId="0" borderId="0" xfId="0" applyFont="1" applyAlignment="1" applyProtection="1">
      <alignment vertical="center"/>
      <protection locked="0" hidden="1"/>
    </xf>
    <xf numFmtId="0" fontId="88" fillId="0" borderId="0" xfId="0" applyFont="1" applyProtection="1">
      <protection locked="0" hidden="1"/>
    </xf>
    <xf numFmtId="0" fontId="100" fillId="0" borderId="0" xfId="0" applyFont="1" applyAlignment="1">
      <alignment horizontal="left" vertical="top"/>
    </xf>
    <xf numFmtId="0" fontId="101" fillId="0" borderId="0" xfId="0" applyFont="1" applyAlignment="1">
      <alignment horizontal="left" vertical="top"/>
    </xf>
    <xf numFmtId="0" fontId="101" fillId="0" borderId="0" xfId="0" applyFont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20" fontId="101" fillId="0" borderId="5" xfId="0" applyNumberFormat="1" applyFont="1" applyBorder="1" applyAlignment="1">
      <alignment horizontal="center" vertical="center"/>
    </xf>
    <xf numFmtId="0" fontId="89" fillId="0" borderId="0" xfId="0" applyFont="1" applyAlignment="1" applyProtection="1">
      <alignment textRotation="90"/>
      <protection hidden="1"/>
    </xf>
    <xf numFmtId="0" fontId="77" fillId="0" borderId="0" xfId="0" applyFont="1" applyProtection="1">
      <protection locked="0"/>
    </xf>
    <xf numFmtId="0" fontId="91" fillId="0" borderId="0" xfId="0" applyFont="1" applyAlignment="1" applyProtection="1">
      <alignment vertical="center"/>
      <protection locked="0"/>
    </xf>
    <xf numFmtId="14" fontId="91" fillId="0" borderId="0" xfId="0" applyNumberFormat="1" applyFont="1" applyProtection="1">
      <protection hidden="1"/>
    </xf>
    <xf numFmtId="0" fontId="98" fillId="0" borderId="0" xfId="0" applyFont="1" applyAlignment="1" applyProtection="1">
      <alignment vertical="center"/>
      <protection hidden="1"/>
    </xf>
    <xf numFmtId="0" fontId="105" fillId="0" borderId="0" xfId="0" applyFont="1" applyAlignment="1" applyProtection="1">
      <alignment vertical="center"/>
      <protection locked="0"/>
    </xf>
    <xf numFmtId="14" fontId="91" fillId="0" borderId="0" xfId="0" applyNumberFormat="1" applyFont="1" applyAlignment="1" applyProtection="1">
      <alignment vertical="center" wrapText="1"/>
      <protection locked="0"/>
    </xf>
    <xf numFmtId="0" fontId="91" fillId="0" borderId="0" xfId="0" applyFont="1" applyAlignment="1" applyProtection="1">
      <alignment vertical="center" wrapText="1"/>
      <protection locked="0"/>
    </xf>
    <xf numFmtId="0" fontId="111" fillId="11" borderId="0" xfId="0" applyFont="1" applyFill="1" applyAlignment="1" applyProtection="1">
      <alignment horizontal="right" vertical="center"/>
      <protection locked="0" hidden="1"/>
    </xf>
    <xf numFmtId="0" fontId="77" fillId="11" borderId="0" xfId="0" applyFont="1" applyFill="1" applyProtection="1">
      <protection locked="0" hidden="1"/>
    </xf>
    <xf numFmtId="0" fontId="112" fillId="11" borderId="0" xfId="0" applyFont="1" applyFill="1" applyAlignment="1" applyProtection="1">
      <alignment horizontal="right" vertical="center"/>
      <protection locked="0" hidden="1"/>
    </xf>
    <xf numFmtId="0" fontId="77" fillId="10" borderId="0" xfId="0" applyFont="1" applyFill="1" applyProtection="1">
      <protection locked="0" hidden="1"/>
    </xf>
    <xf numFmtId="0" fontId="79" fillId="11" borderId="0" xfId="0" applyFont="1" applyFill="1" applyAlignment="1" applyProtection="1">
      <alignment vertical="center"/>
      <protection locked="0" hidden="1"/>
    </xf>
    <xf numFmtId="0" fontId="79" fillId="10" borderId="0" xfId="0" applyFont="1" applyFill="1" applyAlignment="1" applyProtection="1">
      <alignment vertical="center"/>
      <protection locked="0" hidden="1"/>
    </xf>
    <xf numFmtId="0" fontId="79" fillId="10" borderId="0" xfId="0" applyFont="1" applyFill="1" applyAlignment="1" applyProtection="1">
      <alignment horizontal="right" vertical="center"/>
      <protection locked="0" hidden="1"/>
    </xf>
    <xf numFmtId="0" fontId="113" fillId="11" borderId="0" xfId="0" applyFont="1" applyFill="1" applyAlignment="1" applyProtection="1">
      <alignment vertical="center" wrapText="1"/>
      <protection locked="0" hidden="1"/>
    </xf>
    <xf numFmtId="0" fontId="114" fillId="11" borderId="0" xfId="0" applyFont="1" applyFill="1" applyAlignment="1" applyProtection="1">
      <alignment wrapText="1"/>
      <protection locked="0" hidden="1"/>
    </xf>
    <xf numFmtId="0" fontId="79" fillId="11" borderId="0" xfId="0" applyFont="1" applyFill="1" applyAlignment="1" applyProtection="1">
      <alignment vertical="center"/>
      <protection locked="0"/>
    </xf>
    <xf numFmtId="0" fontId="80" fillId="11" borderId="0" xfId="0" applyFont="1" applyFill="1" applyAlignment="1" applyProtection="1">
      <alignment vertical="center"/>
      <protection locked="0" hidden="1"/>
    </xf>
    <xf numFmtId="0" fontId="115" fillId="11" borderId="0" xfId="0" applyFont="1" applyFill="1" applyAlignment="1" applyProtection="1">
      <alignment vertical="center" wrapText="1"/>
      <protection locked="0"/>
    </xf>
    <xf numFmtId="0" fontId="115" fillId="10" borderId="0" xfId="0" applyFont="1" applyFill="1" applyAlignment="1" applyProtection="1">
      <alignment vertical="center" wrapText="1"/>
      <protection locked="0"/>
    </xf>
    <xf numFmtId="0" fontId="85" fillId="10" borderId="0" xfId="0" applyFont="1" applyFill="1" applyAlignment="1" applyProtection="1">
      <alignment vertical="center"/>
      <protection hidden="1"/>
    </xf>
    <xf numFmtId="0" fontId="85" fillId="10" borderId="0" xfId="0" applyFont="1" applyFill="1" applyAlignment="1" applyProtection="1">
      <alignment vertical="center"/>
      <protection locked="0" hidden="1"/>
    </xf>
    <xf numFmtId="0" fontId="86" fillId="11" borderId="0" xfId="0" applyFont="1" applyFill="1" applyAlignment="1" applyProtection="1">
      <alignment vertical="center"/>
      <protection locked="0"/>
    </xf>
    <xf numFmtId="0" fontId="86" fillId="10" borderId="0" xfId="0" applyFont="1" applyFill="1" applyAlignment="1" applyProtection="1">
      <alignment vertical="center"/>
      <protection locked="0"/>
    </xf>
    <xf numFmtId="0" fontId="86" fillId="10" borderId="0" xfId="0" applyFont="1" applyFill="1" applyAlignment="1" applyProtection="1">
      <alignment vertical="center"/>
      <protection locked="0" hidden="1"/>
    </xf>
    <xf numFmtId="0" fontId="99" fillId="10" borderId="0" xfId="0" applyFont="1" applyFill="1" applyAlignment="1" applyProtection="1">
      <alignment vertical="center"/>
      <protection locked="0"/>
    </xf>
    <xf numFmtId="0" fontId="107" fillId="10" borderId="0" xfId="0" applyFont="1" applyFill="1" applyAlignment="1" applyProtection="1">
      <alignment vertical="center"/>
      <protection locked="0"/>
    </xf>
    <xf numFmtId="0" fontId="77" fillId="10" borderId="0" xfId="0" applyFont="1" applyFill="1" applyAlignment="1" applyProtection="1">
      <alignment vertical="center"/>
      <protection locked="0" hidden="1"/>
    </xf>
    <xf numFmtId="0" fontId="105" fillId="0" borderId="0" xfId="0" applyFont="1" applyAlignment="1" applyProtection="1">
      <alignment vertical="center"/>
      <protection hidden="1"/>
    </xf>
    <xf numFmtId="0" fontId="105" fillId="0" borderId="0" xfId="0" applyFont="1" applyAlignment="1" applyProtection="1">
      <alignment horizontal="center" vertical="center"/>
      <protection hidden="1"/>
    </xf>
    <xf numFmtId="14" fontId="98" fillId="0" borderId="0" xfId="0" applyNumberFormat="1" applyFont="1" applyAlignment="1" applyProtection="1">
      <alignment vertical="center" wrapText="1"/>
      <protection locked="0"/>
    </xf>
    <xf numFmtId="0" fontId="105" fillId="8" borderId="75" xfId="0" applyFont="1" applyFill="1" applyBorder="1" applyAlignment="1" applyProtection="1">
      <alignment horizontal="center" vertical="center" wrapText="1"/>
      <protection hidden="1"/>
    </xf>
    <xf numFmtId="14" fontId="112" fillId="0" borderId="75" xfId="0" applyNumberFormat="1" applyFont="1" applyBorder="1" applyAlignment="1" applyProtection="1">
      <alignment horizontal="center" vertical="center" wrapText="1"/>
      <protection locked="0"/>
    </xf>
    <xf numFmtId="0" fontId="91" fillId="0" borderId="75" xfId="0" applyFont="1" applyBorder="1" applyAlignment="1" applyProtection="1">
      <alignment vertical="center"/>
      <protection hidden="1"/>
    </xf>
    <xf numFmtId="0" fontId="109" fillId="0" borderId="0" xfId="0" applyFont="1" applyAlignment="1" applyProtection="1">
      <alignment vertical="center"/>
      <protection locked="0"/>
    </xf>
    <xf numFmtId="14" fontId="120" fillId="0" borderId="75" xfId="0" applyNumberFormat="1" applyFont="1" applyBorder="1" applyAlignment="1" applyProtection="1">
      <alignment horizontal="left" vertical="center" wrapText="1"/>
      <protection locked="0"/>
    </xf>
    <xf numFmtId="14" fontId="112" fillId="0" borderId="75" xfId="0" applyNumberFormat="1" applyFont="1" applyBorder="1" applyAlignment="1" applyProtection="1">
      <alignment horizontal="center" vertical="center"/>
      <protection locked="0"/>
    </xf>
    <xf numFmtId="14" fontId="90" fillId="0" borderId="0" xfId="0" applyNumberFormat="1" applyFont="1" applyAlignment="1" applyProtection="1">
      <alignment vertical="center"/>
      <protection locked="0"/>
    </xf>
    <xf numFmtId="0" fontId="91" fillId="0" borderId="74" xfId="0" applyFont="1" applyBorder="1" applyProtection="1">
      <protection hidden="1"/>
    </xf>
    <xf numFmtId="14" fontId="120" fillId="0" borderId="75" xfId="0" applyNumberFormat="1" applyFont="1" applyBorder="1" applyAlignment="1" applyProtection="1">
      <alignment vertical="center"/>
      <protection locked="0"/>
    </xf>
    <xf numFmtId="0" fontId="91" fillId="0" borderId="80" xfId="0" applyFont="1" applyBorder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horizontal="center" vertical="center" wrapText="1"/>
      <protection hidden="1"/>
    </xf>
    <xf numFmtId="0" fontId="122" fillId="0" borderId="0" xfId="0" applyFont="1" applyAlignment="1" applyProtection="1">
      <alignment horizontal="left" vertical="center" wrapText="1"/>
      <protection hidden="1"/>
    </xf>
    <xf numFmtId="0" fontId="109" fillId="0" borderId="0" xfId="0" applyFont="1" applyAlignment="1" applyProtection="1">
      <alignment horizontal="center" vertical="center"/>
      <protection hidden="1"/>
    </xf>
    <xf numFmtId="14" fontId="91" fillId="0" borderId="0" xfId="0" applyNumberFormat="1" applyFont="1" applyAlignment="1" applyProtection="1">
      <alignment horizontal="center" vertical="center" wrapText="1"/>
      <protection hidden="1"/>
    </xf>
    <xf numFmtId="0" fontId="91" fillId="0" borderId="0" xfId="0" applyFont="1" applyAlignment="1" applyProtection="1">
      <alignment horizontal="center" vertical="center"/>
      <protection hidden="1"/>
    </xf>
    <xf numFmtId="14" fontId="122" fillId="0" borderId="0" xfId="0" applyNumberFormat="1" applyFont="1" applyAlignment="1" applyProtection="1">
      <alignment vertical="center"/>
      <protection hidden="1"/>
    </xf>
    <xf numFmtId="0" fontId="96" fillId="2" borderId="95" xfId="0" applyFont="1" applyFill="1" applyBorder="1" applyAlignment="1" applyProtection="1">
      <alignment horizontal="center" vertical="center"/>
      <protection hidden="1"/>
    </xf>
    <xf numFmtId="0" fontId="96" fillId="2" borderId="96" xfId="0" applyFont="1" applyFill="1" applyBorder="1" applyAlignment="1" applyProtection="1">
      <alignment horizontal="center" vertical="center"/>
      <protection hidden="1"/>
    </xf>
    <xf numFmtId="0" fontId="96" fillId="2" borderId="97" xfId="0" applyFont="1" applyFill="1" applyBorder="1" applyAlignment="1" applyProtection="1">
      <alignment horizontal="center" vertical="center"/>
      <protection hidden="1"/>
    </xf>
    <xf numFmtId="0" fontId="95" fillId="2" borderId="95" xfId="0" applyFont="1" applyFill="1" applyBorder="1" applyProtection="1">
      <protection hidden="1"/>
    </xf>
    <xf numFmtId="0" fontId="95" fillId="0" borderId="96" xfId="0" applyFont="1" applyBorder="1" applyAlignment="1" applyProtection="1">
      <alignment horizontal="center" vertical="center"/>
      <protection hidden="1"/>
    </xf>
    <xf numFmtId="0" fontId="95" fillId="2" borderId="97" xfId="0" applyFont="1" applyFill="1" applyBorder="1" applyAlignment="1" applyProtection="1">
      <alignment horizontal="center" vertical="center"/>
      <protection hidden="1"/>
    </xf>
    <xf numFmtId="0" fontId="95" fillId="2" borderId="96" xfId="0" applyFont="1" applyFill="1" applyBorder="1" applyAlignment="1" applyProtection="1">
      <alignment horizontal="center" vertical="center"/>
      <protection hidden="1"/>
    </xf>
    <xf numFmtId="0" fontId="105" fillId="4" borderId="97" xfId="0" applyFont="1" applyFill="1" applyBorder="1" applyAlignment="1" applyProtection="1">
      <alignment horizontal="center" vertical="center"/>
      <protection hidden="1"/>
    </xf>
    <xf numFmtId="0" fontId="95" fillId="2" borderId="95" xfId="0" applyFont="1" applyFill="1" applyBorder="1" applyAlignment="1" applyProtection="1">
      <alignment horizontal="center"/>
      <protection hidden="1"/>
    </xf>
    <xf numFmtId="166" fontId="95" fillId="0" borderId="96" xfId="0" applyNumberFormat="1" applyFont="1" applyBorder="1" applyAlignment="1" applyProtection="1">
      <alignment horizontal="center"/>
      <protection hidden="1"/>
    </xf>
    <xf numFmtId="166" fontId="95" fillId="2" borderId="97" xfId="0" applyNumberFormat="1" applyFont="1" applyFill="1" applyBorder="1" applyAlignment="1" applyProtection="1">
      <alignment horizontal="center"/>
      <protection hidden="1"/>
    </xf>
    <xf numFmtId="0" fontId="126" fillId="9" borderId="82" xfId="0" applyFont="1" applyFill="1" applyBorder="1" applyAlignment="1" applyProtection="1">
      <alignment horizontal="left" wrapText="1"/>
      <protection locked="0" hidden="1"/>
    </xf>
    <xf numFmtId="0" fontId="95" fillId="2" borderId="95" xfId="0" applyFont="1" applyFill="1" applyBorder="1" applyAlignment="1" applyProtection="1">
      <alignment vertical="center"/>
      <protection hidden="1"/>
    </xf>
    <xf numFmtId="166" fontId="95" fillId="2" borderId="96" xfId="0" applyNumberFormat="1" applyFont="1" applyFill="1" applyBorder="1" applyAlignment="1" applyProtection="1">
      <alignment vertical="center"/>
      <protection hidden="1"/>
    </xf>
    <xf numFmtId="0" fontId="91" fillId="0" borderId="80" xfId="0" applyFont="1" applyBorder="1" applyProtection="1">
      <protection locked="0"/>
    </xf>
    <xf numFmtId="0" fontId="91" fillId="9" borderId="80" xfId="0" applyFont="1" applyFill="1" applyBorder="1" applyProtection="1">
      <protection locked="0"/>
    </xf>
    <xf numFmtId="0" fontId="108" fillId="13" borderId="75" xfId="0" applyFont="1" applyFill="1" applyBorder="1" applyAlignment="1" applyProtection="1">
      <alignment vertical="center"/>
      <protection hidden="1"/>
    </xf>
    <xf numFmtId="0" fontId="90" fillId="0" borderId="74" xfId="0" applyFont="1" applyBorder="1" applyProtection="1">
      <protection hidden="1"/>
    </xf>
    <xf numFmtId="0" fontId="90" fillId="0" borderId="75" xfId="0" applyFont="1" applyBorder="1" applyProtection="1">
      <protection hidden="1"/>
    </xf>
    <xf numFmtId="0" fontId="91" fillId="0" borderId="74" xfId="0" applyFont="1" applyBorder="1" applyProtection="1">
      <protection locked="0"/>
    </xf>
    <xf numFmtId="0" fontId="110" fillId="0" borderId="0" xfId="0" applyFont="1" applyAlignment="1" applyProtection="1">
      <alignment vertical="center"/>
      <protection locked="0"/>
    </xf>
    <xf numFmtId="0" fontId="92" fillId="9" borderId="0" xfId="0" applyFont="1" applyFill="1" applyAlignment="1" applyProtection="1">
      <alignment vertical="center"/>
      <protection locked="0"/>
    </xf>
    <xf numFmtId="0" fontId="91" fillId="0" borderId="75" xfId="0" applyFont="1" applyBorder="1" applyProtection="1">
      <protection hidden="1"/>
    </xf>
    <xf numFmtId="0" fontId="91" fillId="0" borderId="79" xfId="0" applyFont="1" applyBorder="1" applyProtection="1">
      <protection locked="0"/>
    </xf>
    <xf numFmtId="0" fontId="91" fillId="9" borderId="81" xfId="0" applyFont="1" applyFill="1" applyBorder="1" applyProtection="1">
      <protection locked="0"/>
    </xf>
    <xf numFmtId="166" fontId="112" fillId="0" borderId="0" xfId="0" applyNumberFormat="1" applyFont="1" applyAlignment="1" applyProtection="1">
      <alignment horizontal="center" vertical="center"/>
      <protection hidden="1"/>
    </xf>
    <xf numFmtId="166" fontId="128" fillId="0" borderId="0" xfId="0" applyNumberFormat="1" applyFont="1" applyAlignment="1" applyProtection="1">
      <alignment horizontal="center" vertical="center"/>
      <protection hidden="1"/>
    </xf>
    <xf numFmtId="0" fontId="129" fillId="4" borderId="109" xfId="0" applyFont="1" applyFill="1" applyBorder="1" applyAlignment="1" applyProtection="1">
      <alignment vertical="center" wrapText="1"/>
      <protection hidden="1"/>
    </xf>
    <xf numFmtId="0" fontId="120" fillId="0" borderId="0" xfId="0" applyFont="1" applyAlignment="1" applyProtection="1">
      <alignment vertical="center" wrapText="1"/>
      <protection hidden="1"/>
    </xf>
    <xf numFmtId="17" fontId="95" fillId="0" borderId="74" xfId="0" applyNumberFormat="1" applyFont="1" applyBorder="1" applyAlignment="1" applyProtection="1">
      <alignment horizontal="center" vertical="center"/>
      <protection hidden="1"/>
    </xf>
    <xf numFmtId="0" fontId="108" fillId="0" borderId="0" xfId="0" applyFont="1" applyAlignment="1" applyProtection="1">
      <alignment vertical="center"/>
      <protection hidden="1"/>
    </xf>
    <xf numFmtId="166" fontId="95" fillId="2" borderId="96" xfId="0" applyNumberFormat="1" applyFont="1" applyFill="1" applyBorder="1" applyAlignment="1" applyProtection="1">
      <alignment horizontal="center" vertical="center"/>
      <protection hidden="1"/>
    </xf>
    <xf numFmtId="14" fontId="121" fillId="2" borderId="74" xfId="0" applyNumberFormat="1" applyFont="1" applyFill="1" applyBorder="1" applyAlignment="1" applyProtection="1">
      <alignment vertical="center" wrapText="1"/>
      <protection hidden="1"/>
    </xf>
    <xf numFmtId="14" fontId="121" fillId="2" borderId="0" xfId="0" applyNumberFormat="1" applyFont="1" applyFill="1" applyAlignment="1" applyProtection="1">
      <alignment vertical="center" wrapText="1"/>
      <protection hidden="1"/>
    </xf>
    <xf numFmtId="0" fontId="77" fillId="0" borderId="75" xfId="0" applyFont="1" applyBorder="1" applyProtection="1">
      <protection hidden="1"/>
    </xf>
    <xf numFmtId="0" fontId="91" fillId="9" borderId="80" xfId="0" applyFont="1" applyFill="1" applyBorder="1" applyAlignment="1" applyProtection="1">
      <alignment vertical="center"/>
      <protection locked="0"/>
    </xf>
    <xf numFmtId="0" fontId="92" fillId="9" borderId="80" xfId="0" applyFont="1" applyFill="1" applyBorder="1" applyAlignment="1" applyProtection="1">
      <alignment vertical="center"/>
      <protection locked="0"/>
    </xf>
    <xf numFmtId="0" fontId="91" fillId="0" borderId="80" xfId="0" applyFont="1" applyBorder="1" applyProtection="1">
      <protection hidden="1"/>
    </xf>
    <xf numFmtId="0" fontId="91" fillId="0" borderId="81" xfId="0" applyFont="1" applyBorder="1" applyProtection="1">
      <protection hidden="1"/>
    </xf>
    <xf numFmtId="14" fontId="121" fillId="2" borderId="79" xfId="0" applyNumberFormat="1" applyFont="1" applyFill="1" applyBorder="1" applyAlignment="1" applyProtection="1">
      <alignment vertical="center" wrapText="1"/>
      <protection hidden="1"/>
    </xf>
    <xf numFmtId="14" fontId="121" fillId="2" borderId="80" xfId="0" applyNumberFormat="1" applyFont="1" applyFill="1" applyBorder="1" applyAlignment="1" applyProtection="1">
      <alignment vertical="center" wrapText="1"/>
      <protection hidden="1"/>
    </xf>
    <xf numFmtId="0" fontId="91" fillId="0" borderId="80" xfId="0" applyFont="1" applyBorder="1" applyAlignment="1" applyProtection="1">
      <alignment vertical="center"/>
      <protection locked="0"/>
    </xf>
    <xf numFmtId="0" fontId="127" fillId="0" borderId="80" xfId="0" applyFont="1" applyBorder="1" applyAlignment="1" applyProtection="1">
      <alignment vertical="center"/>
      <protection hidden="1"/>
    </xf>
    <xf numFmtId="0" fontId="121" fillId="0" borderId="99" xfId="0" applyFont="1" applyBorder="1" applyAlignment="1" applyProtection="1">
      <alignment vertical="center"/>
      <protection hidden="1"/>
    </xf>
    <xf numFmtId="0" fontId="121" fillId="0" borderId="100" xfId="0" applyFont="1" applyBorder="1" applyAlignment="1" applyProtection="1">
      <alignment vertical="center"/>
      <protection hidden="1"/>
    </xf>
    <xf numFmtId="0" fontId="122" fillId="12" borderId="105" xfId="0" applyFont="1" applyFill="1" applyBorder="1" applyAlignment="1" applyProtection="1">
      <alignment vertical="center"/>
      <protection locked="0"/>
    </xf>
    <xf numFmtId="0" fontId="122" fillId="12" borderId="106" xfId="0" applyFont="1" applyFill="1" applyBorder="1" applyAlignment="1" applyProtection="1">
      <alignment vertical="center"/>
      <protection locked="0"/>
    </xf>
    <xf numFmtId="0" fontId="121" fillId="0" borderId="101" xfId="0" applyFont="1" applyBorder="1" applyAlignment="1" applyProtection="1">
      <alignment vertical="center"/>
      <protection hidden="1"/>
    </xf>
    <xf numFmtId="0" fontId="121" fillId="0" borderId="102" xfId="0" applyFont="1" applyBorder="1" applyAlignment="1" applyProtection="1">
      <alignment vertical="center"/>
      <protection hidden="1"/>
    </xf>
    <xf numFmtId="167" fontId="122" fillId="12" borderId="103" xfId="0" applyNumberFormat="1" applyFont="1" applyFill="1" applyBorder="1" applyAlignment="1" applyProtection="1">
      <alignment vertical="center"/>
      <protection locked="0"/>
    </xf>
    <xf numFmtId="167" fontId="122" fillId="12" borderId="104" xfId="0" applyNumberFormat="1" applyFont="1" applyFill="1" applyBorder="1" applyAlignment="1" applyProtection="1">
      <alignment vertical="center"/>
      <protection locked="0"/>
    </xf>
    <xf numFmtId="14" fontId="122" fillId="0" borderId="82" xfId="0" applyNumberFormat="1" applyFont="1" applyBorder="1" applyAlignment="1" applyProtection="1">
      <alignment vertical="center" wrapText="1"/>
      <protection locked="0"/>
    </xf>
    <xf numFmtId="14" fontId="122" fillId="0" borderId="75" xfId="0" applyNumberFormat="1" applyFont="1" applyBorder="1" applyProtection="1">
      <protection locked="0"/>
    </xf>
    <xf numFmtId="14" fontId="119" fillId="0" borderId="75" xfId="0" applyNumberFormat="1" applyFont="1" applyBorder="1" applyProtection="1">
      <protection locked="0"/>
    </xf>
    <xf numFmtId="14" fontId="119" fillId="0" borderId="75" xfId="0" applyNumberFormat="1" applyFont="1" applyBorder="1" applyAlignment="1" applyProtection="1">
      <alignment horizontal="center" vertical="center"/>
      <protection locked="0"/>
    </xf>
    <xf numFmtId="1" fontId="98" fillId="4" borderId="75" xfId="0" applyNumberFormat="1" applyFont="1" applyFill="1" applyBorder="1" applyAlignment="1" applyProtection="1">
      <alignment horizontal="center" vertical="center"/>
      <protection hidden="1"/>
    </xf>
    <xf numFmtId="0" fontId="28" fillId="0" borderId="6" xfId="0" applyFont="1" applyBorder="1" applyAlignment="1">
      <alignment horizontal="left" vertical="top" wrapText="1"/>
    </xf>
    <xf numFmtId="0" fontId="28" fillId="0" borderId="16" xfId="0" applyFont="1" applyBorder="1" applyAlignment="1">
      <alignment horizontal="left" vertical="top" wrapText="1"/>
    </xf>
    <xf numFmtId="0" fontId="28" fillId="0" borderId="17" xfId="0" applyFont="1" applyBorder="1" applyAlignment="1">
      <alignment horizontal="left" vertical="top" wrapText="1"/>
    </xf>
    <xf numFmtId="0" fontId="31" fillId="0" borderId="0" xfId="0" applyFont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18" xfId="0" applyFont="1" applyBorder="1" applyAlignment="1">
      <alignment horizontal="left" vertical="top" wrapText="1"/>
    </xf>
    <xf numFmtId="1" fontId="0" fillId="0" borderId="0" xfId="0" applyNumberFormat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22" fillId="0" borderId="41" xfId="0" applyFont="1" applyBorder="1" applyAlignment="1" applyProtection="1">
      <alignment horizontal="center" vertical="center" wrapText="1"/>
      <protection hidden="1"/>
    </xf>
    <xf numFmtId="0" fontId="22" fillId="0" borderId="42" xfId="0" applyFont="1" applyBorder="1" applyAlignment="1" applyProtection="1">
      <alignment horizontal="center" vertical="center" wrapText="1"/>
      <protection hidden="1"/>
    </xf>
    <xf numFmtId="0" fontId="22" fillId="0" borderId="43" xfId="0" applyFont="1" applyBorder="1" applyAlignment="1" applyProtection="1">
      <alignment horizontal="center" vertical="center" wrapText="1"/>
      <protection hidden="1"/>
    </xf>
    <xf numFmtId="0" fontId="42" fillId="0" borderId="41" xfId="0" applyFont="1" applyBorder="1" applyAlignment="1">
      <alignment horizontal="center" vertical="center"/>
    </xf>
    <xf numFmtId="0" fontId="42" fillId="0" borderId="42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2" fontId="34" fillId="0" borderId="44" xfId="0" applyNumberFormat="1" applyFont="1" applyBorder="1" applyAlignment="1" applyProtection="1">
      <alignment horizontal="center" vertical="center" wrapText="1"/>
      <protection hidden="1"/>
    </xf>
    <xf numFmtId="2" fontId="34" fillId="0" borderId="45" xfId="0" applyNumberFormat="1" applyFont="1" applyBorder="1" applyAlignment="1" applyProtection="1">
      <alignment horizontal="center" vertical="center" wrapText="1"/>
      <protection hidden="1"/>
    </xf>
    <xf numFmtId="0" fontId="20" fillId="0" borderId="44" xfId="0" applyFont="1" applyBorder="1" applyAlignment="1" applyProtection="1">
      <alignment horizontal="center" vertical="center" wrapText="1"/>
      <protection hidden="1"/>
    </xf>
    <xf numFmtId="0" fontId="20" fillId="0" borderId="56" xfId="0" applyFont="1" applyBorder="1" applyAlignment="1" applyProtection="1">
      <alignment horizontal="center" vertical="center" wrapText="1"/>
      <protection hidden="1"/>
    </xf>
    <xf numFmtId="0" fontId="20" fillId="0" borderId="45" xfId="0" applyFont="1" applyBorder="1" applyAlignment="1" applyProtection="1">
      <alignment horizontal="center" vertical="center" wrapText="1"/>
      <protection hidden="1"/>
    </xf>
    <xf numFmtId="0" fontId="44" fillId="0" borderId="6" xfId="0" applyFont="1" applyBorder="1" applyAlignment="1" applyProtection="1">
      <alignment horizontal="center" vertical="center" wrapText="1"/>
      <protection hidden="1"/>
    </xf>
    <xf numFmtId="0" fontId="44" fillId="0" borderId="20" xfId="0" applyFont="1" applyBorder="1" applyAlignment="1" applyProtection="1">
      <alignment horizontal="center" vertical="center" wrapText="1"/>
      <protection hidden="1"/>
    </xf>
    <xf numFmtId="0" fontId="53" fillId="0" borderId="6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20" fillId="0" borderId="6" xfId="0" applyFont="1" applyBorder="1" applyAlignment="1" applyProtection="1">
      <alignment horizontal="center" vertical="center"/>
      <protection hidden="1"/>
    </xf>
    <xf numFmtId="0" fontId="20" fillId="0" borderId="20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4" fillId="0" borderId="20" xfId="0" applyFont="1" applyBorder="1" applyAlignment="1" applyProtection="1">
      <alignment horizontal="center" vertical="center"/>
      <protection hidden="1"/>
    </xf>
    <xf numFmtId="0" fontId="34" fillId="0" borderId="7" xfId="0" applyFont="1" applyBorder="1" applyAlignment="1" applyProtection="1">
      <alignment horizontal="center" vertical="center"/>
      <protection hidden="1"/>
    </xf>
    <xf numFmtId="0" fontId="34" fillId="0" borderId="39" xfId="0" applyFont="1" applyBorder="1" applyAlignment="1" applyProtection="1">
      <alignment horizontal="center" vertical="center"/>
      <protection hidden="1"/>
    </xf>
    <xf numFmtId="0" fontId="58" fillId="0" borderId="5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50" fillId="0" borderId="5" xfId="0" applyFont="1" applyBorder="1" applyAlignment="1">
      <alignment vertical="center"/>
    </xf>
    <xf numFmtId="0" fontId="50" fillId="0" borderId="49" xfId="0" applyFont="1" applyBorder="1" applyAlignment="1">
      <alignment vertical="center"/>
    </xf>
    <xf numFmtId="0" fontId="33" fillId="0" borderId="5" xfId="0" applyFont="1" applyBorder="1" applyAlignment="1" applyProtection="1">
      <alignment vertical="center"/>
      <protection hidden="1"/>
    </xf>
    <xf numFmtId="0" fontId="33" fillId="0" borderId="49" xfId="0" applyFont="1" applyBorder="1" applyAlignment="1" applyProtection="1">
      <alignment vertical="center"/>
      <protection hidden="1"/>
    </xf>
    <xf numFmtId="0" fontId="51" fillId="0" borderId="5" xfId="0" applyFont="1" applyBorder="1" applyAlignment="1" applyProtection="1">
      <alignment vertical="center"/>
      <protection hidden="1"/>
    </xf>
    <xf numFmtId="0" fontId="51" fillId="0" borderId="49" xfId="0" applyFont="1" applyBorder="1" applyAlignment="1" applyProtection="1">
      <alignment vertical="center"/>
      <protection hidden="1"/>
    </xf>
    <xf numFmtId="0" fontId="51" fillId="0" borderId="13" xfId="0" applyFont="1" applyBorder="1" applyAlignment="1" applyProtection="1">
      <alignment vertical="center"/>
      <protection hidden="1"/>
    </xf>
    <xf numFmtId="0" fontId="51" fillId="0" borderId="51" xfId="0" applyFont="1" applyBorder="1" applyAlignment="1" applyProtection="1">
      <alignment vertical="center"/>
      <protection hidden="1"/>
    </xf>
    <xf numFmtId="0" fontId="56" fillId="0" borderId="5" xfId="0" applyFont="1" applyBorder="1" applyAlignment="1">
      <alignment horizontal="center" vertical="center"/>
    </xf>
    <xf numFmtId="0" fontId="55" fillId="0" borderId="5" xfId="0" applyFont="1" applyBorder="1" applyAlignment="1" applyProtection="1">
      <alignment vertical="center" wrapText="1"/>
      <protection hidden="1"/>
    </xf>
    <xf numFmtId="0" fontId="55" fillId="0" borderId="49" xfId="0" applyFont="1" applyBorder="1" applyAlignment="1" applyProtection="1">
      <alignment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" fontId="51" fillId="0" borderId="41" xfId="0" applyNumberFormat="1" applyFont="1" applyBorder="1" applyAlignment="1" applyProtection="1">
      <alignment vertical="center" wrapText="1"/>
      <protection hidden="1"/>
    </xf>
    <xf numFmtId="2" fontId="51" fillId="0" borderId="42" xfId="0" applyNumberFormat="1" applyFont="1" applyBorder="1" applyAlignment="1" applyProtection="1">
      <alignment vertical="center" wrapText="1"/>
      <protection hidden="1"/>
    </xf>
    <xf numFmtId="2" fontId="51" fillId="0" borderId="43" xfId="0" applyNumberFormat="1" applyFont="1" applyBorder="1" applyAlignment="1" applyProtection="1">
      <alignment vertical="center" wrapText="1"/>
      <protection hidden="1"/>
    </xf>
    <xf numFmtId="0" fontId="41" fillId="0" borderId="29" xfId="0" applyFont="1" applyBorder="1" applyAlignment="1">
      <alignment vertical="center"/>
    </xf>
    <xf numFmtId="0" fontId="41" fillId="0" borderId="5" xfId="0" applyFont="1" applyBorder="1" applyAlignment="1">
      <alignment vertical="center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26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35" fillId="0" borderId="14" xfId="0" applyFont="1" applyBorder="1" applyAlignment="1" applyProtection="1">
      <alignment horizontal="center" textRotation="90"/>
      <protection hidden="1"/>
    </xf>
    <xf numFmtId="0" fontId="35" fillId="0" borderId="15" xfId="0" applyFont="1" applyBorder="1" applyAlignment="1" applyProtection="1">
      <alignment horizontal="center" textRotation="90"/>
      <protection hidden="1"/>
    </xf>
    <xf numFmtId="0" fontId="32" fillId="0" borderId="6" xfId="0" applyFont="1" applyBorder="1" applyAlignment="1" applyProtection="1">
      <alignment horizontal="center" vertical="center"/>
      <protection locked="0"/>
    </xf>
    <xf numFmtId="0" fontId="32" fillId="0" borderId="16" xfId="0" applyFont="1" applyBorder="1" applyAlignment="1" applyProtection="1">
      <alignment horizontal="center" vertical="center"/>
      <protection locked="0"/>
    </xf>
    <xf numFmtId="0" fontId="32" fillId="0" borderId="20" xfId="0" applyFont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textRotation="90"/>
    </xf>
    <xf numFmtId="0" fontId="19" fillId="0" borderId="5" xfId="0" applyFont="1" applyBorder="1" applyAlignment="1">
      <alignment horizontal="right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top" textRotation="90" wrapText="1"/>
      <protection hidden="1"/>
    </xf>
    <xf numFmtId="0" fontId="26" fillId="0" borderId="5" xfId="0" applyFont="1" applyBorder="1" applyAlignment="1">
      <alignment horizontal="right" vertical="center"/>
    </xf>
    <xf numFmtId="0" fontId="5" fillId="0" borderId="5" xfId="0" applyFont="1" applyBorder="1" applyAlignment="1" applyProtection="1">
      <alignment horizontal="center" wrapText="1"/>
      <protection hidden="1"/>
    </xf>
    <xf numFmtId="2" fontId="49" fillId="0" borderId="47" xfId="0" applyNumberFormat="1" applyFont="1" applyBorder="1" applyAlignment="1" applyProtection="1">
      <alignment vertical="center" wrapText="1"/>
      <protection hidden="1"/>
    </xf>
    <xf numFmtId="2" fontId="49" fillId="0" borderId="46" xfId="0" applyNumberFormat="1" applyFont="1" applyBorder="1" applyAlignment="1" applyProtection="1">
      <alignment vertical="center" wrapText="1"/>
      <protection hidden="1"/>
    </xf>
    <xf numFmtId="2" fontId="49" fillId="0" borderId="48" xfId="0" applyNumberFormat="1" applyFont="1" applyBorder="1" applyAlignment="1" applyProtection="1">
      <alignment vertical="center" wrapText="1"/>
      <protection hidden="1"/>
    </xf>
    <xf numFmtId="0" fontId="48" fillId="0" borderId="5" xfId="0" applyFont="1" applyBorder="1" applyAlignment="1">
      <alignment horizontal="center" vertical="center"/>
    </xf>
    <xf numFmtId="9" fontId="37" fillId="0" borderId="5" xfId="1" applyFont="1" applyBorder="1" applyAlignment="1" applyProtection="1">
      <alignment horizontal="center"/>
      <protection hidden="1"/>
    </xf>
    <xf numFmtId="9" fontId="37" fillId="0" borderId="5" xfId="1" applyFont="1" applyBorder="1" applyAlignment="1" applyProtection="1">
      <alignment horizontal="center" vertical="center"/>
      <protection hidden="1"/>
    </xf>
    <xf numFmtId="9" fontId="37" fillId="0" borderId="13" xfId="1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vertical="center" wrapText="1"/>
      <protection hidden="1"/>
    </xf>
    <xf numFmtId="0" fontId="1" fillId="0" borderId="5" xfId="0" applyFont="1" applyBorder="1" applyAlignment="1" applyProtection="1">
      <alignment vertical="center" wrapText="1"/>
      <protection hidden="1"/>
    </xf>
    <xf numFmtId="0" fontId="1" fillId="0" borderId="6" xfId="0" applyFont="1" applyBorder="1" applyAlignment="1" applyProtection="1">
      <alignment vertical="center" wrapText="1"/>
      <protection hidden="1"/>
    </xf>
    <xf numFmtId="0" fontId="1" fillId="0" borderId="55" xfId="0" applyFont="1" applyBorder="1" applyAlignment="1" applyProtection="1">
      <alignment vertical="center" wrapText="1"/>
      <protection hidden="1"/>
    </xf>
    <xf numFmtId="0" fontId="1" fillId="0" borderId="13" xfId="0" applyFont="1" applyBorder="1" applyAlignment="1" applyProtection="1">
      <alignment vertical="center" wrapText="1"/>
      <protection hidden="1"/>
    </xf>
    <xf numFmtId="0" fontId="1" fillId="0" borderId="7" xfId="0" applyFont="1" applyBorder="1" applyAlignment="1" applyProtection="1">
      <alignment vertical="center" wrapText="1"/>
      <protection hidden="1"/>
    </xf>
    <xf numFmtId="0" fontId="48" fillId="0" borderId="29" xfId="0" applyFont="1" applyBorder="1" applyAlignment="1">
      <alignment horizontal="center" vertical="center"/>
    </xf>
    <xf numFmtId="0" fontId="22" fillId="0" borderId="29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56" fillId="0" borderId="13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6" fillId="0" borderId="6" xfId="0" applyFont="1" applyBorder="1" applyAlignment="1">
      <alignment horizontal="center" vertical="top"/>
    </xf>
    <xf numFmtId="0" fontId="26" fillId="0" borderId="16" xfId="0" applyFont="1" applyBorder="1" applyAlignment="1">
      <alignment horizontal="center" vertical="top"/>
    </xf>
    <xf numFmtId="0" fontId="26" fillId="0" borderId="20" xfId="0" applyFont="1" applyBorder="1" applyAlignment="1">
      <alignment horizontal="center" vertical="top"/>
    </xf>
    <xf numFmtId="0" fontId="32" fillId="0" borderId="6" xfId="0" applyFont="1" applyBorder="1" applyAlignment="1" applyProtection="1">
      <alignment horizontal="center" vertical="top"/>
      <protection locked="0"/>
    </xf>
    <xf numFmtId="0" fontId="32" fillId="0" borderId="16" xfId="0" applyFont="1" applyBorder="1" applyAlignment="1" applyProtection="1">
      <alignment horizontal="center" vertical="top"/>
      <protection locked="0"/>
    </xf>
    <xf numFmtId="0" fontId="32" fillId="0" borderId="20" xfId="0" applyFont="1" applyBorder="1" applyAlignment="1" applyProtection="1">
      <alignment horizontal="center" vertical="top"/>
      <protection locked="0"/>
    </xf>
    <xf numFmtId="0" fontId="22" fillId="0" borderId="55" xfId="0" applyFont="1" applyBorder="1" applyAlignment="1" applyProtection="1">
      <alignment horizontal="center"/>
      <protection hidden="1"/>
    </xf>
    <xf numFmtId="0" fontId="22" fillId="0" borderId="13" xfId="0" applyFont="1" applyBorder="1" applyAlignment="1" applyProtection="1">
      <alignment horizontal="center"/>
      <protection hidden="1"/>
    </xf>
    <xf numFmtId="0" fontId="37" fillId="0" borderId="5" xfId="0" applyFont="1" applyBorder="1" applyAlignment="1" applyProtection="1">
      <alignment vertical="center" wrapText="1"/>
      <protection hidden="1"/>
    </xf>
    <xf numFmtId="0" fontId="37" fillId="0" borderId="49" xfId="0" applyFont="1" applyBorder="1" applyAlignment="1" applyProtection="1">
      <alignment vertical="center" wrapText="1"/>
      <protection hidden="1"/>
    </xf>
    <xf numFmtId="0" fontId="47" fillId="0" borderId="5" xfId="0" applyFont="1" applyBorder="1" applyAlignment="1">
      <alignment vertical="center"/>
    </xf>
    <xf numFmtId="0" fontId="47" fillId="0" borderId="49" xfId="0" applyFont="1" applyBorder="1" applyAlignment="1">
      <alignment vertical="center"/>
    </xf>
    <xf numFmtId="0" fontId="37" fillId="0" borderId="5" xfId="0" applyFont="1" applyBorder="1" applyAlignment="1" applyProtection="1">
      <alignment vertical="center"/>
      <protection hidden="1"/>
    </xf>
    <xf numFmtId="0" fontId="37" fillId="0" borderId="49" xfId="0" applyFont="1" applyBorder="1" applyAlignment="1" applyProtection="1">
      <alignment vertical="center"/>
      <protection hidden="1"/>
    </xf>
    <xf numFmtId="0" fontId="17" fillId="0" borderId="5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9" fontId="33" fillId="0" borderId="13" xfId="1" applyFont="1" applyBorder="1" applyAlignment="1" applyProtection="1">
      <alignment vertical="center"/>
      <protection hidden="1"/>
    </xf>
    <xf numFmtId="0" fontId="42" fillId="0" borderId="29" xfId="0" applyFont="1" applyBorder="1" applyAlignment="1">
      <alignment vertical="center"/>
    </xf>
    <xf numFmtId="0" fontId="42" fillId="0" borderId="5" xfId="0" applyFont="1" applyBorder="1" applyAlignment="1">
      <alignment vertical="center"/>
    </xf>
    <xf numFmtId="0" fontId="24" fillId="0" borderId="29" xfId="0" applyFont="1" applyBorder="1" applyAlignment="1" applyProtection="1">
      <alignment vertical="center"/>
      <protection hidden="1"/>
    </xf>
    <xf numFmtId="0" fontId="24" fillId="0" borderId="5" xfId="0" applyFont="1" applyBorder="1" applyAlignment="1" applyProtection="1">
      <alignment vertical="center"/>
      <protection hidden="1"/>
    </xf>
    <xf numFmtId="0" fontId="1" fillId="2" borderId="15" xfId="0" applyFont="1" applyFill="1" applyBorder="1" applyAlignment="1">
      <alignment horizontal="center" textRotation="90" wrapText="1"/>
    </xf>
    <xf numFmtId="0" fontId="1" fillId="2" borderId="5" xfId="0" applyFont="1" applyFill="1" applyBorder="1" applyAlignment="1">
      <alignment horizontal="center" textRotation="90" wrapText="1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vertical="center" wrapText="1"/>
      <protection hidden="1"/>
    </xf>
    <xf numFmtId="0" fontId="21" fillId="0" borderId="5" xfId="0" applyFont="1" applyBorder="1" applyAlignment="1" applyProtection="1">
      <alignment vertical="center" wrapText="1"/>
      <protection hidden="1"/>
    </xf>
    <xf numFmtId="9" fontId="33" fillId="0" borderId="5" xfId="1" applyFont="1" applyBorder="1" applyAlignment="1" applyProtection="1">
      <alignment vertical="center"/>
      <protection hidden="1"/>
    </xf>
    <xf numFmtId="0" fontId="37" fillId="2" borderId="15" xfId="0" applyFont="1" applyFill="1" applyBorder="1" applyAlignment="1">
      <alignment horizontal="center" textRotation="90" wrapText="1"/>
    </xf>
    <xf numFmtId="0" fontId="37" fillId="2" borderId="5" xfId="0" applyFont="1" applyFill="1" applyBorder="1" applyAlignment="1">
      <alignment horizontal="center" textRotation="90" wrapText="1"/>
    </xf>
    <xf numFmtId="0" fontId="33" fillId="0" borderId="15" xfId="0" applyFont="1" applyBorder="1" applyAlignment="1">
      <alignment horizontal="center" textRotation="90" wrapText="1"/>
    </xf>
    <xf numFmtId="0" fontId="33" fillId="0" borderId="5" xfId="0" applyFont="1" applyBorder="1" applyAlignment="1">
      <alignment horizontal="center" textRotation="90" wrapText="1"/>
    </xf>
    <xf numFmtId="0" fontId="21" fillId="0" borderId="55" xfId="0" applyFont="1" applyBorder="1" applyAlignment="1" applyProtection="1">
      <alignment vertical="center" wrapText="1"/>
      <protection hidden="1"/>
    </xf>
    <xf numFmtId="0" fontId="21" fillId="0" borderId="13" xfId="0" applyFont="1" applyBorder="1" applyAlignment="1" applyProtection="1">
      <alignment vertical="center" wrapText="1"/>
      <protection hidden="1"/>
    </xf>
    <xf numFmtId="0" fontId="41" fillId="0" borderId="5" xfId="0" applyFont="1" applyBorder="1" applyAlignment="1">
      <alignment horizontal="center" vertical="center"/>
    </xf>
    <xf numFmtId="9" fontId="20" fillId="0" borderId="5" xfId="1" applyFont="1" applyBorder="1" applyAlignment="1" applyProtection="1">
      <alignment vertical="center" wrapText="1"/>
      <protection hidden="1"/>
    </xf>
    <xf numFmtId="9" fontId="20" fillId="0" borderId="13" xfId="1" applyFont="1" applyBorder="1" applyAlignment="1" applyProtection="1">
      <alignment vertical="center" wrapText="1"/>
      <protection hidden="1"/>
    </xf>
    <xf numFmtId="0" fontId="24" fillId="0" borderId="55" xfId="0" applyFont="1" applyBorder="1" applyAlignment="1" applyProtection="1">
      <alignment vertical="center"/>
      <protection hidden="1"/>
    </xf>
    <xf numFmtId="0" fontId="24" fillId="0" borderId="13" xfId="0" applyFont="1" applyBorder="1" applyAlignment="1" applyProtection="1">
      <alignment vertical="center"/>
      <protection hidden="1"/>
    </xf>
    <xf numFmtId="0" fontId="49" fillId="0" borderId="30" xfId="0" applyFont="1" applyBorder="1" applyAlignment="1" applyProtection="1">
      <alignment vertical="center"/>
      <protection hidden="1"/>
    </xf>
    <xf numFmtId="0" fontId="49" fillId="0" borderId="50" xfId="0" applyFont="1" applyBorder="1" applyAlignment="1" applyProtection="1">
      <alignment vertical="center"/>
      <protection hidden="1"/>
    </xf>
    <xf numFmtId="0" fontId="49" fillId="0" borderId="5" xfId="0" applyFont="1" applyBorder="1" applyAlignment="1" applyProtection="1">
      <alignment vertical="center"/>
      <protection hidden="1"/>
    </xf>
    <xf numFmtId="0" fontId="49" fillId="0" borderId="49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horizontal="left" vertical="center" wrapText="1"/>
      <protection locked="0"/>
    </xf>
    <xf numFmtId="0" fontId="2" fillId="0" borderId="3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3" xfId="0" applyFont="1" applyBorder="1" applyAlignment="1" applyProtection="1">
      <alignment horizontal="left" vertical="center" wrapText="1"/>
      <protection locked="0"/>
    </xf>
    <xf numFmtId="164" fontId="4" fillId="0" borderId="3" xfId="0" applyNumberFormat="1" applyFont="1" applyBorder="1" applyAlignment="1" applyProtection="1">
      <alignment horizontal="center" vertical="center" wrapText="1"/>
      <protection hidden="1"/>
    </xf>
    <xf numFmtId="164" fontId="4" fillId="0" borderId="4" xfId="0" applyNumberFormat="1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15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9" fontId="1" fillId="0" borderId="5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horizontal="right" vertical="center" wrapText="1"/>
    </xf>
    <xf numFmtId="0" fontId="43" fillId="0" borderId="10" xfId="0" applyFont="1" applyBorder="1" applyAlignment="1">
      <alignment horizontal="right" vertical="center" wrapText="1"/>
    </xf>
    <xf numFmtId="0" fontId="43" fillId="0" borderId="18" xfId="0" applyFont="1" applyBorder="1" applyAlignment="1">
      <alignment horizontal="right" vertical="center" wrapText="1"/>
    </xf>
    <xf numFmtId="0" fontId="43" fillId="0" borderId="12" xfId="0" applyFont="1" applyBorder="1" applyAlignment="1">
      <alignment horizontal="right" vertical="center" wrapText="1"/>
    </xf>
    <xf numFmtId="9" fontId="3" fillId="0" borderId="5" xfId="0" applyNumberFormat="1" applyFont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>
      <alignment horizontal="center" textRotation="90" wrapText="1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>
      <alignment horizontal="center" textRotation="90" wrapText="1"/>
    </xf>
    <xf numFmtId="0" fontId="26" fillId="0" borderId="14" xfId="0" applyFont="1" applyBorder="1" applyAlignment="1">
      <alignment horizontal="center" textRotation="90" wrapText="1"/>
    </xf>
    <xf numFmtId="0" fontId="26" fillId="0" borderId="15" xfId="0" applyFont="1" applyBorder="1" applyAlignment="1">
      <alignment horizontal="center" textRotation="90" wrapText="1"/>
    </xf>
    <xf numFmtId="0" fontId="25" fillId="0" borderId="7" xfId="0" applyFont="1" applyBorder="1" applyAlignment="1" applyProtection="1">
      <alignment horizontal="center" vertical="center" wrapText="1"/>
      <protection hidden="1"/>
    </xf>
    <xf numFmtId="0" fontId="25" fillId="0" borderId="8" xfId="0" applyFont="1" applyBorder="1" applyAlignment="1" applyProtection="1">
      <alignment horizontal="center" vertical="center" wrapText="1"/>
      <protection hidden="1"/>
    </xf>
    <xf numFmtId="0" fontId="25" fillId="0" borderId="11" xfId="0" applyFont="1" applyBorder="1" applyAlignment="1" applyProtection="1">
      <alignment horizontal="center" vertical="center" wrapText="1"/>
      <protection hidden="1"/>
    </xf>
    <xf numFmtId="0" fontId="25" fillId="0" borderId="12" xfId="0" applyFont="1" applyBorder="1" applyAlignment="1" applyProtection="1">
      <alignment horizontal="center" vertical="center" wrapText="1"/>
      <protection hidden="1"/>
    </xf>
    <xf numFmtId="0" fontId="44" fillId="0" borderId="14" xfId="0" applyFont="1" applyBorder="1" applyAlignment="1">
      <alignment horizontal="right" textRotation="90" wrapText="1"/>
    </xf>
    <xf numFmtId="0" fontId="44" fillId="0" borderId="15" xfId="0" applyFont="1" applyBorder="1" applyAlignment="1">
      <alignment horizontal="right" textRotation="90" wrapText="1"/>
    </xf>
    <xf numFmtId="0" fontId="61" fillId="3" borderId="10" xfId="0" applyFont="1" applyFill="1" applyBorder="1" applyAlignment="1">
      <alignment horizontal="center" vertical="top" textRotation="90" wrapText="1"/>
    </xf>
    <xf numFmtId="0" fontId="61" fillId="3" borderId="12" xfId="0" applyFont="1" applyFill="1" applyBorder="1" applyAlignment="1">
      <alignment horizontal="center" vertical="top" textRotation="90" wrapText="1"/>
    </xf>
    <xf numFmtId="0" fontId="21" fillId="0" borderId="29" xfId="0" applyFont="1" applyBorder="1" applyAlignment="1" applyProtection="1">
      <alignment horizontal="center" vertical="center" wrapText="1"/>
      <protection hidden="1"/>
    </xf>
    <xf numFmtId="0" fontId="21" fillId="0" borderId="5" xfId="0" applyFont="1" applyBorder="1" applyAlignment="1" applyProtection="1">
      <alignment horizontal="center" vertical="center" wrapText="1"/>
      <protection hidden="1"/>
    </xf>
    <xf numFmtId="0" fontId="62" fillId="0" borderId="5" xfId="0" applyFont="1" applyBorder="1" applyAlignment="1">
      <alignment horizontal="center" vertical="center"/>
    </xf>
    <xf numFmtId="0" fontId="23" fillId="0" borderId="29" xfId="0" applyFont="1" applyBorder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center" vertical="center"/>
      <protection hidden="1"/>
    </xf>
    <xf numFmtId="0" fontId="62" fillId="0" borderId="13" xfId="0" applyFont="1" applyBorder="1" applyAlignment="1">
      <alignment horizontal="center" vertical="center"/>
    </xf>
    <xf numFmtId="0" fontId="23" fillId="0" borderId="55" xfId="0" applyFont="1" applyBorder="1" applyAlignment="1" applyProtection="1">
      <alignment horizontal="center" vertical="center"/>
      <protection hidden="1"/>
    </xf>
    <xf numFmtId="0" fontId="23" fillId="0" borderId="13" xfId="0" applyFont="1" applyBorder="1" applyAlignment="1" applyProtection="1">
      <alignment horizontal="center" vertical="center"/>
      <protection hidden="1"/>
    </xf>
    <xf numFmtId="0" fontId="21" fillId="0" borderId="55" xfId="0" applyFont="1" applyBorder="1" applyAlignment="1" applyProtection="1">
      <alignment horizontal="center" vertical="center" wrapText="1"/>
      <protection hidden="1"/>
    </xf>
    <xf numFmtId="0" fontId="21" fillId="0" borderId="13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left" vertical="center"/>
      <protection locked="0"/>
    </xf>
    <xf numFmtId="0" fontId="32" fillId="0" borderId="13" xfId="0" applyFont="1" applyBorder="1" applyAlignment="1">
      <alignment horizontal="center" textRotation="90" wrapText="1"/>
    </xf>
    <xf numFmtId="0" fontId="32" fillId="0" borderId="14" xfId="0" applyFont="1" applyBorder="1" applyAlignment="1">
      <alignment horizontal="center" textRotation="90" wrapText="1"/>
    </xf>
    <xf numFmtId="0" fontId="32" fillId="0" borderId="15" xfId="0" applyFont="1" applyBorder="1" applyAlignment="1">
      <alignment horizontal="center" textRotation="90" wrapText="1"/>
    </xf>
    <xf numFmtId="0" fontId="10" fillId="0" borderId="5" xfId="0" applyFont="1" applyBorder="1" applyAlignment="1" applyProtection="1">
      <alignment horizontal="left" vertical="center" wrapText="1"/>
      <protection locked="0"/>
    </xf>
    <xf numFmtId="0" fontId="124" fillId="4" borderId="0" xfId="0" applyFont="1" applyFill="1" applyAlignment="1" applyProtection="1">
      <alignment horizontal="left" vertical="center"/>
      <protection hidden="1"/>
    </xf>
    <xf numFmtId="167" fontId="121" fillId="0" borderId="98" xfId="0" applyNumberFormat="1" applyFont="1" applyBorder="1" applyAlignment="1" applyProtection="1">
      <alignment horizontal="left" vertical="center"/>
      <protection hidden="1"/>
    </xf>
    <xf numFmtId="167" fontId="121" fillId="0" borderId="99" xfId="0" applyNumberFormat="1" applyFont="1" applyBorder="1" applyAlignment="1" applyProtection="1">
      <alignment horizontal="left" vertical="center"/>
      <protection hidden="1"/>
    </xf>
    <xf numFmtId="0" fontId="121" fillId="0" borderId="99" xfId="0" applyFont="1" applyBorder="1" applyAlignment="1" applyProtection="1">
      <alignment vertical="center"/>
      <protection hidden="1"/>
    </xf>
    <xf numFmtId="0" fontId="121" fillId="0" borderId="100" xfId="0" applyFont="1" applyBorder="1" applyAlignment="1" applyProtection="1">
      <alignment vertical="center"/>
      <protection hidden="1"/>
    </xf>
    <xf numFmtId="0" fontId="123" fillId="4" borderId="0" xfId="0" applyFont="1" applyFill="1" applyAlignment="1" applyProtection="1">
      <alignment horizontal="right" vertical="center"/>
      <protection hidden="1"/>
    </xf>
    <xf numFmtId="168" fontId="91" fillId="0" borderId="83" xfId="0" applyNumberFormat="1" applyFont="1" applyBorder="1" applyAlignment="1" applyProtection="1">
      <alignment horizontal="center" vertical="center"/>
      <protection hidden="1"/>
    </xf>
    <xf numFmtId="168" fontId="91" fillId="0" borderId="86" xfId="0" applyNumberFormat="1" applyFont="1" applyBorder="1" applyAlignment="1" applyProtection="1">
      <alignment horizontal="center" vertical="center"/>
      <protection hidden="1"/>
    </xf>
    <xf numFmtId="167" fontId="121" fillId="0" borderId="113" xfId="0" applyNumberFormat="1" applyFont="1" applyBorder="1" applyAlignment="1" applyProtection="1">
      <alignment horizontal="left"/>
      <protection hidden="1"/>
    </xf>
    <xf numFmtId="167" fontId="121" fillId="0" borderId="114" xfId="0" applyNumberFormat="1" applyFont="1" applyBorder="1" applyAlignment="1" applyProtection="1">
      <alignment horizontal="left"/>
      <protection hidden="1"/>
    </xf>
    <xf numFmtId="167" fontId="121" fillId="0" borderId="115" xfId="0" applyNumberFormat="1" applyFont="1" applyBorder="1" applyAlignment="1" applyProtection="1">
      <alignment horizontal="left"/>
      <protection hidden="1"/>
    </xf>
    <xf numFmtId="0" fontId="121" fillId="0" borderId="116" xfId="0" applyFont="1" applyBorder="1" applyAlignment="1" applyProtection="1">
      <alignment horizontal="center"/>
      <protection hidden="1"/>
    </xf>
    <xf numFmtId="0" fontId="121" fillId="0" borderId="117" xfId="0" applyFont="1" applyBorder="1" applyAlignment="1" applyProtection="1">
      <alignment horizontal="center"/>
      <protection hidden="1"/>
    </xf>
    <xf numFmtId="0" fontId="98" fillId="6" borderId="92" xfId="0" applyFont="1" applyFill="1" applyBorder="1" applyAlignment="1" applyProtection="1">
      <alignment horizontal="center" vertical="center"/>
      <protection hidden="1"/>
    </xf>
    <xf numFmtId="0" fontId="98" fillId="6" borderId="93" xfId="0" applyFont="1" applyFill="1" applyBorder="1" applyAlignment="1" applyProtection="1">
      <alignment horizontal="center" vertical="center"/>
      <protection hidden="1"/>
    </xf>
    <xf numFmtId="0" fontId="98" fillId="6" borderId="94" xfId="0" applyFont="1" applyFill="1" applyBorder="1" applyAlignment="1" applyProtection="1">
      <alignment horizontal="center" vertical="center"/>
      <protection hidden="1"/>
    </xf>
    <xf numFmtId="14" fontId="125" fillId="6" borderId="83" xfId="0" applyNumberFormat="1" applyFont="1" applyFill="1" applyBorder="1" applyAlignment="1" applyProtection="1">
      <alignment horizontal="center" vertical="center"/>
      <protection hidden="1"/>
    </xf>
    <xf numFmtId="14" fontId="125" fillId="6" borderId="86" xfId="0" applyNumberFormat="1" applyFont="1" applyFill="1" applyBorder="1" applyAlignment="1" applyProtection="1">
      <alignment horizontal="center" vertical="center"/>
      <protection hidden="1"/>
    </xf>
    <xf numFmtId="165" fontId="98" fillId="5" borderId="95" xfId="0" applyNumberFormat="1" applyFont="1" applyFill="1" applyBorder="1" applyAlignment="1" applyProtection="1">
      <alignment horizontal="center" vertical="center"/>
      <protection hidden="1"/>
    </xf>
    <xf numFmtId="165" fontId="98" fillId="5" borderId="96" xfId="0" applyNumberFormat="1" applyFont="1" applyFill="1" applyBorder="1" applyAlignment="1" applyProtection="1">
      <alignment horizontal="center" vertical="center"/>
      <protection hidden="1"/>
    </xf>
    <xf numFmtId="165" fontId="98" fillId="5" borderId="97" xfId="0" applyNumberFormat="1" applyFont="1" applyFill="1" applyBorder="1" applyAlignment="1" applyProtection="1">
      <alignment horizontal="center" vertical="center"/>
      <protection hidden="1"/>
    </xf>
    <xf numFmtId="167" fontId="122" fillId="12" borderId="125" xfId="0" applyNumberFormat="1" applyFont="1" applyFill="1" applyBorder="1" applyAlignment="1" applyProtection="1">
      <alignment horizontal="left" vertical="center"/>
      <protection locked="0"/>
    </xf>
    <xf numFmtId="167" fontId="122" fillId="12" borderId="126" xfId="0" applyNumberFormat="1" applyFont="1" applyFill="1" applyBorder="1" applyAlignment="1" applyProtection="1">
      <alignment horizontal="left" vertical="center"/>
      <protection locked="0"/>
    </xf>
    <xf numFmtId="167" fontId="122" fillId="12" borderId="127" xfId="0" applyNumberFormat="1" applyFont="1" applyFill="1" applyBorder="1" applyAlignment="1" applyProtection="1">
      <alignment horizontal="left" vertical="center"/>
      <protection locked="0"/>
    </xf>
    <xf numFmtId="167" fontId="122" fillId="12" borderId="125" xfId="0" applyNumberFormat="1" applyFont="1" applyFill="1" applyBorder="1" applyAlignment="1" applyProtection="1">
      <alignment horizontal="left"/>
      <protection locked="0"/>
    </xf>
    <xf numFmtId="167" fontId="122" fillId="12" borderId="126" xfId="0" applyNumberFormat="1" applyFont="1" applyFill="1" applyBorder="1" applyAlignment="1" applyProtection="1">
      <alignment horizontal="left"/>
      <protection locked="0"/>
    </xf>
    <xf numFmtId="167" fontId="122" fillId="12" borderId="127" xfId="0" applyNumberFormat="1" applyFont="1" applyFill="1" applyBorder="1" applyAlignment="1" applyProtection="1">
      <alignment horizontal="left"/>
      <protection locked="0"/>
    </xf>
    <xf numFmtId="0" fontId="122" fillId="12" borderId="128" xfId="0" applyFont="1" applyFill="1" applyBorder="1" applyAlignment="1" applyProtection="1">
      <alignment vertical="center"/>
      <protection locked="0"/>
    </xf>
    <xf numFmtId="0" fontId="122" fillId="12" borderId="129" xfId="0" applyFont="1" applyFill="1" applyBorder="1" applyAlignment="1" applyProtection="1">
      <alignment vertical="center"/>
      <protection locked="0"/>
    </xf>
    <xf numFmtId="167" fontId="122" fillId="12" borderId="125" xfId="0" applyNumberFormat="1" applyFont="1" applyFill="1" applyBorder="1" applyProtection="1">
      <protection locked="0"/>
    </xf>
    <xf numFmtId="167" fontId="122" fillId="12" borderId="126" xfId="0" applyNumberFormat="1" applyFont="1" applyFill="1" applyBorder="1" applyProtection="1">
      <protection locked="0"/>
    </xf>
    <xf numFmtId="167" fontId="122" fillId="12" borderId="127" xfId="0" applyNumberFormat="1" applyFont="1" applyFill="1" applyBorder="1" applyProtection="1">
      <protection locked="0"/>
    </xf>
    <xf numFmtId="0" fontId="122" fillId="12" borderId="128" xfId="0" applyFont="1" applyFill="1" applyBorder="1" applyAlignment="1" applyProtection="1">
      <alignment wrapText="1"/>
      <protection locked="0"/>
    </xf>
    <xf numFmtId="0" fontId="122" fillId="12" borderId="129" xfId="0" applyFont="1" applyFill="1" applyBorder="1" applyAlignment="1" applyProtection="1">
      <alignment wrapText="1"/>
      <protection locked="0"/>
    </xf>
    <xf numFmtId="0" fontId="116" fillId="4" borderId="64" xfId="0" applyFont="1" applyFill="1" applyBorder="1" applyAlignment="1" applyProtection="1">
      <alignment horizontal="center"/>
      <protection hidden="1"/>
    </xf>
    <xf numFmtId="0" fontId="116" fillId="4" borderId="65" xfId="0" applyFont="1" applyFill="1" applyBorder="1" applyAlignment="1" applyProtection="1">
      <alignment horizontal="center"/>
      <protection hidden="1"/>
    </xf>
    <xf numFmtId="167" fontId="121" fillId="0" borderId="118" xfId="0" applyNumberFormat="1" applyFont="1" applyBorder="1" applyAlignment="1" applyProtection="1">
      <alignment horizontal="left" vertical="center"/>
      <protection hidden="1"/>
    </xf>
    <xf numFmtId="167" fontId="121" fillId="0" borderId="114" xfId="0" applyNumberFormat="1" applyFont="1" applyBorder="1" applyAlignment="1" applyProtection="1">
      <alignment horizontal="left" vertical="center"/>
      <protection hidden="1"/>
    </xf>
    <xf numFmtId="167" fontId="121" fillId="0" borderId="115" xfId="0" applyNumberFormat="1" applyFont="1" applyBorder="1" applyAlignment="1" applyProtection="1">
      <alignment horizontal="left" vertical="center"/>
      <protection hidden="1"/>
    </xf>
    <xf numFmtId="167" fontId="121" fillId="0" borderId="119" xfId="0" applyNumberFormat="1" applyFont="1" applyBorder="1" applyAlignment="1" applyProtection="1">
      <alignment horizontal="left" vertical="center"/>
      <protection hidden="1"/>
    </xf>
    <xf numFmtId="167" fontId="121" fillId="0" borderId="120" xfId="0" applyNumberFormat="1" applyFont="1" applyBorder="1" applyAlignment="1" applyProtection="1">
      <alignment horizontal="left" vertical="center"/>
      <protection hidden="1"/>
    </xf>
    <xf numFmtId="167" fontId="121" fillId="0" borderId="121" xfId="0" applyNumberFormat="1" applyFont="1" applyBorder="1" applyAlignment="1" applyProtection="1">
      <alignment horizontal="left" vertical="center"/>
      <protection hidden="1"/>
    </xf>
    <xf numFmtId="167" fontId="122" fillId="12" borderId="122" xfId="0" applyNumberFormat="1" applyFont="1" applyFill="1" applyBorder="1" applyAlignment="1" applyProtection="1">
      <alignment horizontal="left" vertical="center"/>
      <protection locked="0"/>
    </xf>
    <xf numFmtId="167" fontId="122" fillId="12" borderId="123" xfId="0" applyNumberFormat="1" applyFont="1" applyFill="1" applyBorder="1" applyAlignment="1" applyProtection="1">
      <alignment horizontal="left" vertical="center"/>
      <protection locked="0"/>
    </xf>
    <xf numFmtId="167" fontId="122" fillId="12" borderId="124" xfId="0" applyNumberFormat="1" applyFont="1" applyFill="1" applyBorder="1" applyAlignment="1" applyProtection="1">
      <alignment horizontal="left" vertical="center"/>
      <protection locked="0"/>
    </xf>
    <xf numFmtId="0" fontId="98" fillId="6" borderId="110" xfId="0" applyFont="1" applyFill="1" applyBorder="1" applyAlignment="1" applyProtection="1">
      <alignment horizontal="center"/>
      <protection hidden="1"/>
    </xf>
    <xf numFmtId="0" fontId="98" fillId="6" borderId="111" xfId="0" applyFont="1" applyFill="1" applyBorder="1" applyAlignment="1" applyProtection="1">
      <alignment horizontal="center"/>
      <protection hidden="1"/>
    </xf>
    <xf numFmtId="0" fontId="98" fillId="6" borderId="112" xfId="0" applyFont="1" applyFill="1" applyBorder="1" applyAlignment="1" applyProtection="1">
      <alignment horizontal="center"/>
      <protection hidden="1"/>
    </xf>
    <xf numFmtId="0" fontId="104" fillId="0" borderId="0" xfId="0" applyFont="1" applyAlignment="1" applyProtection="1">
      <alignment horizontal="center" vertical="center" textRotation="90"/>
      <protection hidden="1"/>
    </xf>
    <xf numFmtId="14" fontId="125" fillId="7" borderId="84" xfId="0" applyNumberFormat="1" applyFont="1" applyFill="1" applyBorder="1" applyAlignment="1" applyProtection="1">
      <alignment horizontal="center" vertical="center"/>
      <protection hidden="1"/>
    </xf>
    <xf numFmtId="14" fontId="125" fillId="7" borderId="85" xfId="0" applyNumberFormat="1" applyFont="1" applyFill="1" applyBorder="1" applyAlignment="1" applyProtection="1">
      <alignment horizontal="center" vertical="center"/>
      <protection hidden="1"/>
    </xf>
    <xf numFmtId="165" fontId="98" fillId="4" borderId="0" xfId="0" applyNumberFormat="1" applyFont="1" applyFill="1" applyAlignment="1" applyProtection="1">
      <alignment horizontal="center" vertical="center"/>
      <protection hidden="1"/>
    </xf>
    <xf numFmtId="0" fontId="98" fillId="6" borderId="89" xfId="0" applyFont="1" applyFill="1" applyBorder="1" applyAlignment="1" applyProtection="1">
      <alignment horizontal="center" vertical="center"/>
      <protection hidden="1"/>
    </xf>
    <xf numFmtId="0" fontId="98" fillId="6" borderId="90" xfId="0" applyFont="1" applyFill="1" applyBorder="1" applyAlignment="1" applyProtection="1">
      <alignment horizontal="center" vertical="center"/>
      <protection hidden="1"/>
    </xf>
    <xf numFmtId="0" fontId="98" fillId="6" borderId="91" xfId="0" applyFont="1" applyFill="1" applyBorder="1" applyAlignment="1" applyProtection="1">
      <alignment horizontal="center" vertical="center"/>
      <protection hidden="1"/>
    </xf>
    <xf numFmtId="168" fontId="125" fillId="8" borderId="83" xfId="0" applyNumberFormat="1" applyFont="1" applyFill="1" applyBorder="1" applyAlignment="1" applyProtection="1">
      <alignment horizontal="center" vertical="center"/>
      <protection hidden="1"/>
    </xf>
    <xf numFmtId="168" fontId="125" fillId="8" borderId="86" xfId="0" applyNumberFormat="1" applyFont="1" applyFill="1" applyBorder="1" applyAlignment="1" applyProtection="1">
      <alignment horizontal="center" vertical="center"/>
      <protection hidden="1"/>
    </xf>
    <xf numFmtId="0" fontId="116" fillId="4" borderId="68" xfId="0" applyFont="1" applyFill="1" applyBorder="1" applyAlignment="1" applyProtection="1">
      <alignment horizontal="center"/>
      <protection hidden="1"/>
    </xf>
    <xf numFmtId="0" fontId="116" fillId="4" borderId="69" xfId="0" applyFont="1" applyFill="1" applyBorder="1" applyAlignment="1" applyProtection="1">
      <alignment horizontal="center"/>
      <protection hidden="1"/>
    </xf>
    <xf numFmtId="0" fontId="118" fillId="2" borderId="70" xfId="0" applyFont="1" applyFill="1" applyBorder="1" applyAlignment="1" applyProtection="1">
      <alignment horizontal="center" vertical="center"/>
      <protection locked="0"/>
    </xf>
    <xf numFmtId="0" fontId="118" fillId="2" borderId="71" xfId="0" applyFont="1" applyFill="1" applyBorder="1" applyAlignment="1" applyProtection="1">
      <alignment horizontal="center" vertical="center"/>
      <protection locked="0"/>
    </xf>
    <xf numFmtId="0" fontId="116" fillId="4" borderId="72" xfId="0" applyFont="1" applyFill="1" applyBorder="1" applyAlignment="1" applyProtection="1">
      <alignment horizontal="center"/>
      <protection hidden="1"/>
    </xf>
    <xf numFmtId="0" fontId="116" fillId="4" borderId="73" xfId="0" applyFont="1" applyFill="1" applyBorder="1" applyAlignment="1" applyProtection="1">
      <alignment horizontal="center"/>
      <protection hidden="1"/>
    </xf>
    <xf numFmtId="0" fontId="119" fillId="2" borderId="70" xfId="0" applyFont="1" applyFill="1" applyBorder="1" applyAlignment="1" applyProtection="1">
      <alignment horizontal="center" vertical="center"/>
      <protection locked="0"/>
    </xf>
    <xf numFmtId="0" fontId="119" fillId="2" borderId="71" xfId="0" applyFont="1" applyFill="1" applyBorder="1" applyAlignment="1" applyProtection="1">
      <alignment horizontal="center" vertical="center"/>
      <protection locked="0"/>
    </xf>
    <xf numFmtId="0" fontId="108" fillId="6" borderId="74" xfId="0" applyFont="1" applyFill="1" applyBorder="1" applyAlignment="1" applyProtection="1">
      <alignment horizontal="center" vertical="center"/>
      <protection hidden="1"/>
    </xf>
    <xf numFmtId="0" fontId="108" fillId="6" borderId="0" xfId="0" applyFont="1" applyFill="1" applyAlignment="1" applyProtection="1">
      <alignment horizontal="center" vertical="center"/>
      <protection hidden="1"/>
    </xf>
    <xf numFmtId="14" fontId="121" fillId="2" borderId="74" xfId="0" applyNumberFormat="1" applyFont="1" applyFill="1" applyBorder="1" applyAlignment="1" applyProtection="1">
      <alignment horizontal="center" vertical="top" wrapText="1"/>
      <protection hidden="1"/>
    </xf>
    <xf numFmtId="14" fontId="121" fillId="2" borderId="0" xfId="0" applyNumberFormat="1" applyFont="1" applyFill="1" applyAlignment="1" applyProtection="1">
      <alignment horizontal="center" vertical="top" wrapText="1"/>
      <protection hidden="1"/>
    </xf>
    <xf numFmtId="0" fontId="106" fillId="6" borderId="64" xfId="0" applyFont="1" applyFill="1" applyBorder="1" applyAlignment="1" applyProtection="1">
      <alignment horizontal="center" vertical="center"/>
      <protection hidden="1"/>
    </xf>
    <xf numFmtId="0" fontId="106" fillId="6" borderId="65" xfId="0" applyFont="1" applyFill="1" applyBorder="1" applyAlignment="1" applyProtection="1">
      <alignment horizontal="center" vertical="center"/>
      <protection hidden="1"/>
    </xf>
    <xf numFmtId="0" fontId="106" fillId="6" borderId="67" xfId="0" applyFont="1" applyFill="1" applyBorder="1" applyAlignment="1" applyProtection="1">
      <alignment horizontal="center" vertical="center"/>
      <protection hidden="1"/>
    </xf>
    <xf numFmtId="14" fontId="112" fillId="0" borderId="0" xfId="0" applyNumberFormat="1" applyFont="1" applyAlignment="1" applyProtection="1">
      <alignment horizontal="center" vertical="center" wrapText="1"/>
      <protection locked="0"/>
    </xf>
    <xf numFmtId="0" fontId="112" fillId="0" borderId="0" xfId="0" applyFont="1" applyAlignment="1" applyProtection="1">
      <alignment horizontal="center" vertical="center" wrapText="1"/>
      <protection locked="0"/>
    </xf>
    <xf numFmtId="0" fontId="108" fillId="8" borderId="74" xfId="0" applyFont="1" applyFill="1" applyBorder="1" applyAlignment="1" applyProtection="1">
      <alignment horizontal="center" vertical="center"/>
      <protection hidden="1"/>
    </xf>
    <xf numFmtId="0" fontId="108" fillId="8" borderId="0" xfId="0" applyFont="1" applyFill="1" applyAlignment="1" applyProtection="1">
      <alignment horizontal="center" vertical="center"/>
      <protection hidden="1"/>
    </xf>
    <xf numFmtId="14" fontId="119" fillId="0" borderId="0" xfId="0" applyNumberFormat="1" applyFont="1" applyAlignment="1" applyProtection="1">
      <alignment horizontal="center"/>
      <protection locked="0"/>
    </xf>
    <xf numFmtId="14" fontId="98" fillId="7" borderId="76" xfId="0" applyNumberFormat="1" applyFont="1" applyFill="1" applyBorder="1" applyAlignment="1" applyProtection="1">
      <alignment horizontal="center" vertical="center" wrapText="1"/>
      <protection hidden="1"/>
    </xf>
    <xf numFmtId="14" fontId="98" fillId="7" borderId="77" xfId="0" applyNumberFormat="1" applyFont="1" applyFill="1" applyBorder="1" applyAlignment="1" applyProtection="1">
      <alignment horizontal="center" vertical="center" wrapText="1"/>
      <protection hidden="1"/>
    </xf>
    <xf numFmtId="14" fontId="98" fillId="7" borderId="78" xfId="0" applyNumberFormat="1" applyFont="1" applyFill="1" applyBorder="1" applyAlignment="1" applyProtection="1">
      <alignment horizontal="center" vertical="center" wrapText="1"/>
      <protection hidden="1"/>
    </xf>
    <xf numFmtId="0" fontId="121" fillId="2" borderId="74" xfId="0" applyFont="1" applyFill="1" applyBorder="1" applyAlignment="1" applyProtection="1">
      <alignment horizontal="center" vertical="center" wrapText="1"/>
      <protection hidden="1"/>
    </xf>
    <xf numFmtId="0" fontId="121" fillId="2" borderId="0" xfId="0" applyFont="1" applyFill="1" applyAlignment="1" applyProtection="1">
      <alignment horizontal="center" vertical="center" wrapText="1"/>
      <protection hidden="1"/>
    </xf>
    <xf numFmtId="0" fontId="105" fillId="6" borderId="0" xfId="0" applyFont="1" applyFill="1" applyAlignment="1" applyProtection="1">
      <alignment horizontal="center" vertical="center" wrapText="1"/>
      <protection hidden="1"/>
    </xf>
    <xf numFmtId="14" fontId="122" fillId="0" borderId="0" xfId="0" applyNumberFormat="1" applyFont="1" applyAlignment="1" applyProtection="1">
      <alignment horizontal="center" vertical="center"/>
      <protection locked="0"/>
    </xf>
    <xf numFmtId="0" fontId="117" fillId="2" borderId="66" xfId="0" applyFont="1" applyFill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 textRotation="90"/>
      <protection locked="0"/>
    </xf>
    <xf numFmtId="14" fontId="108" fillId="6" borderId="74" xfId="0" applyNumberFormat="1" applyFont="1" applyFill="1" applyBorder="1" applyAlignment="1" applyProtection="1">
      <alignment horizontal="center" vertical="center"/>
      <protection hidden="1"/>
    </xf>
    <xf numFmtId="14" fontId="108" fillId="6" borderId="0" xfId="0" applyNumberFormat="1" applyFont="1" applyFill="1" applyAlignment="1" applyProtection="1">
      <alignment horizontal="center" vertical="center"/>
      <protection hidden="1"/>
    </xf>
    <xf numFmtId="167" fontId="122" fillId="12" borderId="130" xfId="0" applyNumberFormat="1" applyFont="1" applyFill="1" applyBorder="1" applyProtection="1">
      <protection locked="0"/>
    </xf>
    <xf numFmtId="167" fontId="122" fillId="12" borderId="131" xfId="0" applyNumberFormat="1" applyFont="1" applyFill="1" applyBorder="1" applyProtection="1">
      <protection locked="0"/>
    </xf>
    <xf numFmtId="167" fontId="122" fillId="12" borderId="132" xfId="0" applyNumberFormat="1" applyFont="1" applyFill="1" applyBorder="1" applyProtection="1">
      <protection locked="0"/>
    </xf>
    <xf numFmtId="0" fontId="122" fillId="12" borderId="107" xfId="0" applyFont="1" applyFill="1" applyBorder="1" applyAlignment="1" applyProtection="1">
      <alignment wrapText="1"/>
      <protection locked="0"/>
    </xf>
    <xf numFmtId="0" fontId="122" fillId="12" borderId="108" xfId="0" applyFont="1" applyFill="1" applyBorder="1" applyAlignment="1" applyProtection="1">
      <alignment wrapText="1"/>
      <protection locked="0"/>
    </xf>
    <xf numFmtId="168" fontId="91" fillId="0" borderId="87" xfId="0" applyNumberFormat="1" applyFont="1" applyBorder="1" applyAlignment="1" applyProtection="1">
      <alignment horizontal="center" vertical="center"/>
      <protection hidden="1"/>
    </xf>
    <xf numFmtId="168" fontId="91" fillId="0" borderId="88" xfId="0" applyNumberFormat="1" applyFont="1" applyBorder="1" applyAlignment="1" applyProtection="1">
      <alignment horizontal="center" vertical="center"/>
      <protection hidden="1"/>
    </xf>
    <xf numFmtId="0" fontId="106" fillId="6" borderId="74" xfId="0" applyFont="1" applyFill="1" applyBorder="1" applyAlignment="1" applyProtection="1">
      <alignment horizontal="center" vertical="center"/>
      <protection hidden="1"/>
    </xf>
    <xf numFmtId="0" fontId="106" fillId="6" borderId="0" xfId="0" applyFont="1" applyFill="1" applyAlignment="1" applyProtection="1">
      <alignment horizontal="center" vertical="center"/>
      <protection hidden="1"/>
    </xf>
    <xf numFmtId="0" fontId="106" fillId="6" borderId="75" xfId="0" applyFont="1" applyFill="1" applyBorder="1" applyAlignment="1" applyProtection="1">
      <alignment horizontal="center" vertical="center"/>
      <protection hidden="1"/>
    </xf>
    <xf numFmtId="0" fontId="130" fillId="2" borderId="64" xfId="0" applyFont="1" applyFill="1" applyBorder="1" applyAlignment="1" applyProtection="1">
      <alignment horizontal="left" vertical="center" wrapText="1"/>
      <protection hidden="1"/>
    </xf>
    <xf numFmtId="0" fontId="130" fillId="2" borderId="65" xfId="0" applyFont="1" applyFill="1" applyBorder="1" applyAlignment="1" applyProtection="1">
      <alignment horizontal="left" vertical="center" wrapText="1"/>
      <protection hidden="1"/>
    </xf>
    <xf numFmtId="0" fontId="130" fillId="2" borderId="67" xfId="0" applyFont="1" applyFill="1" applyBorder="1" applyAlignment="1" applyProtection="1">
      <alignment horizontal="left" vertical="center" wrapText="1"/>
      <protection hidden="1"/>
    </xf>
    <xf numFmtId="0" fontId="130" fillId="2" borderId="74" xfId="0" applyFont="1" applyFill="1" applyBorder="1" applyAlignment="1" applyProtection="1">
      <alignment horizontal="left" vertical="center" wrapText="1"/>
      <protection hidden="1"/>
    </xf>
    <xf numFmtId="0" fontId="130" fillId="2" borderId="0" xfId="0" applyFont="1" applyFill="1" applyAlignment="1" applyProtection="1">
      <alignment horizontal="left" vertical="center" wrapText="1"/>
      <protection hidden="1"/>
    </xf>
    <xf numFmtId="0" fontId="130" fillId="2" borderId="75" xfId="0" applyFont="1" applyFill="1" applyBorder="1" applyAlignment="1" applyProtection="1">
      <alignment horizontal="left" vertical="center" wrapText="1"/>
      <protection hidden="1"/>
    </xf>
    <xf numFmtId="0" fontId="130" fillId="2" borderId="79" xfId="0" applyFont="1" applyFill="1" applyBorder="1" applyAlignment="1" applyProtection="1">
      <alignment horizontal="left" vertical="center" wrapText="1"/>
      <protection hidden="1"/>
    </xf>
    <xf numFmtId="0" fontId="130" fillId="2" borderId="80" xfId="0" applyFont="1" applyFill="1" applyBorder="1" applyAlignment="1" applyProtection="1">
      <alignment horizontal="left" vertical="center" wrapText="1"/>
      <protection hidden="1"/>
    </xf>
    <xf numFmtId="0" fontId="130" fillId="2" borderId="81" xfId="0" applyFont="1" applyFill="1" applyBorder="1" applyAlignment="1" applyProtection="1">
      <alignment horizontal="left" vertical="center" wrapText="1"/>
      <protection hidden="1"/>
    </xf>
    <xf numFmtId="0" fontId="127" fillId="4" borderId="0" xfId="0" applyFont="1" applyFill="1" applyAlignment="1" applyProtection="1">
      <alignment horizontal="center" vertical="center"/>
      <protection hidden="1"/>
    </xf>
    <xf numFmtId="0" fontId="127" fillId="4" borderId="80" xfId="0" applyFont="1" applyFill="1" applyBorder="1" applyAlignment="1" applyProtection="1">
      <alignment horizontal="center" vertical="center"/>
      <protection hidden="1"/>
    </xf>
    <xf numFmtId="0" fontId="105" fillId="0" borderId="0" xfId="0" applyFont="1" applyAlignment="1" applyProtection="1">
      <alignment horizontal="center" vertical="center"/>
      <protection hidden="1"/>
    </xf>
    <xf numFmtId="1" fontId="106" fillId="13" borderId="74" xfId="0" applyNumberFormat="1" applyFont="1" applyFill="1" applyBorder="1" applyAlignment="1" applyProtection="1">
      <alignment horizontal="center" vertical="center"/>
      <protection hidden="1"/>
    </xf>
    <xf numFmtId="1" fontId="106" fillId="13" borderId="0" xfId="0" applyNumberFormat="1" applyFont="1" applyFill="1" applyAlignment="1" applyProtection="1">
      <alignment horizontal="center" vertical="center"/>
      <protection hidden="1"/>
    </xf>
    <xf numFmtId="1" fontId="106" fillId="13" borderId="0" xfId="0" applyNumberFormat="1" applyFont="1" applyFill="1" applyAlignment="1" applyProtection="1">
      <alignment horizontal="center"/>
      <protection hidden="1"/>
    </xf>
    <xf numFmtId="14" fontId="120" fillId="0" borderId="0" xfId="0" applyNumberFormat="1" applyFont="1" applyAlignment="1" applyProtection="1">
      <alignment horizontal="center" vertical="center"/>
      <protection locked="0"/>
    </xf>
    <xf numFmtId="14" fontId="112" fillId="0" borderId="0" xfId="0" applyNumberFormat="1" applyFont="1" applyAlignment="1" applyProtection="1">
      <alignment horizontal="center" vertical="center"/>
      <protection locked="0"/>
    </xf>
    <xf numFmtId="14" fontId="120" fillId="0" borderId="0" xfId="0" applyNumberFormat="1" applyFont="1" applyAlignment="1" applyProtection="1">
      <alignment horizontal="center" vertical="center" wrapText="1"/>
      <protection locked="0"/>
    </xf>
    <xf numFmtId="0" fontId="120" fillId="0" borderId="0" xfId="0" applyFont="1" applyAlignment="1" applyProtection="1">
      <alignment horizontal="center" vertical="center" wrapText="1"/>
      <protection locked="0"/>
    </xf>
    <xf numFmtId="0" fontId="91" fillId="0" borderId="74" xfId="0" applyFont="1" applyBorder="1" applyAlignment="1" applyProtection="1">
      <alignment horizontal="center" vertical="top" wrapText="1"/>
      <protection hidden="1"/>
    </xf>
    <xf numFmtId="0" fontId="91" fillId="0" borderId="0" xfId="0" applyFont="1" applyAlignment="1" applyProtection="1">
      <alignment horizontal="center" vertical="top" wrapText="1"/>
      <protection hidden="1"/>
    </xf>
    <xf numFmtId="0" fontId="101" fillId="0" borderId="0" xfId="0" applyFont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68" fillId="0" borderId="16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71" fillId="0" borderId="5" xfId="0" applyFont="1" applyBorder="1" applyAlignment="1" applyProtection="1">
      <alignment horizontal="center" vertical="center" wrapText="1"/>
      <protection hidden="1"/>
    </xf>
    <xf numFmtId="0" fontId="71" fillId="0" borderId="49" xfId="0" applyFont="1" applyBorder="1" applyAlignment="1" applyProtection="1">
      <alignment horizontal="center" vertical="center" wrapText="1"/>
      <protection hidden="1"/>
    </xf>
    <xf numFmtId="0" fontId="15" fillId="0" borderId="29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63" fillId="0" borderId="29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69" fillId="0" borderId="5" xfId="0" applyFont="1" applyBorder="1" applyAlignment="1" applyProtection="1">
      <alignment horizontal="center" vertical="center" wrapText="1"/>
      <protection hidden="1"/>
    </xf>
    <xf numFmtId="0" fontId="69" fillId="0" borderId="49" xfId="0" applyFont="1" applyBorder="1" applyAlignment="1" applyProtection="1">
      <alignment horizontal="center" vertical="center" wrapText="1"/>
      <protection hidden="1"/>
    </xf>
    <xf numFmtId="0" fontId="67" fillId="0" borderId="5" xfId="0" applyFont="1" applyBorder="1" applyAlignment="1" applyProtection="1">
      <alignment horizontal="center" vertical="center" wrapText="1"/>
      <protection hidden="1"/>
    </xf>
    <xf numFmtId="0" fontId="67" fillId="0" borderId="49" xfId="0" applyFont="1" applyBorder="1" applyAlignment="1" applyProtection="1">
      <alignment horizontal="center" vertical="center" wrapText="1"/>
      <protection hidden="1"/>
    </xf>
    <xf numFmtId="0" fontId="65" fillId="0" borderId="29" xfId="0" applyFont="1" applyBorder="1" applyAlignment="1">
      <alignment horizontal="center" vertical="center"/>
    </xf>
    <xf numFmtId="0" fontId="69" fillId="0" borderId="5" xfId="0" applyFont="1" applyBorder="1" applyAlignment="1" applyProtection="1">
      <alignment horizontal="center" vertical="center"/>
      <protection hidden="1"/>
    </xf>
    <xf numFmtId="0" fontId="69" fillId="0" borderId="49" xfId="0" applyFont="1" applyBorder="1" applyAlignment="1" applyProtection="1">
      <alignment horizontal="center" vertical="center"/>
      <protection hidden="1"/>
    </xf>
    <xf numFmtId="0" fontId="71" fillId="0" borderId="29" xfId="0" applyFont="1" applyBorder="1" applyAlignment="1" applyProtection="1">
      <alignment horizontal="center" vertical="center" wrapText="1"/>
      <protection hidden="1"/>
    </xf>
    <xf numFmtId="0" fontId="64" fillId="0" borderId="49" xfId="0" applyFont="1" applyBorder="1" applyAlignment="1">
      <alignment horizontal="center" vertical="center"/>
    </xf>
    <xf numFmtId="9" fontId="69" fillId="0" borderId="5" xfId="1" applyFont="1" applyBorder="1" applyAlignment="1" applyProtection="1">
      <alignment horizontal="center" vertical="center"/>
      <protection hidden="1"/>
    </xf>
    <xf numFmtId="0" fontId="68" fillId="0" borderId="5" xfId="0" applyFont="1" applyBorder="1" applyAlignment="1">
      <alignment horizontal="center" vertical="center"/>
    </xf>
    <xf numFmtId="0" fontId="63" fillId="0" borderId="49" xfId="0" applyFont="1" applyBorder="1" applyAlignment="1">
      <alignment horizontal="center" vertical="center"/>
    </xf>
    <xf numFmtId="0" fontId="72" fillId="0" borderId="29" xfId="0" applyFont="1" applyBorder="1" applyAlignment="1" applyProtection="1">
      <alignment horizontal="left" vertical="center" wrapText="1"/>
      <protection hidden="1"/>
    </xf>
    <xf numFmtId="0" fontId="72" fillId="0" borderId="5" xfId="0" applyFont="1" applyBorder="1" applyAlignment="1" applyProtection="1">
      <alignment horizontal="left" vertical="center" wrapText="1"/>
      <protection hidden="1"/>
    </xf>
    <xf numFmtId="0" fontId="72" fillId="0" borderId="6" xfId="0" applyFont="1" applyBorder="1" applyAlignment="1" applyProtection="1">
      <alignment horizontal="left" vertical="center" wrapText="1"/>
      <protection hidden="1"/>
    </xf>
    <xf numFmtId="0" fontId="67" fillId="0" borderId="29" xfId="0" applyFont="1" applyBorder="1" applyAlignment="1" applyProtection="1">
      <alignment horizontal="center"/>
      <protection hidden="1"/>
    </xf>
    <xf numFmtId="0" fontId="67" fillId="0" borderId="5" xfId="0" applyFont="1" applyBorder="1" applyAlignment="1" applyProtection="1">
      <alignment horizontal="center"/>
      <protection hidden="1"/>
    </xf>
    <xf numFmtId="9" fontId="67" fillId="0" borderId="5" xfId="1" applyFont="1" applyBorder="1" applyAlignment="1" applyProtection="1">
      <alignment horizontal="center"/>
      <protection hidden="1"/>
    </xf>
    <xf numFmtId="0" fontId="15" fillId="0" borderId="27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63" fillId="0" borderId="27" xfId="0" applyFont="1" applyBorder="1" applyAlignment="1">
      <alignment horizontal="center" vertical="center"/>
    </xf>
    <xf numFmtId="0" fontId="63" fillId="0" borderId="24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73" fillId="0" borderId="61" xfId="0" applyFont="1" applyBorder="1" applyAlignment="1" applyProtection="1">
      <alignment horizontal="left" vertical="center" wrapText="1"/>
      <protection hidden="1"/>
    </xf>
    <xf numFmtId="0" fontId="73" fillId="0" borderId="30" xfId="0" applyFont="1" applyBorder="1" applyAlignment="1" applyProtection="1">
      <alignment horizontal="left" vertical="center" wrapText="1"/>
      <protection hidden="1"/>
    </xf>
    <xf numFmtId="0" fontId="73" fillId="0" borderId="62" xfId="0" applyFont="1" applyBorder="1" applyAlignment="1" applyProtection="1">
      <alignment horizontal="left" vertical="center" wrapText="1"/>
      <protection hidden="1"/>
    </xf>
    <xf numFmtId="0" fontId="67" fillId="0" borderId="5" xfId="0" applyFont="1" applyBorder="1" applyAlignment="1" applyProtection="1">
      <alignment horizontal="center" vertical="center"/>
      <protection hidden="1"/>
    </xf>
    <xf numFmtId="0" fontId="67" fillId="0" borderId="49" xfId="0" applyFont="1" applyBorder="1" applyAlignment="1" applyProtection="1">
      <alignment horizontal="center" vertical="center"/>
      <protection hidden="1"/>
    </xf>
    <xf numFmtId="2" fontId="67" fillId="0" borderId="30" xfId="0" applyNumberFormat="1" applyFont="1" applyBorder="1" applyAlignment="1" applyProtection="1">
      <alignment horizontal="center" vertical="center" wrapText="1"/>
      <protection hidden="1"/>
    </xf>
    <xf numFmtId="2" fontId="67" fillId="0" borderId="50" xfId="0" applyNumberFormat="1" applyFont="1" applyBorder="1" applyAlignment="1" applyProtection="1">
      <alignment horizontal="center" vertical="center" wrapText="1"/>
      <protection hidden="1"/>
    </xf>
    <xf numFmtId="0" fontId="69" fillId="0" borderId="2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left" vertical="top"/>
    </xf>
    <xf numFmtId="0" fontId="65" fillId="0" borderId="52" xfId="0" applyFont="1" applyBorder="1" applyAlignment="1">
      <alignment horizontal="center" vertical="center"/>
    </xf>
    <xf numFmtId="0" fontId="65" fillId="0" borderId="53" xfId="0" applyFont="1" applyBorder="1" applyAlignment="1">
      <alignment horizontal="center" vertical="center"/>
    </xf>
    <xf numFmtId="0" fontId="65" fillId="0" borderId="57" xfId="0" applyFont="1" applyBorder="1" applyAlignment="1">
      <alignment horizontal="center" vertical="center"/>
    </xf>
    <xf numFmtId="0" fontId="70" fillId="0" borderId="5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0" fontId="70" fillId="0" borderId="17" xfId="0" applyFont="1" applyBorder="1" applyAlignment="1">
      <alignment horizontal="center" vertical="center"/>
    </xf>
    <xf numFmtId="0" fontId="71" fillId="0" borderId="5" xfId="0" applyFont="1" applyBorder="1" applyAlignment="1" applyProtection="1">
      <alignment horizontal="center" vertical="center"/>
      <protection hidden="1"/>
    </xf>
    <xf numFmtId="0" fontId="71" fillId="0" borderId="49" xfId="0" applyFont="1" applyBorder="1" applyAlignment="1" applyProtection="1">
      <alignment horizontal="center" vertical="center"/>
      <protection hidden="1"/>
    </xf>
    <xf numFmtId="9" fontId="71" fillId="0" borderId="5" xfId="1" applyFont="1" applyBorder="1" applyAlignment="1" applyProtection="1">
      <alignment horizontal="center" vertical="center" wrapText="1"/>
      <protection hidden="1"/>
    </xf>
    <xf numFmtId="0" fontId="65" fillId="0" borderId="49" xfId="0" applyFont="1" applyBorder="1" applyAlignment="1">
      <alignment horizontal="center" vertical="center"/>
    </xf>
    <xf numFmtId="2" fontId="71" fillId="0" borderId="30" xfId="0" applyNumberFormat="1" applyFont="1" applyBorder="1" applyAlignment="1" applyProtection="1">
      <alignment horizontal="center" vertical="center" wrapText="1"/>
      <protection hidden="1"/>
    </xf>
    <xf numFmtId="2" fontId="71" fillId="0" borderId="50" xfId="0" applyNumberFormat="1" applyFont="1" applyBorder="1" applyAlignment="1" applyProtection="1">
      <alignment horizontal="center" vertical="center" wrapText="1"/>
      <protection hidden="1"/>
    </xf>
    <xf numFmtId="0" fontId="67" fillId="0" borderId="63" xfId="0" applyFont="1" applyBorder="1" applyAlignment="1" applyProtection="1">
      <alignment horizontal="center" vertical="center" wrapText="1"/>
      <protection hidden="1"/>
    </xf>
    <xf numFmtId="0" fontId="67" fillId="0" borderId="59" xfId="0" applyFont="1" applyBorder="1" applyAlignment="1" applyProtection="1">
      <alignment horizontal="center" vertical="center" wrapText="1"/>
      <protection hidden="1"/>
    </xf>
    <xf numFmtId="0" fontId="67" fillId="0" borderId="60" xfId="0" applyFont="1" applyBorder="1" applyAlignment="1" applyProtection="1">
      <alignment horizontal="center" vertical="center" wrapText="1"/>
      <protection hidden="1"/>
    </xf>
    <xf numFmtId="0" fontId="64" fillId="0" borderId="63" xfId="0" applyFont="1" applyBorder="1" applyAlignment="1">
      <alignment horizontal="center" vertical="center"/>
    </xf>
    <xf numFmtId="0" fontId="64" fillId="0" borderId="59" xfId="0" applyFont="1" applyBorder="1" applyAlignment="1">
      <alignment horizontal="center" vertical="center"/>
    </xf>
    <xf numFmtId="0" fontId="64" fillId="0" borderId="60" xfId="0" applyFont="1" applyBorder="1" applyAlignment="1">
      <alignment horizontal="center" vertical="center"/>
    </xf>
    <xf numFmtId="0" fontId="71" fillId="0" borderId="63" xfId="0" applyFont="1" applyBorder="1" applyAlignment="1" applyProtection="1">
      <alignment horizontal="center" vertical="center" wrapText="1"/>
      <protection hidden="1"/>
    </xf>
    <xf numFmtId="0" fontId="71" fillId="0" borderId="59" xfId="0" applyFont="1" applyBorder="1" applyAlignment="1" applyProtection="1">
      <alignment horizontal="center" vertical="center" wrapText="1"/>
      <protection hidden="1"/>
    </xf>
    <xf numFmtId="0" fontId="71" fillId="0" borderId="60" xfId="0" applyFont="1" applyBorder="1" applyAlignment="1" applyProtection="1">
      <alignment horizontal="center" vertical="center" wrapText="1"/>
      <protection hidden="1"/>
    </xf>
    <xf numFmtId="0" fontId="74" fillId="0" borderId="0" xfId="0" applyFont="1" applyAlignment="1" applyProtection="1">
      <alignment horizontal="center" vertical="center"/>
      <protection locked="0"/>
    </xf>
    <xf numFmtId="0" fontId="74" fillId="0" borderId="0" xfId="0" applyFont="1" applyAlignment="1">
      <alignment horizontal="center" vertical="center"/>
    </xf>
    <xf numFmtId="0" fontId="75" fillId="0" borderId="0" xfId="0" applyFont="1" applyAlignment="1" applyProtection="1">
      <alignment horizontal="center" vertic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62"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4" tint="-0.2499465926084170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9" formatCode="mmmm"/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201083</xdr:colOff>
      <xdr:row>1</xdr:row>
      <xdr:rowOff>75965</xdr:rowOff>
    </xdr:from>
    <xdr:to>
      <xdr:col>2</xdr:col>
      <xdr:colOff>1142454</xdr:colOff>
      <xdr:row>4</xdr:row>
      <xdr:rowOff>190500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A14DE29-FDAC-4CB5-8CDC-7FC2ECB6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329965"/>
          <a:ext cx="941371" cy="855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232834</xdr:colOff>
      <xdr:row>1</xdr:row>
      <xdr:rowOff>86549</xdr:rowOff>
    </xdr:from>
    <xdr:to>
      <xdr:col>2</xdr:col>
      <xdr:colOff>1100668</xdr:colOff>
      <xdr:row>4</xdr:row>
      <xdr:rowOff>201084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FF23EE4-3B2F-4621-ACFF-EF0FAF64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4" y="340549"/>
          <a:ext cx="867834" cy="8553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201083</xdr:colOff>
      <xdr:row>1</xdr:row>
      <xdr:rowOff>75965</xdr:rowOff>
    </xdr:from>
    <xdr:to>
      <xdr:col>2</xdr:col>
      <xdr:colOff>1142454</xdr:colOff>
      <xdr:row>4</xdr:row>
      <xdr:rowOff>190500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2C99504-CAE6-43E2-9A34-C039DD3C9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33" y="333140"/>
          <a:ext cx="941371" cy="8574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232834</xdr:colOff>
      <xdr:row>1</xdr:row>
      <xdr:rowOff>86549</xdr:rowOff>
    </xdr:from>
    <xdr:to>
      <xdr:col>2</xdr:col>
      <xdr:colOff>1100668</xdr:colOff>
      <xdr:row>4</xdr:row>
      <xdr:rowOff>201084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C8EC14F-4A14-49D5-BA1E-6D9FB8679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4" y="343724"/>
          <a:ext cx="867834" cy="8574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232834</xdr:colOff>
      <xdr:row>1</xdr:row>
      <xdr:rowOff>86549</xdr:rowOff>
    </xdr:from>
    <xdr:to>
      <xdr:col>2</xdr:col>
      <xdr:colOff>1100668</xdr:colOff>
      <xdr:row>4</xdr:row>
      <xdr:rowOff>201084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420CCFE-EB38-40CD-BF3A-ABF0A25C8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4" y="343724"/>
          <a:ext cx="867834" cy="8574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232834</xdr:colOff>
      <xdr:row>1</xdr:row>
      <xdr:rowOff>86549</xdr:rowOff>
    </xdr:from>
    <xdr:to>
      <xdr:col>2</xdr:col>
      <xdr:colOff>1100668</xdr:colOff>
      <xdr:row>4</xdr:row>
      <xdr:rowOff>201084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6EEE3BA-A63B-47A2-9935-C9B6EDDF9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4" y="343724"/>
          <a:ext cx="867834" cy="8574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</xdr:row>
      <xdr:rowOff>171450</xdr:rowOff>
    </xdr:from>
    <xdr:to>
      <xdr:col>18</xdr:col>
      <xdr:colOff>876300</xdr:colOff>
      <xdr:row>3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021C929-40DE-46D3-A1B1-8FE4589EDB00}"/>
            </a:ext>
          </a:extLst>
        </xdr:cNvPr>
        <xdr:cNvSpPr/>
      </xdr:nvSpPr>
      <xdr:spPr>
        <a:xfrm>
          <a:off x="2247900" y="476250"/>
          <a:ext cx="68389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q-AL" sz="2400" b="1">
              <a:latin typeface="Times New Roman" panose="02020603050405020304" pitchFamily="18" charset="0"/>
              <a:cs typeface="Times New Roman" panose="02020603050405020304" pitchFamily="18" charset="0"/>
            </a:rPr>
            <a:t>SHFMU "EMIN DURAKU" KAÇANIK</a:t>
          </a:r>
          <a:endParaRPr lang="sq-XK" sz="2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258536</xdr:colOff>
      <xdr:row>1</xdr:row>
      <xdr:rowOff>171449</xdr:rowOff>
    </xdr:from>
    <xdr:to>
      <xdr:col>20</xdr:col>
      <xdr:colOff>27215</xdr:colOff>
      <xdr:row>3</xdr:row>
      <xdr:rowOff>190499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D814A0-FF58-42DF-B1BC-783FAB32C44D}"/>
            </a:ext>
          </a:extLst>
        </xdr:cNvPr>
        <xdr:cNvSpPr/>
      </xdr:nvSpPr>
      <xdr:spPr>
        <a:xfrm>
          <a:off x="2049236" y="647699"/>
          <a:ext cx="753155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q-AL" sz="3200" b="1">
              <a:latin typeface="Times New Roman" panose="02020603050405020304" pitchFamily="18" charset="0"/>
              <a:cs typeface="Times New Roman" panose="02020603050405020304" pitchFamily="18" charset="0"/>
            </a:rPr>
            <a:t>SHFMU "EMIN DURAKU" KAÇANIK</a:t>
          </a:r>
          <a:endParaRPr lang="sq-XK" sz="3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219075</xdr:colOff>
      <xdr:row>1</xdr:row>
      <xdr:rowOff>9526</xdr:rowOff>
    </xdr:from>
    <xdr:to>
      <xdr:col>23</xdr:col>
      <xdr:colOff>206375</xdr:colOff>
      <xdr:row>7</xdr:row>
      <xdr:rowOff>793750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C586DF-777E-4D91-81A0-30B395BB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17526"/>
          <a:ext cx="13147675" cy="2847974"/>
        </a:xfrm>
        <a:prstGeom prst="rect">
          <a:avLst/>
        </a:prstGeom>
      </xdr:spPr>
    </xdr:pic>
    <xdr:clientData/>
  </xdr:twoCellAnchor>
  <xdr:twoCellAnchor>
    <xdr:from>
      <xdr:col>5</xdr:col>
      <xdr:colOff>258536</xdr:colOff>
      <xdr:row>1</xdr:row>
      <xdr:rowOff>171449</xdr:rowOff>
    </xdr:from>
    <xdr:to>
      <xdr:col>20</xdr:col>
      <xdr:colOff>27215</xdr:colOff>
      <xdr:row>3</xdr:row>
      <xdr:rowOff>190499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4161E9-A99E-488B-9EAE-00A37FC70074}"/>
            </a:ext>
          </a:extLst>
        </xdr:cNvPr>
        <xdr:cNvSpPr/>
      </xdr:nvSpPr>
      <xdr:spPr>
        <a:xfrm>
          <a:off x="2258786" y="647699"/>
          <a:ext cx="734105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q-AL" sz="3200" b="1">
              <a:latin typeface="Times New Roman" panose="02020603050405020304" pitchFamily="18" charset="0"/>
              <a:cs typeface="Times New Roman" panose="02020603050405020304" pitchFamily="18" charset="0"/>
            </a:rPr>
            <a:t>SHFMU "EMIN DURAKU" KAÇANIK</a:t>
          </a:r>
          <a:endParaRPr lang="sq-XK" sz="3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258536</xdr:colOff>
      <xdr:row>1</xdr:row>
      <xdr:rowOff>171449</xdr:rowOff>
    </xdr:from>
    <xdr:to>
      <xdr:col>20</xdr:col>
      <xdr:colOff>27215</xdr:colOff>
      <xdr:row>3</xdr:row>
      <xdr:rowOff>190499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75444D-4A23-4A0D-BDFD-68F521D38E41}"/>
            </a:ext>
          </a:extLst>
        </xdr:cNvPr>
        <xdr:cNvSpPr/>
      </xdr:nvSpPr>
      <xdr:spPr>
        <a:xfrm>
          <a:off x="2258786" y="647699"/>
          <a:ext cx="734105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q-AL" sz="3200" b="1">
              <a:latin typeface="Times New Roman" panose="02020603050405020304" pitchFamily="18" charset="0"/>
              <a:cs typeface="Times New Roman" panose="02020603050405020304" pitchFamily="18" charset="0"/>
            </a:rPr>
            <a:t>SHFMU "EMIN DURAKU" KAÇANIK</a:t>
          </a:r>
          <a:endParaRPr lang="sq-XK" sz="3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258536</xdr:colOff>
      <xdr:row>1</xdr:row>
      <xdr:rowOff>171449</xdr:rowOff>
    </xdr:from>
    <xdr:to>
      <xdr:col>20</xdr:col>
      <xdr:colOff>27215</xdr:colOff>
      <xdr:row>3</xdr:row>
      <xdr:rowOff>190499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AFE6D23-2545-413A-9A27-775F723B2913}"/>
            </a:ext>
          </a:extLst>
        </xdr:cNvPr>
        <xdr:cNvSpPr/>
      </xdr:nvSpPr>
      <xdr:spPr>
        <a:xfrm>
          <a:off x="2258786" y="647699"/>
          <a:ext cx="734105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q-AL" sz="3200" b="1">
              <a:latin typeface="Times New Roman" panose="02020603050405020304" pitchFamily="18" charset="0"/>
              <a:cs typeface="Times New Roman" panose="02020603050405020304" pitchFamily="18" charset="0"/>
            </a:rPr>
            <a:t>SHFMU "EMIN DURAKU" KAÇANIK</a:t>
          </a:r>
          <a:endParaRPr lang="sq-XK" sz="3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28118</xdr:colOff>
      <xdr:row>0</xdr:row>
      <xdr:rowOff>31750</xdr:rowOff>
    </xdr:from>
    <xdr:to>
      <xdr:col>44</xdr:col>
      <xdr:colOff>199157</xdr:colOff>
      <xdr:row>9</xdr:row>
      <xdr:rowOff>38410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DF8F7B-5B37-DC71-0618-C50EFDBD8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7118" y="31750"/>
          <a:ext cx="1441039" cy="1689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363071</xdr:colOff>
      <xdr:row>3</xdr:row>
      <xdr:rowOff>80963</xdr:rowOff>
    </xdr:from>
    <xdr:to>
      <xdr:col>22</xdr:col>
      <xdr:colOff>247153</xdr:colOff>
      <xdr:row>22</xdr:row>
      <xdr:rowOff>22212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5DC457-E327-8D42-DB34-FB84CA3EA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7571" y="588963"/>
          <a:ext cx="3836957" cy="36242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53488</xdr:rowOff>
    </xdr:from>
    <xdr:to>
      <xdr:col>3</xdr:col>
      <xdr:colOff>822357</xdr:colOff>
      <xdr:row>8</xdr:row>
      <xdr:rowOff>59151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BB00C-0277-408B-EDD2-DEB92A34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53488"/>
          <a:ext cx="1330357" cy="1529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F8BE-0A82-4670-8407-27CBAF5FCD85}">
  <sheetPr>
    <tabColor theme="9" tint="-0.499984740745262"/>
  </sheetPr>
  <dimension ref="A1:V5"/>
  <sheetViews>
    <sheetView view="pageLayout" topLeftCell="A4" zoomScale="70" zoomScaleNormal="100" zoomScalePageLayoutView="70" workbookViewId="0">
      <selection activeCell="G13" sqref="G13"/>
    </sheetView>
  </sheetViews>
  <sheetFormatPr defaultRowHeight="12.75"/>
  <sheetData>
    <row r="1" spans="1:22" ht="26.25">
      <c r="A1" s="173" t="s">
        <v>31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</row>
    <row r="2" spans="1:22" ht="20.25" customHeight="1">
      <c r="A2" s="174" t="s">
        <v>107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</row>
    <row r="3" spans="1:22" ht="12.75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</row>
    <row r="4" spans="1:22" ht="352.5" customHeight="1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</row>
    <row r="5" spans="1:22" s="5" customFormat="1" ht="163.5" customHeight="1">
      <c r="A5" s="170" t="s">
        <v>108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2"/>
      <c r="S5"/>
      <c r="T5"/>
      <c r="U5"/>
      <c r="V5"/>
    </row>
  </sheetData>
  <sheetProtection sheet="1" objects="1" scenarios="1" selectLockedCells="1"/>
  <mergeCells count="3">
    <mergeCell ref="A5:R5"/>
    <mergeCell ref="A1:R1"/>
    <mergeCell ref="A2:R4"/>
  </mergeCells>
  <pageMargins left="0.22916666666666666" right="0.21875" top="0.75" bottom="0.75" header="0.3" footer="0.3"/>
  <pageSetup paperSize="9" scale="6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DBFD-CB62-4809-8B32-441DC6440A28}">
  <sheetPr>
    <tabColor rgb="FFFFFF00"/>
  </sheetPr>
  <dimension ref="A1:BR72"/>
  <sheetViews>
    <sheetView view="pageLayout" zoomScale="90" zoomScaleNormal="80" zoomScalePageLayoutView="90" workbookViewId="0">
      <selection activeCell="D5" sqref="D5:R5"/>
    </sheetView>
  </sheetViews>
  <sheetFormatPr defaultColWidth="3" defaultRowHeight="20.25" customHeight="1"/>
  <cols>
    <col min="1" max="1" width="4.5" customWidth="1"/>
    <col min="2" max="2" width="1.1640625" hidden="1" customWidth="1"/>
    <col min="3" max="3" width="22.1640625" customWidth="1"/>
    <col min="4" max="4" width="3.6640625" style="11" customWidth="1"/>
    <col min="5" max="5" width="3" customWidth="1"/>
    <col min="11" max="11" width="3.5" bestFit="1" customWidth="1"/>
    <col min="17" max="17" width="3.5" bestFit="1" customWidth="1"/>
    <col min="25" max="25" width="3.6640625" customWidth="1"/>
    <col min="27" max="27" width="4.83203125" customWidth="1"/>
    <col min="28" max="29" width="4" customWidth="1"/>
    <col min="37" max="37" width="2.33203125" customWidth="1"/>
    <col min="42" max="42" width="3.83203125" bestFit="1" customWidth="1"/>
    <col min="48" max="48" width="4.6640625" customWidth="1"/>
    <col min="49" max="49" width="3" customWidth="1"/>
    <col min="50" max="50" width="5.33203125" customWidth="1"/>
    <col min="51" max="51" width="4.33203125" customWidth="1"/>
    <col min="52" max="52" width="6.6640625" customWidth="1"/>
    <col min="53" max="53" width="7.1640625" style="4" hidden="1" customWidth="1"/>
    <col min="54" max="54" width="6.83203125" style="4" hidden="1" customWidth="1"/>
    <col min="55" max="56" width="5.6640625" style="4" hidden="1" customWidth="1"/>
    <col min="57" max="57" width="8.1640625" style="10" hidden="1" customWidth="1"/>
    <col min="58" max="58" width="6.1640625" style="4" hidden="1" customWidth="1"/>
    <col min="59" max="59" width="9.1640625" style="4" hidden="1" customWidth="1"/>
    <col min="60" max="60" width="6.33203125" style="4" hidden="1" customWidth="1"/>
    <col min="61" max="61" width="5.6640625" style="4" hidden="1" customWidth="1"/>
    <col min="62" max="62" width="6.5" style="11" hidden="1" customWidth="1"/>
    <col min="63" max="63" width="8.33203125" hidden="1" customWidth="1"/>
    <col min="64" max="64" width="8.6640625" hidden="1" customWidth="1"/>
    <col min="65" max="65" width="6.5" hidden="1" customWidth="1"/>
    <col min="66" max="66" width="5.1640625" hidden="1" customWidth="1"/>
    <col min="67" max="67" width="6.6640625" hidden="1" customWidth="1"/>
    <col min="68" max="68" width="6.1640625" hidden="1" customWidth="1"/>
    <col min="70" max="70" width="7" customWidth="1"/>
  </cols>
  <sheetData>
    <row r="1" spans="1:70" ht="20.25" customHeight="1">
      <c r="A1" s="248" t="s">
        <v>30</v>
      </c>
      <c r="B1" s="268" t="s">
        <v>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210" t="s">
        <v>7</v>
      </c>
      <c r="T1" s="211"/>
      <c r="U1" s="211"/>
      <c r="V1" s="211"/>
      <c r="W1" s="211"/>
      <c r="X1" s="212"/>
      <c r="Y1" s="177" t="s">
        <v>46</v>
      </c>
      <c r="Z1" s="177"/>
      <c r="AA1" s="177"/>
      <c r="AB1" s="177"/>
      <c r="AC1" s="177"/>
      <c r="AD1" s="177"/>
      <c r="AE1" s="177"/>
      <c r="AF1" s="178"/>
      <c r="AG1" s="179" t="s">
        <v>47</v>
      </c>
      <c r="AH1" s="180"/>
      <c r="AI1" s="180"/>
      <c r="AJ1" s="180"/>
      <c r="AK1" s="180"/>
      <c r="AL1" s="180"/>
      <c r="AM1" s="180"/>
      <c r="AN1" s="180"/>
      <c r="AO1" s="180"/>
      <c r="AP1" s="180"/>
      <c r="AQ1" s="181"/>
      <c r="AR1" s="182" t="s">
        <v>23</v>
      </c>
      <c r="AS1" s="183"/>
      <c r="AT1" s="183"/>
      <c r="AU1" s="183"/>
      <c r="AV1" s="183"/>
      <c r="AW1" s="183"/>
      <c r="AX1" s="183"/>
      <c r="AY1" s="183"/>
      <c r="AZ1" s="184"/>
    </row>
    <row r="2" spans="1:70" ht="20.25" customHeight="1">
      <c r="A2" s="248"/>
      <c r="B2" s="250"/>
      <c r="C2" s="250"/>
      <c r="D2" s="271" t="s">
        <v>9</v>
      </c>
      <c r="E2" s="272"/>
      <c r="F2" s="272"/>
      <c r="G2" s="272"/>
      <c r="H2" s="273"/>
      <c r="I2" s="225" t="s">
        <v>51</v>
      </c>
      <c r="J2" s="225"/>
      <c r="K2" s="225"/>
      <c r="L2" s="225"/>
      <c r="M2" s="267" t="s">
        <v>6</v>
      </c>
      <c r="N2" s="267"/>
      <c r="O2" s="267"/>
      <c r="P2" s="268" t="s">
        <v>134</v>
      </c>
      <c r="Q2" s="268"/>
      <c r="R2" s="269"/>
      <c r="S2" s="291" t="s">
        <v>43</v>
      </c>
      <c r="T2" s="292"/>
      <c r="U2" s="292"/>
      <c r="V2" s="292"/>
      <c r="W2" s="293"/>
      <c r="X2" s="264" t="s">
        <v>44</v>
      </c>
      <c r="Y2" s="254"/>
      <c r="Z2" s="254" t="s">
        <v>45</v>
      </c>
      <c r="AA2" s="254"/>
      <c r="AB2" s="30" t="s">
        <v>53</v>
      </c>
      <c r="AC2" s="30" t="s">
        <v>52</v>
      </c>
      <c r="AD2" s="285" t="s">
        <v>15</v>
      </c>
      <c r="AE2" s="285"/>
      <c r="AF2" s="286"/>
      <c r="AG2" s="295" t="s">
        <v>44</v>
      </c>
      <c r="AH2" s="296"/>
      <c r="AI2" s="296" t="s">
        <v>45</v>
      </c>
      <c r="AJ2" s="296"/>
      <c r="AK2" s="221" t="s">
        <v>53</v>
      </c>
      <c r="AL2" s="221"/>
      <c r="AM2" s="221" t="s">
        <v>52</v>
      </c>
      <c r="AN2" s="221"/>
      <c r="AO2" s="222" t="s">
        <v>15</v>
      </c>
      <c r="AP2" s="222"/>
      <c r="AQ2" s="223"/>
      <c r="AR2" s="229" t="s">
        <v>44</v>
      </c>
      <c r="AS2" s="230"/>
      <c r="AT2" s="312" t="s">
        <v>45</v>
      </c>
      <c r="AU2" s="312"/>
      <c r="AV2" s="31" t="s">
        <v>53</v>
      </c>
      <c r="AW2" s="206" t="s">
        <v>52</v>
      </c>
      <c r="AX2" s="206"/>
      <c r="AY2" s="196" t="s">
        <v>15</v>
      </c>
      <c r="AZ2" s="197"/>
      <c r="BA2" s="13"/>
      <c r="BE2" s="240" t="s">
        <v>40</v>
      </c>
      <c r="BJ2" s="240" t="s">
        <v>39</v>
      </c>
      <c r="BK2" s="240" t="s">
        <v>38</v>
      </c>
      <c r="BL2" s="240" t="s">
        <v>41</v>
      </c>
      <c r="BM2" s="240" t="s">
        <v>41</v>
      </c>
      <c r="BN2" s="240" t="s">
        <v>42</v>
      </c>
      <c r="BO2" s="240" t="s">
        <v>42</v>
      </c>
      <c r="BP2" s="240" t="s">
        <v>50</v>
      </c>
    </row>
    <row r="3" spans="1:70" ht="20.25" customHeight="1">
      <c r="A3" s="248"/>
      <c r="B3" s="250"/>
      <c r="C3" s="250"/>
      <c r="D3" s="274"/>
      <c r="E3" s="275"/>
      <c r="F3" s="275"/>
      <c r="G3" s="275"/>
      <c r="H3" s="276"/>
      <c r="I3" s="225"/>
      <c r="J3" s="225"/>
      <c r="K3" s="225"/>
      <c r="L3" s="225"/>
      <c r="M3" s="267"/>
      <c r="N3" s="267"/>
      <c r="O3" s="267"/>
      <c r="P3" s="268"/>
      <c r="Q3" s="268"/>
      <c r="R3" s="269"/>
      <c r="S3" s="258" t="s">
        <v>11</v>
      </c>
      <c r="T3" s="259"/>
      <c r="U3" s="259"/>
      <c r="V3" s="259"/>
      <c r="W3" s="260"/>
      <c r="X3" s="265">
        <f>COUNTIF($BM$13:$BM$72,"5")</f>
        <v>0</v>
      </c>
      <c r="Y3" s="266"/>
      <c r="Z3" s="255" t="e">
        <f>X3/$AD$3</f>
        <v>#DIV/0!</v>
      </c>
      <c r="AA3" s="255"/>
      <c r="AB3" s="30">
        <f>COUNTIFS($BM$13:$BM$72,"5",$D$13:$D$72,"M")</f>
        <v>0</v>
      </c>
      <c r="AC3" s="30">
        <f>COUNTIFS($BM$13:$BM$72,"5",$D$13:$D$72,"F")</f>
        <v>0</v>
      </c>
      <c r="AD3" s="287">
        <f>SUM(X3:Y7)</f>
        <v>0</v>
      </c>
      <c r="AE3" s="287"/>
      <c r="AF3" s="288"/>
      <c r="AG3" s="297">
        <f>COUNTIF($BN$13:$BN$71,"5")</f>
        <v>0</v>
      </c>
      <c r="AH3" s="298"/>
      <c r="AI3" s="305" t="e">
        <f>AG3/$AO$3</f>
        <v>#DIV/0!</v>
      </c>
      <c r="AJ3" s="305"/>
      <c r="AK3" s="221">
        <f>COUNTIFS($BN$13:$BN$72,"5",$D$13:$D$72,"M")</f>
        <v>0</v>
      </c>
      <c r="AL3" s="221"/>
      <c r="AM3" s="221">
        <f>COUNTIFS($BN$13:$BN$72,"5",$D$13:$D$72,"F")</f>
        <v>0</v>
      </c>
      <c r="AN3" s="221"/>
      <c r="AO3" s="213">
        <f>SUM(AG3:AH7)</f>
        <v>0</v>
      </c>
      <c r="AP3" s="213"/>
      <c r="AQ3" s="214"/>
      <c r="AR3" s="303">
        <f>COUNTIF($AZ$13:$AZ$72,"5")</f>
        <v>0</v>
      </c>
      <c r="AS3" s="304"/>
      <c r="AT3" s="313" t="e">
        <f>AR3/$AY$3</f>
        <v>#DIV/0!</v>
      </c>
      <c r="AU3" s="313"/>
      <c r="AV3" s="31">
        <f>COUNTIFS($AZ$13:$AZ$72,"5",$D$13:$D$72,"M")</f>
        <v>0</v>
      </c>
      <c r="AW3" s="206">
        <f>COUNTIFS($AZ$13:$AZ$72,"5",$D$13:$D$72,"f")</f>
        <v>0</v>
      </c>
      <c r="AX3" s="206"/>
      <c r="AY3" s="198">
        <f>SUM(AR3:AS7)</f>
        <v>0</v>
      </c>
      <c r="AZ3" s="199"/>
      <c r="BA3" s="16"/>
      <c r="BE3" s="240"/>
      <c r="BJ3" s="240"/>
      <c r="BK3" s="240"/>
      <c r="BL3" s="240"/>
      <c r="BM3" s="240"/>
      <c r="BN3" s="240"/>
      <c r="BO3" s="240"/>
      <c r="BP3" s="240"/>
    </row>
    <row r="4" spans="1:70" ht="18" customHeight="1">
      <c r="A4" s="248"/>
      <c r="B4" s="248"/>
      <c r="C4" s="248"/>
      <c r="D4" s="277" t="s">
        <v>29</v>
      </c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9"/>
      <c r="S4" s="258" t="s">
        <v>12</v>
      </c>
      <c r="T4" s="259"/>
      <c r="U4" s="259"/>
      <c r="V4" s="259"/>
      <c r="W4" s="260"/>
      <c r="X4" s="265">
        <f>COUNTIF($BM$13:$BM$72,"4")</f>
        <v>0</v>
      </c>
      <c r="Y4" s="266"/>
      <c r="Z4" s="256" t="e">
        <f>X4/$AD$3</f>
        <v>#DIV/0!</v>
      </c>
      <c r="AA4" s="256"/>
      <c r="AB4" s="30">
        <f>COUNTIFS($BM$13:$BM$72,"4",$D$13:$D$72,"M")</f>
        <v>0</v>
      </c>
      <c r="AC4" s="30">
        <f>COUNTIFS($BM$13:$BM$72,"4",$D$13:$D$72,"F")</f>
        <v>0</v>
      </c>
      <c r="AD4" s="289" t="s">
        <v>48</v>
      </c>
      <c r="AE4" s="289"/>
      <c r="AF4" s="290"/>
      <c r="AG4" s="297">
        <f>COUNTIF($BN$13:$BN$71,"4")</f>
        <v>0</v>
      </c>
      <c r="AH4" s="298"/>
      <c r="AI4" s="305" t="e">
        <f>AG4/$AO$3</f>
        <v>#DIV/0!</v>
      </c>
      <c r="AJ4" s="305"/>
      <c r="AK4" s="221">
        <f>COUNTIFS($BN$13:$BN$72,"4",$D$13:$D$72,"M")</f>
        <v>0</v>
      </c>
      <c r="AL4" s="221"/>
      <c r="AM4" s="221">
        <f>COUNTIFS($BN$13:$BN$72,"4",$D$13:$D$72,"F")</f>
        <v>0</v>
      </c>
      <c r="AN4" s="221"/>
      <c r="AO4" s="215" t="s">
        <v>48</v>
      </c>
      <c r="AP4" s="215"/>
      <c r="AQ4" s="216"/>
      <c r="AR4" s="303">
        <f>COUNTIF($AZ$13:$AZ$72,"4")</f>
        <v>0</v>
      </c>
      <c r="AS4" s="304"/>
      <c r="AT4" s="313" t="e">
        <f>AR4/$AY$3</f>
        <v>#DIV/0!</v>
      </c>
      <c r="AU4" s="313"/>
      <c r="AV4" s="31">
        <f>COUNTIFS($AZ$13:$AZ$72,"4",$D$13:$D$72,"M")</f>
        <v>0</v>
      </c>
      <c r="AW4" s="206">
        <f>COUNTIFS($AZ$13:$AZ$72,"4",$D$13:$D$72,"F")</f>
        <v>0</v>
      </c>
      <c r="AX4" s="206"/>
      <c r="AY4" s="200" t="s">
        <v>48</v>
      </c>
      <c r="AZ4" s="201"/>
      <c r="BA4" s="15"/>
      <c r="BE4" s="240"/>
      <c r="BJ4" s="240"/>
      <c r="BK4" s="240"/>
      <c r="BL4" s="240"/>
      <c r="BM4" s="240"/>
      <c r="BN4" s="240"/>
      <c r="BO4" s="240"/>
      <c r="BP4" s="240"/>
    </row>
    <row r="5" spans="1:70" ht="19.5" customHeight="1">
      <c r="A5" s="248"/>
      <c r="B5" s="248"/>
      <c r="C5" s="248"/>
      <c r="D5" s="280" t="s">
        <v>2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2"/>
      <c r="S5" s="258" t="s">
        <v>13</v>
      </c>
      <c r="T5" s="259"/>
      <c r="U5" s="259"/>
      <c r="V5" s="259"/>
      <c r="W5" s="260"/>
      <c r="X5" s="265">
        <f>COUNTIF($BM$13:$BM$72,"3")</f>
        <v>0</v>
      </c>
      <c r="Y5" s="266"/>
      <c r="Z5" s="256" t="e">
        <f>X5/$AD$3</f>
        <v>#DIV/0!</v>
      </c>
      <c r="AA5" s="256"/>
      <c r="AB5" s="30">
        <f>COUNTIFS($BM$13:$BM$72,"3",$D$13:$D$72,"M")</f>
        <v>0</v>
      </c>
      <c r="AC5" s="30">
        <f>COUNTIFS($BM$13:$BM$72,"3",$D$13:$D$72,"F")</f>
        <v>0</v>
      </c>
      <c r="AD5" s="319">
        <f>SUM(X3:Y6)</f>
        <v>0</v>
      </c>
      <c r="AE5" s="319"/>
      <c r="AF5" s="320"/>
      <c r="AG5" s="297">
        <f>COUNTIF($BN$13:$BN$71,"3")</f>
        <v>0</v>
      </c>
      <c r="AH5" s="298"/>
      <c r="AI5" s="305" t="e">
        <f>AG5/$AO$3</f>
        <v>#DIV/0!</v>
      </c>
      <c r="AJ5" s="305"/>
      <c r="AK5" s="221">
        <f>COUNTIFS($BN$13:$BN$72,"3",$D$13:$D$72,"M")</f>
        <v>0</v>
      </c>
      <c r="AL5" s="221"/>
      <c r="AM5" s="221">
        <f>COUNTIFS($BN$13:$BN$72,"3",$D$13:$D$72,"F")</f>
        <v>0</v>
      </c>
      <c r="AN5" s="221"/>
      <c r="AO5" s="217">
        <f>SUM(AG3:AH6)</f>
        <v>0</v>
      </c>
      <c r="AP5" s="217"/>
      <c r="AQ5" s="218"/>
      <c r="AR5" s="303">
        <f>COUNTIF($AZ$13:$AZ$72,"3")</f>
        <v>0</v>
      </c>
      <c r="AS5" s="304"/>
      <c r="AT5" s="313" t="e">
        <f>AR5/$AY$3</f>
        <v>#DIV/0!</v>
      </c>
      <c r="AU5" s="313"/>
      <c r="AV5" s="31">
        <f>COUNTIFS($AZ$13:$AZ$72,"3",$D$13:$D$72,"M")</f>
        <v>0</v>
      </c>
      <c r="AW5" s="206">
        <f>COUNTIFS($AZ$13:$AZ$72,"3",$D$13:$D$72,"F")</f>
        <v>0</v>
      </c>
      <c r="AX5" s="206"/>
      <c r="AY5" s="202">
        <f>SUM(AQ3:AR6)</f>
        <v>0</v>
      </c>
      <c r="AZ5" s="203"/>
      <c r="BA5" s="14"/>
      <c r="BE5" s="240"/>
      <c r="BJ5" s="240"/>
      <c r="BK5" s="240"/>
      <c r="BL5" s="240"/>
      <c r="BM5" s="240"/>
      <c r="BN5" s="240"/>
      <c r="BO5" s="240"/>
      <c r="BP5" s="240"/>
    </row>
    <row r="6" spans="1:70" ht="17.25" customHeight="1">
      <c r="A6" s="241" t="s">
        <v>3</v>
      </c>
      <c r="B6" s="241"/>
      <c r="C6" s="241"/>
      <c r="D6" s="242" t="s">
        <v>4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58" t="s">
        <v>14</v>
      </c>
      <c r="T6" s="259"/>
      <c r="U6" s="259"/>
      <c r="V6" s="259"/>
      <c r="W6" s="260"/>
      <c r="X6" s="265">
        <f>COUNTIF($BM$13:$BM$72,"2")</f>
        <v>0</v>
      </c>
      <c r="Y6" s="266"/>
      <c r="Z6" s="255" t="e">
        <f>X6/$AD$3</f>
        <v>#DIV/0!</v>
      </c>
      <c r="AA6" s="255"/>
      <c r="AB6" s="30">
        <f>COUNTIFS($BM$13:$BM$72,"2",$D$13:$D$72,"M")</f>
        <v>0</v>
      </c>
      <c r="AC6" s="30">
        <f>COUNTIFS($BM$13:$BM$72,"2",$D$13:$D$72,"F")</f>
        <v>0</v>
      </c>
      <c r="AD6" s="289" t="s">
        <v>49</v>
      </c>
      <c r="AE6" s="289"/>
      <c r="AF6" s="290"/>
      <c r="AG6" s="297">
        <f>COUNTIF($BN$13:$BN$71,"2")</f>
        <v>0</v>
      </c>
      <c r="AH6" s="298"/>
      <c r="AI6" s="305" t="e">
        <f>AG6/$AO$3</f>
        <v>#DIV/0!</v>
      </c>
      <c r="AJ6" s="305"/>
      <c r="AK6" s="221">
        <f>COUNTIFS($BN$13:$BN$72,"2",$D$13:$D$72,"M")</f>
        <v>0</v>
      </c>
      <c r="AL6" s="221"/>
      <c r="AM6" s="221">
        <f>COUNTIFS($BN$13:$BN$72,"2",$D$13:$D$72,"F")</f>
        <v>0</v>
      </c>
      <c r="AN6" s="221"/>
      <c r="AO6" s="215" t="s">
        <v>49</v>
      </c>
      <c r="AP6" s="215"/>
      <c r="AQ6" s="216"/>
      <c r="AR6" s="303">
        <f>COUNTIF($AZ$13:$AZ$72,"2")</f>
        <v>0</v>
      </c>
      <c r="AS6" s="304"/>
      <c r="AT6" s="313" t="e">
        <f>AR6/$AY$3</f>
        <v>#DIV/0!</v>
      </c>
      <c r="AU6" s="313"/>
      <c r="AV6" s="31">
        <f>COUNTIFS($AZ$13:$AZ$72,"2",$D$13:$D$72,"M")</f>
        <v>0</v>
      </c>
      <c r="AW6" s="206">
        <f>COUNTIFS($AZ$13:$AZ$72,"2",$D$13:$D$72,"F")</f>
        <v>0</v>
      </c>
      <c r="AX6" s="206"/>
      <c r="AY6" s="200" t="s">
        <v>49</v>
      </c>
      <c r="AZ6" s="201"/>
      <c r="BA6" s="15"/>
      <c r="BE6" s="240"/>
      <c r="BJ6" s="240"/>
      <c r="BK6" s="240"/>
      <c r="BL6" s="240"/>
      <c r="BM6" s="240"/>
      <c r="BN6" s="240"/>
      <c r="BO6" s="240"/>
      <c r="BP6" s="240"/>
    </row>
    <row r="7" spans="1:70" ht="16.5" customHeight="1" thickBot="1">
      <c r="A7" s="241"/>
      <c r="B7" s="241"/>
      <c r="C7" s="241"/>
      <c r="D7" s="245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  <c r="S7" s="261" t="s">
        <v>21</v>
      </c>
      <c r="T7" s="262"/>
      <c r="U7" s="262"/>
      <c r="V7" s="262"/>
      <c r="W7" s="263"/>
      <c r="X7" s="283">
        <f>COUNTIF($BM$13:$BM$72,"1")</f>
        <v>0</v>
      </c>
      <c r="Y7" s="284"/>
      <c r="Z7" s="257" t="e">
        <f>X7/$AD$3</f>
        <v>#DIV/0!</v>
      </c>
      <c r="AA7" s="257"/>
      <c r="AB7" s="30">
        <f>COUNTIFS($BM$13:$BM$72,"1",$D$13:$D$72,"M")</f>
        <v>0</v>
      </c>
      <c r="AC7" s="30">
        <f>COUNTIFS($BM$13:$BM$72,"1",$D$13:$D$72,"F")</f>
        <v>0</v>
      </c>
      <c r="AD7" s="317">
        <f>X7</f>
        <v>0</v>
      </c>
      <c r="AE7" s="317"/>
      <c r="AF7" s="318"/>
      <c r="AG7" s="315">
        <f>COUNTIF($BN$13:$BN$71,"1")</f>
        <v>0</v>
      </c>
      <c r="AH7" s="316"/>
      <c r="AI7" s="294" t="e">
        <f>AG7/$AO$3</f>
        <v>#DIV/0!</v>
      </c>
      <c r="AJ7" s="294"/>
      <c r="AK7" s="270">
        <f>COUNTIFS($BN$13:$BN$72,"1",$D$13:$D$72,"M")</f>
        <v>0</v>
      </c>
      <c r="AL7" s="270"/>
      <c r="AM7" s="270">
        <f>COUNTIFS($BN$13:$BN$72,"1",$D$13:$D$72,"F")</f>
        <v>0</v>
      </c>
      <c r="AN7" s="270"/>
      <c r="AO7" s="219">
        <f>AG7</f>
        <v>0</v>
      </c>
      <c r="AP7" s="219"/>
      <c r="AQ7" s="220"/>
      <c r="AR7" s="310">
        <f>COUNTIF($AZ$13:$AZ$72,"1")</f>
        <v>0</v>
      </c>
      <c r="AS7" s="311"/>
      <c r="AT7" s="314" t="e">
        <f>AR7/$AY$3</f>
        <v>#DIV/0!</v>
      </c>
      <c r="AU7" s="314"/>
      <c r="AV7" s="33">
        <f>COUNTIFS($AZ$13:$AZ$72,"1",$D$13:$D$72,"M")</f>
        <v>0</v>
      </c>
      <c r="AW7" s="207">
        <f>COUNTIFS($AZ$13:$AZ$72,"1",$D$13:$D$72,"F")</f>
        <v>0</v>
      </c>
      <c r="AX7" s="207"/>
      <c r="AY7" s="204">
        <f>AR7</f>
        <v>0</v>
      </c>
      <c r="AZ7" s="205"/>
      <c r="BA7" s="14"/>
      <c r="BE7" s="240"/>
      <c r="BJ7" s="240"/>
      <c r="BK7" s="240"/>
      <c r="BL7" s="240"/>
      <c r="BM7" s="240"/>
      <c r="BN7" s="240"/>
      <c r="BO7" s="240"/>
      <c r="BP7" s="240"/>
    </row>
    <row r="8" spans="1:70" ht="17.25" customHeight="1" thickBot="1">
      <c r="A8" s="249" t="s">
        <v>22</v>
      </c>
      <c r="B8" s="249"/>
      <c r="C8" s="249"/>
      <c r="D8" s="237" t="s">
        <v>5</v>
      </c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185" t="s">
        <v>55</v>
      </c>
      <c r="T8" s="186"/>
      <c r="U8" s="186"/>
      <c r="V8" s="186"/>
      <c r="W8" s="186"/>
      <c r="X8" s="186"/>
      <c r="Y8" s="186"/>
      <c r="Z8" s="186"/>
      <c r="AA8" s="186"/>
      <c r="AB8" s="186"/>
      <c r="AC8" s="187"/>
      <c r="AD8" s="251" t="e">
        <f>AVERAGEIF(BL13:BL72,"&gt;=1")</f>
        <v>#DIV/0!</v>
      </c>
      <c r="AE8" s="252"/>
      <c r="AF8" s="253"/>
      <c r="AG8" s="188" t="s">
        <v>54</v>
      </c>
      <c r="AH8" s="189"/>
      <c r="AI8" s="189"/>
      <c r="AJ8" s="189"/>
      <c r="AK8" s="189"/>
      <c r="AL8" s="189"/>
      <c r="AM8" s="189"/>
      <c r="AN8" s="190"/>
      <c r="AO8" s="226" t="e">
        <f>AVERAGEIF(BO13:BO72,"&gt;=1")</f>
        <v>#DIV/0!</v>
      </c>
      <c r="AP8" s="227"/>
      <c r="AQ8" s="228"/>
      <c r="AR8" s="193" t="s">
        <v>24</v>
      </c>
      <c r="AS8" s="194"/>
      <c r="AT8" s="194"/>
      <c r="AU8" s="194"/>
      <c r="AV8" s="194"/>
      <c r="AW8" s="194"/>
      <c r="AX8" s="195"/>
      <c r="AY8" s="191" t="e">
        <f>AVERAGEIF(BK13:BK72,"&gt;=1")</f>
        <v>#DIV/0!</v>
      </c>
      <c r="AZ8" s="192"/>
      <c r="BA8" s="14"/>
      <c r="BE8" s="240"/>
      <c r="BJ8" s="240"/>
      <c r="BK8" s="240"/>
      <c r="BL8" s="240"/>
      <c r="BM8" s="240"/>
      <c r="BN8" s="240"/>
      <c r="BO8" s="240"/>
      <c r="BP8" s="240"/>
    </row>
    <row r="9" spans="1:70" ht="15.75" customHeight="1">
      <c r="A9" s="347" t="s">
        <v>28</v>
      </c>
      <c r="B9" s="347"/>
      <c r="C9" s="348"/>
      <c r="D9" s="356" t="s">
        <v>56</v>
      </c>
      <c r="E9" s="235" t="s">
        <v>7</v>
      </c>
      <c r="F9" s="301" t="s">
        <v>27</v>
      </c>
      <c r="G9" s="301"/>
      <c r="H9" s="301"/>
      <c r="I9" s="301"/>
      <c r="J9" s="301"/>
      <c r="K9" s="352" t="s">
        <v>1</v>
      </c>
      <c r="L9" s="340" t="s">
        <v>26</v>
      </c>
      <c r="M9" s="341"/>
      <c r="N9" s="341"/>
      <c r="O9" s="341"/>
      <c r="P9" s="342"/>
      <c r="Q9" s="352" t="s">
        <v>1</v>
      </c>
      <c r="R9" s="224" t="s">
        <v>25</v>
      </c>
      <c r="S9" s="224"/>
      <c r="T9" s="224"/>
      <c r="U9" s="224"/>
      <c r="V9" s="224"/>
      <c r="W9" s="352" t="s">
        <v>1</v>
      </c>
      <c r="X9" s="224" t="s">
        <v>10</v>
      </c>
      <c r="Y9" s="224"/>
      <c r="Z9" s="352" t="s">
        <v>1</v>
      </c>
      <c r="AA9" s="306" t="s">
        <v>34</v>
      </c>
      <c r="AB9" s="365" t="s">
        <v>58</v>
      </c>
      <c r="AC9" s="301" t="s">
        <v>27</v>
      </c>
      <c r="AD9" s="301"/>
      <c r="AE9" s="301"/>
      <c r="AF9" s="301"/>
      <c r="AG9" s="301"/>
      <c r="AH9" s="299" t="s">
        <v>1</v>
      </c>
      <c r="AI9" s="301" t="s">
        <v>26</v>
      </c>
      <c r="AJ9" s="301"/>
      <c r="AK9" s="301"/>
      <c r="AL9" s="301"/>
      <c r="AM9" s="301"/>
      <c r="AN9" s="299" t="s">
        <v>1</v>
      </c>
      <c r="AO9" s="224" t="s">
        <v>25</v>
      </c>
      <c r="AP9" s="224"/>
      <c r="AQ9" s="224"/>
      <c r="AR9" s="224"/>
      <c r="AS9" s="224"/>
      <c r="AT9" s="299" t="s">
        <v>1</v>
      </c>
      <c r="AU9" s="224" t="s">
        <v>10</v>
      </c>
      <c r="AV9" s="224"/>
      <c r="AW9" s="299" t="s">
        <v>1</v>
      </c>
      <c r="AX9" s="306" t="s">
        <v>33</v>
      </c>
      <c r="AY9" s="308" t="s">
        <v>32</v>
      </c>
      <c r="AZ9" s="363" t="s">
        <v>36</v>
      </c>
      <c r="BE9" s="240"/>
      <c r="BJ9" s="240"/>
      <c r="BK9" s="240"/>
      <c r="BL9" s="240"/>
      <c r="BM9" s="240"/>
      <c r="BN9" s="240"/>
      <c r="BO9" s="240"/>
      <c r="BP9" s="240"/>
    </row>
    <row r="10" spans="1:70" ht="18" customHeight="1">
      <c r="A10" s="349"/>
      <c r="B10" s="349"/>
      <c r="C10" s="350"/>
      <c r="D10" s="357"/>
      <c r="E10" s="235"/>
      <c r="F10" s="302"/>
      <c r="G10" s="302"/>
      <c r="H10" s="302"/>
      <c r="I10" s="302"/>
      <c r="J10" s="302"/>
      <c r="K10" s="352"/>
      <c r="L10" s="340"/>
      <c r="M10" s="341"/>
      <c r="N10" s="341"/>
      <c r="O10" s="341"/>
      <c r="P10" s="342"/>
      <c r="Q10" s="352"/>
      <c r="R10" s="225"/>
      <c r="S10" s="225"/>
      <c r="T10" s="225"/>
      <c r="U10" s="225"/>
      <c r="V10" s="225"/>
      <c r="W10" s="352"/>
      <c r="X10" s="225"/>
      <c r="Y10" s="225"/>
      <c r="Z10" s="352"/>
      <c r="AA10" s="307"/>
      <c r="AB10" s="365"/>
      <c r="AC10" s="302"/>
      <c r="AD10" s="302"/>
      <c r="AE10" s="302"/>
      <c r="AF10" s="302"/>
      <c r="AG10" s="302"/>
      <c r="AH10" s="300"/>
      <c r="AI10" s="302"/>
      <c r="AJ10" s="302"/>
      <c r="AK10" s="302"/>
      <c r="AL10" s="302"/>
      <c r="AM10" s="302"/>
      <c r="AN10" s="300"/>
      <c r="AO10" s="225"/>
      <c r="AP10" s="225"/>
      <c r="AQ10" s="225"/>
      <c r="AR10" s="225"/>
      <c r="AS10" s="225"/>
      <c r="AT10" s="300"/>
      <c r="AU10" s="225"/>
      <c r="AV10" s="225"/>
      <c r="AW10" s="300"/>
      <c r="AX10" s="307"/>
      <c r="AY10" s="309"/>
      <c r="AZ10" s="363"/>
      <c r="BE10" s="240"/>
      <c r="BJ10" s="240"/>
      <c r="BK10" s="240"/>
      <c r="BL10" s="240"/>
      <c r="BM10" s="240"/>
      <c r="BN10" s="240"/>
      <c r="BO10" s="240"/>
      <c r="BP10" s="240"/>
    </row>
    <row r="11" spans="1:70" ht="18" customHeight="1">
      <c r="A11" s="334" t="s">
        <v>8</v>
      </c>
      <c r="B11" s="359" t="s">
        <v>35</v>
      </c>
      <c r="C11" s="360"/>
      <c r="D11" s="357"/>
      <c r="E11" s="235"/>
      <c r="F11" s="302"/>
      <c r="G11" s="302"/>
      <c r="H11" s="302"/>
      <c r="I11" s="302"/>
      <c r="J11" s="302"/>
      <c r="K11" s="352"/>
      <c r="L11" s="343"/>
      <c r="M11" s="344"/>
      <c r="N11" s="344"/>
      <c r="O11" s="344"/>
      <c r="P11" s="345"/>
      <c r="Q11" s="352"/>
      <c r="R11" s="225"/>
      <c r="S11" s="225"/>
      <c r="T11" s="225"/>
      <c r="U11" s="225"/>
      <c r="V11" s="225"/>
      <c r="W11" s="352"/>
      <c r="X11" s="225"/>
      <c r="Y11" s="225"/>
      <c r="Z11" s="352"/>
      <c r="AA11" s="307"/>
      <c r="AB11" s="365"/>
      <c r="AC11" s="302"/>
      <c r="AD11" s="302"/>
      <c r="AE11" s="302"/>
      <c r="AF11" s="302"/>
      <c r="AG11" s="302"/>
      <c r="AH11" s="300"/>
      <c r="AI11" s="302"/>
      <c r="AJ11" s="302"/>
      <c r="AK11" s="302"/>
      <c r="AL11" s="302"/>
      <c r="AM11" s="302"/>
      <c r="AN11" s="300"/>
      <c r="AO11" s="225"/>
      <c r="AP11" s="225"/>
      <c r="AQ11" s="225"/>
      <c r="AR11" s="225"/>
      <c r="AS11" s="225"/>
      <c r="AT11" s="300"/>
      <c r="AU11" s="225"/>
      <c r="AV11" s="225"/>
      <c r="AW11" s="300"/>
      <c r="AX11" s="307"/>
      <c r="AY11" s="309"/>
      <c r="AZ11" s="363"/>
      <c r="BE11" s="240"/>
      <c r="BJ11" s="240"/>
      <c r="BK11" s="240"/>
      <c r="BL11" s="240"/>
      <c r="BM11" s="240"/>
      <c r="BN11" s="240"/>
      <c r="BO11" s="240"/>
      <c r="BP11" s="240"/>
    </row>
    <row r="12" spans="1:70" ht="24.75" customHeight="1">
      <c r="A12" s="335"/>
      <c r="B12" s="361"/>
      <c r="C12" s="362"/>
      <c r="D12" s="358"/>
      <c r="E12" s="236"/>
      <c r="F12" s="346">
        <v>0.25</v>
      </c>
      <c r="G12" s="346"/>
      <c r="H12" s="346"/>
      <c r="I12" s="346"/>
      <c r="J12" s="346"/>
      <c r="K12" s="299"/>
      <c r="L12" s="346">
        <v>0.15</v>
      </c>
      <c r="M12" s="346"/>
      <c r="N12" s="346"/>
      <c r="O12" s="346"/>
      <c r="P12" s="346"/>
      <c r="Q12" s="299"/>
      <c r="R12" s="346">
        <v>0.3</v>
      </c>
      <c r="S12" s="346"/>
      <c r="T12" s="346"/>
      <c r="U12" s="346"/>
      <c r="V12" s="346"/>
      <c r="W12" s="299"/>
      <c r="X12" s="351">
        <v>0.3</v>
      </c>
      <c r="Y12" s="351"/>
      <c r="Z12" s="299"/>
      <c r="AA12" s="32">
        <f>F12+L12+R12+X12</f>
        <v>1</v>
      </c>
      <c r="AB12" s="365"/>
      <c r="AC12" s="346">
        <v>0.25</v>
      </c>
      <c r="AD12" s="346"/>
      <c r="AE12" s="346"/>
      <c r="AF12" s="346"/>
      <c r="AG12" s="346"/>
      <c r="AH12" s="300"/>
      <c r="AI12" s="346">
        <v>0.15</v>
      </c>
      <c r="AJ12" s="346"/>
      <c r="AK12" s="346"/>
      <c r="AL12" s="346"/>
      <c r="AM12" s="346"/>
      <c r="AN12" s="300"/>
      <c r="AO12" s="346">
        <v>0.3</v>
      </c>
      <c r="AP12" s="346"/>
      <c r="AQ12" s="346"/>
      <c r="AR12" s="346"/>
      <c r="AS12" s="346"/>
      <c r="AT12" s="300"/>
      <c r="AU12" s="351">
        <v>0.3</v>
      </c>
      <c r="AV12" s="351"/>
      <c r="AW12" s="300"/>
      <c r="AX12" s="34">
        <f>AC12+AI12+AO12+AU12</f>
        <v>1</v>
      </c>
      <c r="AY12" s="309"/>
      <c r="AZ12" s="364"/>
      <c r="BE12" s="240"/>
      <c r="BJ12" s="240"/>
      <c r="BK12" s="240"/>
      <c r="BL12" s="240"/>
      <c r="BM12" s="240"/>
      <c r="BN12" s="240"/>
      <c r="BO12" s="240"/>
      <c r="BP12" s="240"/>
    </row>
    <row r="13" spans="1:70" ht="18.75" customHeight="1">
      <c r="A13" s="336">
        <v>1</v>
      </c>
      <c r="B13" s="338"/>
      <c r="C13" s="339"/>
      <c r="D13" s="225"/>
      <c r="E13" s="19">
        <v>1</v>
      </c>
      <c r="F13" s="17"/>
      <c r="G13" s="17"/>
      <c r="H13" s="17"/>
      <c r="I13" s="17"/>
      <c r="J13" s="17"/>
      <c r="K13" s="8" t="e">
        <f>AVERAGE(F13:J13)</f>
        <v>#DIV/0!</v>
      </c>
      <c r="L13" s="17"/>
      <c r="M13" s="17"/>
      <c r="N13" s="17"/>
      <c r="O13" s="17"/>
      <c r="P13" s="17"/>
      <c r="Q13" s="9" t="e">
        <f>AVERAGE(L13:P13)</f>
        <v>#DIV/0!</v>
      </c>
      <c r="R13" s="17"/>
      <c r="S13" s="17"/>
      <c r="T13" s="17"/>
      <c r="U13" s="17"/>
      <c r="V13" s="17"/>
      <c r="W13" s="9" t="e">
        <f>AVERAGE(R13:V13)</f>
        <v>#DIV/0!</v>
      </c>
      <c r="X13" s="233"/>
      <c r="Y13" s="234"/>
      <c r="Z13" s="9" t="str">
        <f>IF(X13&gt;=85,"5",IF(X13&gt;=65,"4",IF(X13&gt;=55,"3",IF(X13&gt;=40,"2",IF(X13&gt;=1,"1",IF(X13&gt;="","0"))))))</f>
        <v>0</v>
      </c>
      <c r="AA13" s="7" t="e">
        <f t="shared" ref="AA13:AA72" si="0">IF(BE13&gt;=4.5, " 5 ", IF(BE13&gt;=3.5," 4 ",IF(BE13&gt;=2.5," 3  ",IF(BE13&gt;=1.5," 2 ",IF(BE13&gt;=1,"1 ",IF(BE13&gt;=0,"0"))))))</f>
        <v>#DIV/0!</v>
      </c>
      <c r="AB13" s="365"/>
      <c r="AC13" s="17"/>
      <c r="AD13" s="17"/>
      <c r="AE13" s="17"/>
      <c r="AF13" s="17"/>
      <c r="AG13" s="17"/>
      <c r="AH13" s="9" t="e">
        <f>AVERAGE(AC13:AG13)</f>
        <v>#DIV/0!</v>
      </c>
      <c r="AI13" s="17"/>
      <c r="AJ13" s="17"/>
      <c r="AK13" s="17"/>
      <c r="AL13" s="17"/>
      <c r="AM13" s="17"/>
      <c r="AN13" s="9" t="e">
        <f>AVERAGE(AI13:AM13)</f>
        <v>#DIV/0!</v>
      </c>
      <c r="AO13" s="17"/>
      <c r="AP13" s="17"/>
      <c r="AQ13" s="17"/>
      <c r="AR13" s="17"/>
      <c r="AS13" s="17"/>
      <c r="AT13" s="9" t="e">
        <f>AVERAGE(AO13:AS13)</f>
        <v>#DIV/0!</v>
      </c>
      <c r="AU13" s="208"/>
      <c r="AV13" s="209"/>
      <c r="AW13" s="9" t="str">
        <f>IF(AU13&gt;=85,"5",IF(AU13&gt;=65,"4",IF(AU13&gt;=55,"3",IF(AU13&gt;=40,"2",IF(AU13&gt;=1,"1",IF(AU13&gt;="","0"))))))</f>
        <v>0</v>
      </c>
      <c r="AX13" s="7" t="e">
        <f t="shared" ref="AX13:AX72" si="1">IF(BJ13&gt;=4.5, " 5 ", IF(BJ13&gt;=3.5," 4 ",IF(BJ13&gt;=2.5," 3  ",IF(BJ13&gt;=1.5," 2 ",IF(BJ13&gt;=1,"1 ",IF(BJ13&gt;=0,"0"))))))</f>
        <v>#DIV/0!</v>
      </c>
      <c r="AY13" s="18" t="e">
        <f>IF(BK13&gt;=4.5, " 5 ", IF(BK13&gt;=3.5," 4 ",IF(BK13&gt;=2.5," 3  ",IF(BK13&gt;=1.5," 2 ",IF(BK13&gt;=1,"1 ",IF(BK13&gt;=0,"0"))))))</f>
        <v>#DIV/0!</v>
      </c>
      <c r="AZ13" s="231" t="e">
        <f>IF(BP13&gt;=4.5, " 5 ", IF(BP13&gt;=3.5," 4 ",IF(BP13&gt;=2.5," 3  ",IF(BP13&gt;=1.5," 2 ",IF(BP13&gt;=1,"1 ",IF(BP13&gt;=0,"0"))))))</f>
        <v>#DIV/0!</v>
      </c>
      <c r="BA13" s="4" t="e">
        <f t="shared" ref="BA13:BA72" si="2">$K13*$F$12</f>
        <v>#DIV/0!</v>
      </c>
      <c r="BB13" s="4" t="e">
        <f>Q13*L12</f>
        <v>#DIV/0!</v>
      </c>
      <c r="BC13" s="4" t="e">
        <f>$W13*$R$12</f>
        <v>#DIV/0!</v>
      </c>
      <c r="BD13" s="4">
        <f>$Z13*$X$12</f>
        <v>0</v>
      </c>
      <c r="BE13" s="12" t="e">
        <f t="shared" ref="BE13:BE44" si="3">BA13+BB13+BC13+BD13</f>
        <v>#DIV/0!</v>
      </c>
      <c r="BF13" s="4" t="e">
        <f>$AH13*$AC$12</f>
        <v>#DIV/0!</v>
      </c>
      <c r="BG13" s="4" t="e">
        <f>$AN13*$AI$12</f>
        <v>#DIV/0!</v>
      </c>
      <c r="BH13" s="4" t="e">
        <f>$AT13*$AO$12</f>
        <v>#DIV/0!</v>
      </c>
      <c r="BI13" s="4">
        <f>$AW13*$AU$12</f>
        <v>0</v>
      </c>
      <c r="BJ13" s="12" t="e">
        <f t="shared" ref="BJ13:BJ44" si="4">(BF13+BG13+BH13+BI13)</f>
        <v>#DIV/0!</v>
      </c>
      <c r="BK13" s="12" t="e">
        <f t="shared" ref="BK13:BK72" si="5">(BE13+BJ13)/2</f>
        <v>#DIV/0!</v>
      </c>
      <c r="BL13" s="12" t="e">
        <f>(BE13+BJ13)/2</f>
        <v>#DIV/0!</v>
      </c>
      <c r="BM13" s="10" t="e">
        <f>ROUND(BL13,)</f>
        <v>#DIV/0!</v>
      </c>
      <c r="BN13" s="176" t="e">
        <f>ROUND(BO14,)</f>
        <v>#DIV/0!</v>
      </c>
      <c r="BO13" s="12"/>
      <c r="BP13" s="11" t="e">
        <f>(AY13+AY14)/2</f>
        <v>#DIV/0!</v>
      </c>
      <c r="BQ13" s="6"/>
      <c r="BR13" s="6"/>
    </row>
    <row r="14" spans="1:70" ht="17.25" customHeight="1" thickBot="1">
      <c r="A14" s="337"/>
      <c r="B14" s="321"/>
      <c r="C14" s="322"/>
      <c r="D14" s="225"/>
      <c r="E14" s="20">
        <v>2</v>
      </c>
      <c r="F14" s="17"/>
      <c r="G14" s="17"/>
      <c r="H14" s="17"/>
      <c r="I14" s="17"/>
      <c r="J14" s="17"/>
      <c r="K14" s="8" t="e">
        <f t="shared" ref="K14:K72" si="6">AVERAGE(F14:J14)</f>
        <v>#DIV/0!</v>
      </c>
      <c r="L14" s="17"/>
      <c r="M14" s="17"/>
      <c r="N14" s="17"/>
      <c r="O14" s="17"/>
      <c r="P14" s="17"/>
      <c r="Q14" s="9" t="e">
        <f>AVERAGE(L14:P14)</f>
        <v>#DIV/0!</v>
      </c>
      <c r="R14" s="17"/>
      <c r="S14" s="17"/>
      <c r="T14" s="17"/>
      <c r="U14" s="17"/>
      <c r="V14" s="17"/>
      <c r="W14" s="9" t="e">
        <f t="shared" ref="W14:W71" si="7">AVERAGE(R14:V14)</f>
        <v>#DIV/0!</v>
      </c>
      <c r="X14" s="233"/>
      <c r="Y14" s="234"/>
      <c r="Z14" s="9" t="str">
        <f t="shared" ref="Z14:Z72" si="8">IF(X14&gt;=85,"5",IF(X14&gt;=65,"4",IF(X14&gt;=55,"3",IF(X14&gt;=40,"2",IF(X14&gt;=1,"1",IF(X14&gt;="","0"))))))</f>
        <v>0</v>
      </c>
      <c r="AA14" s="7" t="e">
        <f t="shared" si="0"/>
        <v>#DIV/0!</v>
      </c>
      <c r="AB14" s="365"/>
      <c r="AC14" s="17"/>
      <c r="AD14" s="17"/>
      <c r="AE14" s="17"/>
      <c r="AF14" s="17"/>
      <c r="AG14" s="17"/>
      <c r="AH14" s="9" t="e">
        <f t="shared" ref="AH14:AH72" si="9">AVERAGE(AC14:AG14)</f>
        <v>#DIV/0!</v>
      </c>
      <c r="AI14" s="17"/>
      <c r="AJ14" s="17"/>
      <c r="AK14" s="17"/>
      <c r="AL14" s="17"/>
      <c r="AM14" s="17"/>
      <c r="AN14" s="9" t="e">
        <f t="shared" ref="AN14:AN72" si="10">AVERAGE(AI14:AM14)</f>
        <v>#DIV/0!</v>
      </c>
      <c r="AO14" s="17"/>
      <c r="AP14" s="17"/>
      <c r="AQ14" s="17"/>
      <c r="AR14" s="17"/>
      <c r="AS14" s="17"/>
      <c r="AT14" s="9" t="e">
        <f t="shared" ref="AT14:AT72" si="11">AVERAGE(AO14:AS14)</f>
        <v>#DIV/0!</v>
      </c>
      <c r="AU14" s="208"/>
      <c r="AV14" s="209"/>
      <c r="AW14" s="9" t="str">
        <f t="shared" ref="AW14:AW72" si="12">IF(AU14&gt;=85,"5",IF(AU14&gt;=65,"4",IF(AU14&gt;=55,"3",IF(AU14&gt;=40,"2",IF(AU14&gt;=1,"1",IF(AU14&gt;="","0"))))))</f>
        <v>0</v>
      </c>
      <c r="AX14" s="7" t="e">
        <f t="shared" si="1"/>
        <v>#DIV/0!</v>
      </c>
      <c r="AY14" s="18" t="e">
        <f>IF(BK14&gt;=4.5, " 5 ", IF(BK14&gt;=3.5," 4 ",IF(BK14&gt;=2.5," 3  ",IF(BK14&gt;=1.5," 2 ",IF(BK14&gt;=1,"1 ",IF(BK14&gt;=0,"0"))))))</f>
        <v>#DIV/0!</v>
      </c>
      <c r="AZ14" s="232"/>
      <c r="BA14" s="4" t="e">
        <f t="shared" si="2"/>
        <v>#DIV/0!</v>
      </c>
      <c r="BB14" s="4" t="e">
        <f t="shared" ref="BB14:BB44" si="13">$Q14*$L$12</f>
        <v>#DIV/0!</v>
      </c>
      <c r="BC14" s="4" t="e">
        <f t="shared" ref="BC14:BC72" si="14">$W14*$R$12</f>
        <v>#DIV/0!</v>
      </c>
      <c r="BD14" s="4">
        <f t="shared" ref="BD14:BD72" si="15">$Z14*$X$12</f>
        <v>0</v>
      </c>
      <c r="BE14" s="12" t="e">
        <f t="shared" si="3"/>
        <v>#DIV/0!</v>
      </c>
      <c r="BF14" s="4" t="e">
        <f t="shared" ref="BF14:BF72" si="16">$AH14*$AC$12</f>
        <v>#DIV/0!</v>
      </c>
      <c r="BG14" s="4" t="e">
        <f t="shared" ref="BG14:BG72" si="17">$AN14*$AI$12</f>
        <v>#DIV/0!</v>
      </c>
      <c r="BH14" s="4" t="e">
        <f t="shared" ref="BH14:BH72" si="18">$AT14*$AO$12</f>
        <v>#DIV/0!</v>
      </c>
      <c r="BI14" s="4">
        <f t="shared" ref="BI14:BI72" si="19">$AW14*$AU$12</f>
        <v>0</v>
      </c>
      <c r="BJ14" s="12" t="e">
        <f t="shared" si="4"/>
        <v>#DIV/0!</v>
      </c>
      <c r="BK14" s="12" t="e">
        <f t="shared" si="5"/>
        <v>#DIV/0!</v>
      </c>
      <c r="BL14" s="12"/>
      <c r="BM14" s="10"/>
      <c r="BN14" s="176"/>
      <c r="BO14" s="12" t="e">
        <f t="shared" ref="BO14:BO44" si="20">(BE14+BJ14)/2</f>
        <v>#DIV/0!</v>
      </c>
      <c r="BP14" s="11"/>
      <c r="BQ14" s="6"/>
      <c r="BR14" s="6"/>
    </row>
    <row r="15" spans="1:70" ht="20.25" customHeight="1">
      <c r="A15" s="332">
        <v>2</v>
      </c>
      <c r="B15" s="321"/>
      <c r="C15" s="322"/>
      <c r="D15" s="225"/>
      <c r="E15" s="21">
        <v>1</v>
      </c>
      <c r="F15" s="17"/>
      <c r="G15" s="17"/>
      <c r="H15" s="17"/>
      <c r="I15" s="17"/>
      <c r="J15" s="17"/>
      <c r="K15" s="8" t="e">
        <f t="shared" si="6"/>
        <v>#DIV/0!</v>
      </c>
      <c r="L15" s="17"/>
      <c r="M15" s="17"/>
      <c r="N15" s="17"/>
      <c r="O15" s="17"/>
      <c r="P15" s="17"/>
      <c r="Q15" s="9" t="e">
        <f>AVERAGE(L15:P15)</f>
        <v>#DIV/0!</v>
      </c>
      <c r="R15" s="17"/>
      <c r="S15" s="17"/>
      <c r="T15" s="17"/>
      <c r="U15" s="17"/>
      <c r="V15" s="17"/>
      <c r="W15" s="9" t="e">
        <f t="shared" si="7"/>
        <v>#DIV/0!</v>
      </c>
      <c r="X15" s="233"/>
      <c r="Y15" s="234"/>
      <c r="Z15" s="9" t="str">
        <f t="shared" si="8"/>
        <v>0</v>
      </c>
      <c r="AA15" s="7" t="e">
        <f t="shared" si="0"/>
        <v>#DIV/0!</v>
      </c>
      <c r="AB15" s="365"/>
      <c r="AC15" s="17"/>
      <c r="AD15" s="17"/>
      <c r="AE15" s="17"/>
      <c r="AF15" s="17"/>
      <c r="AG15" s="17"/>
      <c r="AH15" s="9" t="e">
        <f t="shared" si="9"/>
        <v>#DIV/0!</v>
      </c>
      <c r="AI15" s="17"/>
      <c r="AJ15" s="17"/>
      <c r="AK15" s="17"/>
      <c r="AL15" s="17"/>
      <c r="AM15" s="17"/>
      <c r="AN15" s="9" t="e">
        <f t="shared" si="10"/>
        <v>#DIV/0!</v>
      </c>
      <c r="AO15" s="17"/>
      <c r="AP15" s="17"/>
      <c r="AQ15" s="17"/>
      <c r="AR15" s="17"/>
      <c r="AS15" s="17"/>
      <c r="AT15" s="9" t="e">
        <f t="shared" si="11"/>
        <v>#DIV/0!</v>
      </c>
      <c r="AU15" s="208"/>
      <c r="AV15" s="209"/>
      <c r="AW15" s="9" t="str">
        <f t="shared" si="12"/>
        <v>0</v>
      </c>
      <c r="AX15" s="7" t="e">
        <f t="shared" si="1"/>
        <v>#DIV/0!</v>
      </c>
      <c r="AY15" s="18" t="e">
        <f>IF(BK15&gt;=4.5, " 5 ", IF(BK15&gt;=3.5," 4 ",IF(BK15&gt;=2.5," 3  ",IF(BK15&gt;=1.5," 2 ",IF(BK15&gt;=1,"1 ",IF(BK15&gt;=0,"0"))))))</f>
        <v>#DIV/0!</v>
      </c>
      <c r="AZ15" s="231" t="e">
        <f>IF(BP15&gt;=4.5, " 5 ", IF(BP15&gt;=3.5," 4 ",IF(BP15&gt;=2.5," 3  ",IF(BP15&gt;=1.5," 2 ",IF(BP15&gt;=1,"1 ",IF(BP15&gt;=0,"0"))))))</f>
        <v>#DIV/0!</v>
      </c>
      <c r="BA15" s="4" t="e">
        <f t="shared" si="2"/>
        <v>#DIV/0!</v>
      </c>
      <c r="BB15" s="4" t="e">
        <f t="shared" si="13"/>
        <v>#DIV/0!</v>
      </c>
      <c r="BC15" s="4" t="e">
        <f t="shared" si="14"/>
        <v>#DIV/0!</v>
      </c>
      <c r="BD15" s="4">
        <f t="shared" si="15"/>
        <v>0</v>
      </c>
      <c r="BE15" s="12" t="e">
        <f t="shared" si="3"/>
        <v>#DIV/0!</v>
      </c>
      <c r="BF15" s="4" t="e">
        <f t="shared" si="16"/>
        <v>#DIV/0!</v>
      </c>
      <c r="BG15" s="4" t="e">
        <f t="shared" si="17"/>
        <v>#DIV/0!</v>
      </c>
      <c r="BH15" s="4" t="e">
        <f t="shared" si="18"/>
        <v>#DIV/0!</v>
      </c>
      <c r="BI15" s="4">
        <f t="shared" si="19"/>
        <v>0</v>
      </c>
      <c r="BJ15" s="12" t="e">
        <f t="shared" si="4"/>
        <v>#DIV/0!</v>
      </c>
      <c r="BK15" s="12" t="e">
        <f t="shared" si="5"/>
        <v>#DIV/0!</v>
      </c>
      <c r="BL15" s="12" t="e">
        <f>(BE15+BJ15)/2</f>
        <v>#DIV/0!</v>
      </c>
      <c r="BM15" s="10" t="e">
        <f t="shared" ref="BM15:BM71" si="21">ROUND(BL15,)</f>
        <v>#DIV/0!</v>
      </c>
      <c r="BN15" s="176" t="e">
        <f t="shared" ref="BN15" si="22">ROUND(BO16,)</f>
        <v>#DIV/0!</v>
      </c>
      <c r="BO15" s="12"/>
      <c r="BP15" s="11" t="e">
        <f>(AY15+AY16)/2</f>
        <v>#DIV/0!</v>
      </c>
      <c r="BQ15" s="6"/>
      <c r="BR15" s="6"/>
    </row>
    <row r="16" spans="1:70" ht="20.25" customHeight="1" thickBot="1">
      <c r="A16" s="333"/>
      <c r="B16" s="321"/>
      <c r="C16" s="322"/>
      <c r="D16" s="225"/>
      <c r="E16" s="20">
        <v>2</v>
      </c>
      <c r="F16" s="17"/>
      <c r="G16" s="17"/>
      <c r="H16" s="17"/>
      <c r="I16" s="17"/>
      <c r="J16" s="17"/>
      <c r="K16" s="8" t="e">
        <f t="shared" si="6"/>
        <v>#DIV/0!</v>
      </c>
      <c r="L16" s="17"/>
      <c r="M16" s="17"/>
      <c r="N16" s="17"/>
      <c r="O16" s="17"/>
      <c r="P16" s="17"/>
      <c r="Q16" s="9" t="e">
        <f>AVERAGE(L16:P16)</f>
        <v>#DIV/0!</v>
      </c>
      <c r="R16" s="17"/>
      <c r="S16" s="17"/>
      <c r="T16" s="17"/>
      <c r="U16" s="17"/>
      <c r="V16" s="17"/>
      <c r="W16" s="9" t="e">
        <f t="shared" si="7"/>
        <v>#DIV/0!</v>
      </c>
      <c r="X16" s="233"/>
      <c r="Y16" s="234"/>
      <c r="Z16" s="9" t="str">
        <f t="shared" si="8"/>
        <v>0</v>
      </c>
      <c r="AA16" s="7" t="e">
        <f t="shared" si="0"/>
        <v>#DIV/0!</v>
      </c>
      <c r="AB16" s="365"/>
      <c r="AC16" s="17"/>
      <c r="AD16" s="17"/>
      <c r="AE16" s="17"/>
      <c r="AF16" s="17"/>
      <c r="AG16" s="17"/>
      <c r="AH16" s="9" t="e">
        <f t="shared" si="9"/>
        <v>#DIV/0!</v>
      </c>
      <c r="AI16" s="17"/>
      <c r="AJ16" s="17"/>
      <c r="AK16" s="17"/>
      <c r="AL16" s="17"/>
      <c r="AM16" s="17"/>
      <c r="AN16" s="9" t="e">
        <f t="shared" si="10"/>
        <v>#DIV/0!</v>
      </c>
      <c r="AO16" s="17"/>
      <c r="AP16" s="17"/>
      <c r="AQ16" s="17"/>
      <c r="AR16" s="17"/>
      <c r="AS16" s="17"/>
      <c r="AT16" s="9" t="e">
        <f t="shared" si="11"/>
        <v>#DIV/0!</v>
      </c>
      <c r="AU16" s="208"/>
      <c r="AV16" s="209"/>
      <c r="AW16" s="9" t="str">
        <f t="shared" si="12"/>
        <v>0</v>
      </c>
      <c r="AX16" s="7" t="e">
        <f t="shared" si="1"/>
        <v>#DIV/0!</v>
      </c>
      <c r="AY16" s="18" t="e">
        <f>IF(BK16&gt;=4.5, " 5 ", IF(BK16&gt;=3.5," 4 ",IF(BK16&gt;=2.5," 3  ",IF(BK16&gt;=1.5," 2 ",IF(BK16&gt;=1,"1 ",IF(BK16&gt;=0,"0"))))))</f>
        <v>#DIV/0!</v>
      </c>
      <c r="AZ16" s="232"/>
      <c r="BA16" s="4" t="e">
        <f t="shared" si="2"/>
        <v>#DIV/0!</v>
      </c>
      <c r="BB16" s="4" t="e">
        <f t="shared" si="13"/>
        <v>#DIV/0!</v>
      </c>
      <c r="BC16" s="4" t="e">
        <f t="shared" si="14"/>
        <v>#DIV/0!</v>
      </c>
      <c r="BD16" s="4">
        <f t="shared" si="15"/>
        <v>0</v>
      </c>
      <c r="BE16" s="12" t="e">
        <f t="shared" si="3"/>
        <v>#DIV/0!</v>
      </c>
      <c r="BF16" s="4" t="e">
        <f t="shared" si="16"/>
        <v>#DIV/0!</v>
      </c>
      <c r="BG16" s="4" t="e">
        <f t="shared" si="17"/>
        <v>#DIV/0!</v>
      </c>
      <c r="BH16" s="4" t="e">
        <f t="shared" si="18"/>
        <v>#DIV/0!</v>
      </c>
      <c r="BI16" s="4">
        <f t="shared" si="19"/>
        <v>0</v>
      </c>
      <c r="BJ16" s="12" t="e">
        <f t="shared" si="4"/>
        <v>#DIV/0!</v>
      </c>
      <c r="BK16" s="12" t="e">
        <f t="shared" si="5"/>
        <v>#DIV/0!</v>
      </c>
      <c r="BL16" s="12"/>
      <c r="BM16" s="10"/>
      <c r="BN16" s="176"/>
      <c r="BO16" s="12" t="e">
        <f t="shared" si="20"/>
        <v>#DIV/0!</v>
      </c>
      <c r="BP16" s="11"/>
      <c r="BQ16" s="6"/>
      <c r="BR16" s="6"/>
    </row>
    <row r="17" spans="1:70" ht="20.25" customHeight="1">
      <c r="A17" s="332">
        <v>3</v>
      </c>
      <c r="B17" s="321"/>
      <c r="C17" s="322"/>
      <c r="D17" s="225"/>
      <c r="E17" s="21">
        <v>1</v>
      </c>
      <c r="F17" s="17"/>
      <c r="G17" s="17"/>
      <c r="H17" s="17"/>
      <c r="I17" s="17"/>
      <c r="J17" s="17"/>
      <c r="K17" s="8" t="e">
        <f t="shared" si="6"/>
        <v>#DIV/0!</v>
      </c>
      <c r="L17" s="17"/>
      <c r="M17" s="17"/>
      <c r="N17" s="17"/>
      <c r="O17" s="17"/>
      <c r="P17" s="17"/>
      <c r="Q17" s="9" t="e">
        <f t="shared" ref="Q17:Q72" si="23">AVERAGE(L17:P17)</f>
        <v>#DIV/0!</v>
      </c>
      <c r="R17" s="17"/>
      <c r="S17" s="17"/>
      <c r="T17" s="17"/>
      <c r="U17" s="17"/>
      <c r="V17" s="17"/>
      <c r="W17" s="9" t="e">
        <f t="shared" si="7"/>
        <v>#DIV/0!</v>
      </c>
      <c r="X17" s="233"/>
      <c r="Y17" s="234"/>
      <c r="Z17" s="9" t="str">
        <f t="shared" si="8"/>
        <v>0</v>
      </c>
      <c r="AA17" s="7" t="e">
        <f t="shared" si="0"/>
        <v>#DIV/0!</v>
      </c>
      <c r="AB17" s="365"/>
      <c r="AC17" s="17"/>
      <c r="AD17" s="17"/>
      <c r="AE17" s="17"/>
      <c r="AF17" s="17"/>
      <c r="AG17" s="17"/>
      <c r="AH17" s="9" t="e">
        <f t="shared" si="9"/>
        <v>#DIV/0!</v>
      </c>
      <c r="AI17" s="17"/>
      <c r="AJ17" s="17"/>
      <c r="AK17" s="17"/>
      <c r="AL17" s="17"/>
      <c r="AM17" s="17"/>
      <c r="AN17" s="9" t="e">
        <f t="shared" si="10"/>
        <v>#DIV/0!</v>
      </c>
      <c r="AO17" s="17"/>
      <c r="AP17" s="17"/>
      <c r="AQ17" s="17"/>
      <c r="AR17" s="17"/>
      <c r="AS17" s="17"/>
      <c r="AT17" s="9" t="e">
        <f t="shared" si="11"/>
        <v>#DIV/0!</v>
      </c>
      <c r="AU17" s="208"/>
      <c r="AV17" s="209"/>
      <c r="AW17" s="9" t="str">
        <f t="shared" si="12"/>
        <v>0</v>
      </c>
      <c r="AX17" s="7" t="e">
        <f t="shared" si="1"/>
        <v>#DIV/0!</v>
      </c>
      <c r="AY17" s="18" t="e">
        <f t="shared" ref="AY17:AY72" si="24">IF(BK17&gt;=4.5, " 5 ", IF(BK17&gt;=3.5," 4 ",IF(BK17&gt;=2.5," 3  ",IF(BK17&gt;=1.5," 2 ",IF(BK17&gt;=1,"1 ",IF(BK17&gt;=0,"0"))))))</f>
        <v>#DIV/0!</v>
      </c>
      <c r="AZ17" s="231" t="e">
        <f>IF(BP17&gt;=4.5, " 5 ", IF(BP17&gt;=3.5," 4 ",IF(BP17&gt;=2.5," 3  ",IF(BP17&gt;=1.5," 2 ",IF(BP17&gt;=1,"1 ",IF(BP17&gt;=0,"0"))))))</f>
        <v>#DIV/0!</v>
      </c>
      <c r="BA17" s="4" t="e">
        <f t="shared" si="2"/>
        <v>#DIV/0!</v>
      </c>
      <c r="BB17" s="4" t="e">
        <f t="shared" si="13"/>
        <v>#DIV/0!</v>
      </c>
      <c r="BC17" s="4" t="e">
        <f t="shared" si="14"/>
        <v>#DIV/0!</v>
      </c>
      <c r="BD17" s="4">
        <f t="shared" si="15"/>
        <v>0</v>
      </c>
      <c r="BE17" s="12" t="e">
        <f t="shared" si="3"/>
        <v>#DIV/0!</v>
      </c>
      <c r="BF17" s="4" t="e">
        <f t="shared" si="16"/>
        <v>#DIV/0!</v>
      </c>
      <c r="BG17" s="4" t="e">
        <f t="shared" si="17"/>
        <v>#DIV/0!</v>
      </c>
      <c r="BH17" s="4" t="e">
        <f t="shared" si="18"/>
        <v>#DIV/0!</v>
      </c>
      <c r="BI17" s="4">
        <f t="shared" si="19"/>
        <v>0</v>
      </c>
      <c r="BJ17" s="12" t="e">
        <f t="shared" si="4"/>
        <v>#DIV/0!</v>
      </c>
      <c r="BK17" s="12" t="e">
        <f t="shared" si="5"/>
        <v>#DIV/0!</v>
      </c>
      <c r="BL17" s="12" t="e">
        <f>(BE17+BJ17)/2</f>
        <v>#DIV/0!</v>
      </c>
      <c r="BM17" s="10" t="e">
        <f t="shared" si="21"/>
        <v>#DIV/0!</v>
      </c>
      <c r="BN17" s="176" t="e">
        <f t="shared" ref="BN17" si="25">ROUND(BO18,)</f>
        <v>#DIV/0!</v>
      </c>
      <c r="BO17" s="12"/>
      <c r="BP17" s="11" t="e">
        <f t="shared" ref="BP17:BP71" si="26">(AY17+AY18)/2</f>
        <v>#DIV/0!</v>
      </c>
      <c r="BQ17" s="6"/>
      <c r="BR17" s="6"/>
    </row>
    <row r="18" spans="1:70" ht="20.25" customHeight="1" thickBot="1">
      <c r="A18" s="333"/>
      <c r="B18" s="321"/>
      <c r="C18" s="322"/>
      <c r="D18" s="225"/>
      <c r="E18" s="20">
        <v>2</v>
      </c>
      <c r="F18" s="17"/>
      <c r="G18" s="17"/>
      <c r="H18" s="17"/>
      <c r="I18" s="17"/>
      <c r="J18" s="17"/>
      <c r="K18" s="8" t="e">
        <f t="shared" si="6"/>
        <v>#DIV/0!</v>
      </c>
      <c r="L18" s="17"/>
      <c r="M18" s="17"/>
      <c r="N18" s="17"/>
      <c r="O18" s="17"/>
      <c r="P18" s="17"/>
      <c r="Q18" s="9" t="e">
        <f t="shared" si="23"/>
        <v>#DIV/0!</v>
      </c>
      <c r="R18" s="17"/>
      <c r="S18" s="17"/>
      <c r="T18" s="17"/>
      <c r="U18" s="17"/>
      <c r="V18" s="17"/>
      <c r="W18" s="9" t="e">
        <f t="shared" si="7"/>
        <v>#DIV/0!</v>
      </c>
      <c r="X18" s="233"/>
      <c r="Y18" s="234"/>
      <c r="Z18" s="9" t="str">
        <f t="shared" si="8"/>
        <v>0</v>
      </c>
      <c r="AA18" s="7" t="e">
        <f t="shared" si="0"/>
        <v>#DIV/0!</v>
      </c>
      <c r="AB18" s="365"/>
      <c r="AC18" s="17"/>
      <c r="AD18" s="17"/>
      <c r="AE18" s="17"/>
      <c r="AF18" s="17"/>
      <c r="AG18" s="17"/>
      <c r="AH18" s="9" t="e">
        <f t="shared" si="9"/>
        <v>#DIV/0!</v>
      </c>
      <c r="AI18" s="17"/>
      <c r="AJ18" s="17"/>
      <c r="AK18" s="17"/>
      <c r="AL18" s="17"/>
      <c r="AM18" s="17"/>
      <c r="AN18" s="9" t="e">
        <f t="shared" si="10"/>
        <v>#DIV/0!</v>
      </c>
      <c r="AO18" s="17"/>
      <c r="AP18" s="17"/>
      <c r="AQ18" s="17"/>
      <c r="AR18" s="17"/>
      <c r="AS18" s="17"/>
      <c r="AT18" s="9" t="e">
        <f t="shared" si="11"/>
        <v>#DIV/0!</v>
      </c>
      <c r="AU18" s="208"/>
      <c r="AV18" s="209"/>
      <c r="AW18" s="9" t="str">
        <f t="shared" si="12"/>
        <v>0</v>
      </c>
      <c r="AX18" s="7" t="e">
        <f t="shared" si="1"/>
        <v>#DIV/0!</v>
      </c>
      <c r="AY18" s="18" t="e">
        <f t="shared" si="24"/>
        <v>#DIV/0!</v>
      </c>
      <c r="AZ18" s="232"/>
      <c r="BA18" s="4" t="e">
        <f t="shared" si="2"/>
        <v>#DIV/0!</v>
      </c>
      <c r="BB18" s="4" t="e">
        <f t="shared" si="13"/>
        <v>#DIV/0!</v>
      </c>
      <c r="BC18" s="4" t="e">
        <f t="shared" si="14"/>
        <v>#DIV/0!</v>
      </c>
      <c r="BD18" s="4">
        <f t="shared" si="15"/>
        <v>0</v>
      </c>
      <c r="BE18" s="12" t="e">
        <f t="shared" si="3"/>
        <v>#DIV/0!</v>
      </c>
      <c r="BF18" s="4" t="e">
        <f t="shared" si="16"/>
        <v>#DIV/0!</v>
      </c>
      <c r="BG18" s="4" t="e">
        <f t="shared" si="17"/>
        <v>#DIV/0!</v>
      </c>
      <c r="BH18" s="4" t="e">
        <f t="shared" si="18"/>
        <v>#DIV/0!</v>
      </c>
      <c r="BI18" s="4">
        <f t="shared" si="19"/>
        <v>0</v>
      </c>
      <c r="BJ18" s="12" t="e">
        <f t="shared" si="4"/>
        <v>#DIV/0!</v>
      </c>
      <c r="BK18" s="12" t="e">
        <f t="shared" si="5"/>
        <v>#DIV/0!</v>
      </c>
      <c r="BL18" s="12"/>
      <c r="BM18" s="10"/>
      <c r="BN18" s="176"/>
      <c r="BO18" s="12" t="e">
        <f t="shared" si="20"/>
        <v>#DIV/0!</v>
      </c>
      <c r="BP18" s="11"/>
      <c r="BQ18" s="6"/>
      <c r="BR18" s="6"/>
    </row>
    <row r="19" spans="1:70" ht="17.25" customHeight="1">
      <c r="A19" s="332">
        <v>4</v>
      </c>
      <c r="B19" s="321"/>
      <c r="C19" s="322"/>
      <c r="D19" s="225"/>
      <c r="E19" s="21">
        <v>1</v>
      </c>
      <c r="F19" s="17"/>
      <c r="G19" s="17"/>
      <c r="H19" s="17"/>
      <c r="I19" s="17"/>
      <c r="J19" s="17"/>
      <c r="K19" s="8" t="e">
        <f t="shared" si="6"/>
        <v>#DIV/0!</v>
      </c>
      <c r="L19" s="17"/>
      <c r="M19" s="17"/>
      <c r="N19" s="17"/>
      <c r="O19" s="17"/>
      <c r="P19" s="17"/>
      <c r="Q19" s="9" t="e">
        <f t="shared" si="23"/>
        <v>#DIV/0!</v>
      </c>
      <c r="R19" s="17"/>
      <c r="S19" s="17"/>
      <c r="T19" s="17"/>
      <c r="U19" s="17"/>
      <c r="V19" s="17"/>
      <c r="W19" s="9" t="e">
        <f t="shared" si="7"/>
        <v>#DIV/0!</v>
      </c>
      <c r="X19" s="233"/>
      <c r="Y19" s="234"/>
      <c r="Z19" s="9" t="str">
        <f t="shared" si="8"/>
        <v>0</v>
      </c>
      <c r="AA19" s="7" t="e">
        <f t="shared" si="0"/>
        <v>#DIV/0!</v>
      </c>
      <c r="AB19" s="365"/>
      <c r="AC19" s="17"/>
      <c r="AD19" s="17"/>
      <c r="AE19" s="17"/>
      <c r="AF19" s="17"/>
      <c r="AG19" s="17"/>
      <c r="AH19" s="9" t="e">
        <f t="shared" si="9"/>
        <v>#DIV/0!</v>
      </c>
      <c r="AI19" s="17"/>
      <c r="AJ19" s="17"/>
      <c r="AK19" s="17"/>
      <c r="AL19" s="17"/>
      <c r="AM19" s="17"/>
      <c r="AN19" s="9" t="e">
        <f t="shared" si="10"/>
        <v>#DIV/0!</v>
      </c>
      <c r="AO19" s="17"/>
      <c r="AP19" s="17"/>
      <c r="AQ19" s="17"/>
      <c r="AR19" s="17"/>
      <c r="AS19" s="17"/>
      <c r="AT19" s="9" t="e">
        <f t="shared" si="11"/>
        <v>#DIV/0!</v>
      </c>
      <c r="AU19" s="208"/>
      <c r="AV19" s="209"/>
      <c r="AW19" s="9" t="str">
        <f t="shared" si="12"/>
        <v>0</v>
      </c>
      <c r="AX19" s="7" t="e">
        <f t="shared" si="1"/>
        <v>#DIV/0!</v>
      </c>
      <c r="AY19" s="18" t="e">
        <f t="shared" si="24"/>
        <v>#DIV/0!</v>
      </c>
      <c r="AZ19" s="231" t="e">
        <f t="shared" ref="AZ19" si="27">IF(BP19&gt;=4.5, " 5 ", IF(BP19&gt;=3.5," 4 ",IF(BP19&gt;=2.5," 3  ",IF(BP19&gt;=1.5," 2 ",IF(BP19&gt;=1,"1 ",IF(BP19&gt;=0,"0"))))))</f>
        <v>#DIV/0!</v>
      </c>
      <c r="BA19" s="4" t="e">
        <f t="shared" si="2"/>
        <v>#DIV/0!</v>
      </c>
      <c r="BB19" s="4" t="e">
        <f t="shared" si="13"/>
        <v>#DIV/0!</v>
      </c>
      <c r="BC19" s="4" t="e">
        <f t="shared" si="14"/>
        <v>#DIV/0!</v>
      </c>
      <c r="BD19" s="4">
        <f t="shared" si="15"/>
        <v>0</v>
      </c>
      <c r="BE19" s="12" t="e">
        <f t="shared" si="3"/>
        <v>#DIV/0!</v>
      </c>
      <c r="BF19" s="4" t="e">
        <f t="shared" si="16"/>
        <v>#DIV/0!</v>
      </c>
      <c r="BG19" s="4" t="e">
        <f t="shared" si="17"/>
        <v>#DIV/0!</v>
      </c>
      <c r="BH19" s="4" t="e">
        <f t="shared" si="18"/>
        <v>#DIV/0!</v>
      </c>
      <c r="BI19" s="4">
        <f t="shared" si="19"/>
        <v>0</v>
      </c>
      <c r="BJ19" s="12" t="e">
        <f t="shared" si="4"/>
        <v>#DIV/0!</v>
      </c>
      <c r="BK19" s="12" t="e">
        <f t="shared" si="5"/>
        <v>#DIV/0!</v>
      </c>
      <c r="BL19" s="12" t="e">
        <f>(BE19+BJ19)/2</f>
        <v>#DIV/0!</v>
      </c>
      <c r="BM19" s="10" t="e">
        <f t="shared" si="21"/>
        <v>#DIV/0!</v>
      </c>
      <c r="BN19" s="176" t="e">
        <f t="shared" ref="BN19" si="28">ROUND(BO20,)</f>
        <v>#DIV/0!</v>
      </c>
      <c r="BO19" s="12"/>
      <c r="BP19" s="11" t="e">
        <f t="shared" si="26"/>
        <v>#DIV/0!</v>
      </c>
      <c r="BQ19" s="6"/>
      <c r="BR19" s="6"/>
    </row>
    <row r="20" spans="1:70" ht="17.25" customHeight="1" thickBot="1">
      <c r="A20" s="333"/>
      <c r="B20" s="321"/>
      <c r="C20" s="322"/>
      <c r="D20" s="225"/>
      <c r="E20" s="20">
        <v>2</v>
      </c>
      <c r="F20" s="17"/>
      <c r="G20" s="17"/>
      <c r="H20" s="17"/>
      <c r="I20" s="17"/>
      <c r="J20" s="17"/>
      <c r="K20" s="8" t="e">
        <f t="shared" si="6"/>
        <v>#DIV/0!</v>
      </c>
      <c r="L20" s="17"/>
      <c r="M20" s="17"/>
      <c r="N20" s="17"/>
      <c r="O20" s="17"/>
      <c r="P20" s="17"/>
      <c r="Q20" s="9" t="e">
        <f t="shared" si="23"/>
        <v>#DIV/0!</v>
      </c>
      <c r="R20" s="17"/>
      <c r="S20" s="17"/>
      <c r="T20" s="17"/>
      <c r="U20" s="17"/>
      <c r="V20" s="17"/>
      <c r="W20" s="9" t="e">
        <f t="shared" si="7"/>
        <v>#DIV/0!</v>
      </c>
      <c r="X20" s="233"/>
      <c r="Y20" s="234"/>
      <c r="Z20" s="9" t="str">
        <f t="shared" si="8"/>
        <v>0</v>
      </c>
      <c r="AA20" s="7" t="e">
        <f t="shared" si="0"/>
        <v>#DIV/0!</v>
      </c>
      <c r="AB20" s="365"/>
      <c r="AC20" s="17"/>
      <c r="AD20" s="17"/>
      <c r="AE20" s="17"/>
      <c r="AF20" s="17"/>
      <c r="AG20" s="17"/>
      <c r="AH20" s="9" t="e">
        <f t="shared" si="9"/>
        <v>#DIV/0!</v>
      </c>
      <c r="AI20" s="17"/>
      <c r="AJ20" s="17"/>
      <c r="AK20" s="17"/>
      <c r="AL20" s="17"/>
      <c r="AM20" s="17"/>
      <c r="AN20" s="9" t="e">
        <f t="shared" si="10"/>
        <v>#DIV/0!</v>
      </c>
      <c r="AO20" s="17"/>
      <c r="AP20" s="17"/>
      <c r="AQ20" s="17"/>
      <c r="AR20" s="17"/>
      <c r="AS20" s="17"/>
      <c r="AT20" s="9" t="e">
        <f t="shared" si="11"/>
        <v>#DIV/0!</v>
      </c>
      <c r="AU20" s="208"/>
      <c r="AV20" s="209"/>
      <c r="AW20" s="9" t="str">
        <f t="shared" si="12"/>
        <v>0</v>
      </c>
      <c r="AX20" s="7" t="e">
        <f t="shared" si="1"/>
        <v>#DIV/0!</v>
      </c>
      <c r="AY20" s="18" t="e">
        <f t="shared" si="24"/>
        <v>#DIV/0!</v>
      </c>
      <c r="AZ20" s="232"/>
      <c r="BA20" s="4" t="e">
        <f t="shared" si="2"/>
        <v>#DIV/0!</v>
      </c>
      <c r="BB20" s="4" t="e">
        <f t="shared" si="13"/>
        <v>#DIV/0!</v>
      </c>
      <c r="BC20" s="4" t="e">
        <f t="shared" si="14"/>
        <v>#DIV/0!</v>
      </c>
      <c r="BD20" s="4">
        <f t="shared" si="15"/>
        <v>0</v>
      </c>
      <c r="BE20" s="12" t="e">
        <f t="shared" si="3"/>
        <v>#DIV/0!</v>
      </c>
      <c r="BF20" s="4" t="e">
        <f t="shared" si="16"/>
        <v>#DIV/0!</v>
      </c>
      <c r="BG20" s="4" t="e">
        <f t="shared" si="17"/>
        <v>#DIV/0!</v>
      </c>
      <c r="BH20" s="4" t="e">
        <f t="shared" si="18"/>
        <v>#DIV/0!</v>
      </c>
      <c r="BI20" s="4">
        <f t="shared" si="19"/>
        <v>0</v>
      </c>
      <c r="BJ20" s="12" t="e">
        <f t="shared" si="4"/>
        <v>#DIV/0!</v>
      </c>
      <c r="BK20" s="12" t="e">
        <f t="shared" si="5"/>
        <v>#DIV/0!</v>
      </c>
      <c r="BL20" s="12"/>
      <c r="BM20" s="10"/>
      <c r="BN20" s="176"/>
      <c r="BO20" s="12" t="e">
        <f t="shared" si="20"/>
        <v>#DIV/0!</v>
      </c>
      <c r="BP20" s="11"/>
      <c r="BQ20" s="6"/>
      <c r="BR20" s="6"/>
    </row>
    <row r="21" spans="1:70" ht="20.25" customHeight="1">
      <c r="A21" s="332">
        <v>5</v>
      </c>
      <c r="B21" s="321"/>
      <c r="C21" s="322"/>
      <c r="D21" s="225"/>
      <c r="E21" s="21">
        <v>1</v>
      </c>
      <c r="F21" s="17"/>
      <c r="G21" s="17"/>
      <c r="H21" s="17"/>
      <c r="I21" s="17"/>
      <c r="J21" s="17"/>
      <c r="K21" s="8" t="e">
        <f t="shared" si="6"/>
        <v>#DIV/0!</v>
      </c>
      <c r="L21" s="17"/>
      <c r="M21" s="17"/>
      <c r="N21" s="17"/>
      <c r="O21" s="17"/>
      <c r="P21" s="17"/>
      <c r="Q21" s="9" t="e">
        <f t="shared" si="23"/>
        <v>#DIV/0!</v>
      </c>
      <c r="R21" s="17"/>
      <c r="S21" s="17"/>
      <c r="T21" s="17"/>
      <c r="U21" s="17"/>
      <c r="V21" s="17"/>
      <c r="W21" s="9" t="e">
        <f t="shared" si="7"/>
        <v>#DIV/0!</v>
      </c>
      <c r="X21" s="233"/>
      <c r="Y21" s="234"/>
      <c r="Z21" s="9" t="str">
        <f t="shared" si="8"/>
        <v>0</v>
      </c>
      <c r="AA21" s="7" t="e">
        <f t="shared" si="0"/>
        <v>#DIV/0!</v>
      </c>
      <c r="AB21" s="365"/>
      <c r="AC21" s="17"/>
      <c r="AD21" s="17"/>
      <c r="AE21" s="17"/>
      <c r="AF21" s="17"/>
      <c r="AG21" s="17"/>
      <c r="AH21" s="9" t="e">
        <f t="shared" si="9"/>
        <v>#DIV/0!</v>
      </c>
      <c r="AI21" s="17"/>
      <c r="AJ21" s="17"/>
      <c r="AK21" s="17"/>
      <c r="AL21" s="17"/>
      <c r="AM21" s="17"/>
      <c r="AN21" s="9" t="e">
        <f t="shared" si="10"/>
        <v>#DIV/0!</v>
      </c>
      <c r="AO21" s="17"/>
      <c r="AP21" s="17"/>
      <c r="AQ21" s="17"/>
      <c r="AR21" s="17"/>
      <c r="AS21" s="17"/>
      <c r="AT21" s="9" t="e">
        <f t="shared" si="11"/>
        <v>#DIV/0!</v>
      </c>
      <c r="AU21" s="208"/>
      <c r="AV21" s="209"/>
      <c r="AW21" s="9" t="str">
        <f t="shared" si="12"/>
        <v>0</v>
      </c>
      <c r="AX21" s="7" t="e">
        <f t="shared" si="1"/>
        <v>#DIV/0!</v>
      </c>
      <c r="AY21" s="18" t="e">
        <f t="shared" si="24"/>
        <v>#DIV/0!</v>
      </c>
      <c r="AZ21" s="231" t="e">
        <f t="shared" ref="AZ21" si="29">IF(BP21&gt;=4.5, " 5 ", IF(BP21&gt;=3.5," 4 ",IF(BP21&gt;=2.5," 3  ",IF(BP21&gt;=1.5," 2 ",IF(BP21&gt;=1,"1 ",IF(BP21&gt;=0,"0"))))))</f>
        <v>#DIV/0!</v>
      </c>
      <c r="BA21" s="4" t="e">
        <f t="shared" si="2"/>
        <v>#DIV/0!</v>
      </c>
      <c r="BB21" s="4" t="e">
        <f t="shared" si="13"/>
        <v>#DIV/0!</v>
      </c>
      <c r="BC21" s="4" t="e">
        <f t="shared" si="14"/>
        <v>#DIV/0!</v>
      </c>
      <c r="BD21" s="4">
        <f t="shared" si="15"/>
        <v>0</v>
      </c>
      <c r="BE21" s="12" t="e">
        <f t="shared" si="3"/>
        <v>#DIV/0!</v>
      </c>
      <c r="BF21" s="4" t="e">
        <f t="shared" si="16"/>
        <v>#DIV/0!</v>
      </c>
      <c r="BG21" s="4" t="e">
        <f t="shared" si="17"/>
        <v>#DIV/0!</v>
      </c>
      <c r="BH21" s="4" t="e">
        <f t="shared" si="18"/>
        <v>#DIV/0!</v>
      </c>
      <c r="BI21" s="4">
        <f t="shared" si="19"/>
        <v>0</v>
      </c>
      <c r="BJ21" s="12" t="e">
        <f t="shared" si="4"/>
        <v>#DIV/0!</v>
      </c>
      <c r="BK21" s="12" t="e">
        <f t="shared" si="5"/>
        <v>#DIV/0!</v>
      </c>
      <c r="BL21" s="12" t="e">
        <f>(BE21+BJ21)/2</f>
        <v>#DIV/0!</v>
      </c>
      <c r="BM21" s="10" t="e">
        <f t="shared" si="21"/>
        <v>#DIV/0!</v>
      </c>
      <c r="BN21" s="176" t="e">
        <f t="shared" ref="BN21" si="30">ROUND(BO22,)</f>
        <v>#DIV/0!</v>
      </c>
      <c r="BO21" s="12"/>
      <c r="BP21" s="11" t="e">
        <f t="shared" si="26"/>
        <v>#DIV/0!</v>
      </c>
      <c r="BQ21" s="6"/>
      <c r="BR21" s="6"/>
    </row>
    <row r="22" spans="1:70" ht="18" customHeight="1" thickBot="1">
      <c r="A22" s="333"/>
      <c r="B22" s="321"/>
      <c r="C22" s="322"/>
      <c r="D22" s="225"/>
      <c r="E22" s="20">
        <v>2</v>
      </c>
      <c r="F22" s="17"/>
      <c r="G22" s="17"/>
      <c r="H22" s="17"/>
      <c r="I22" s="17"/>
      <c r="J22" s="17"/>
      <c r="K22" s="8" t="e">
        <f t="shared" si="6"/>
        <v>#DIV/0!</v>
      </c>
      <c r="L22" s="17"/>
      <c r="M22" s="17"/>
      <c r="N22" s="17"/>
      <c r="O22" s="17"/>
      <c r="P22" s="17"/>
      <c r="Q22" s="9" t="e">
        <f t="shared" si="23"/>
        <v>#DIV/0!</v>
      </c>
      <c r="R22" s="17"/>
      <c r="S22" s="17"/>
      <c r="T22" s="17"/>
      <c r="U22" s="17"/>
      <c r="V22" s="17"/>
      <c r="W22" s="9" t="e">
        <f t="shared" si="7"/>
        <v>#DIV/0!</v>
      </c>
      <c r="X22" s="233"/>
      <c r="Y22" s="234"/>
      <c r="Z22" s="9" t="str">
        <f>IF(X22&gt;=85,"5",IF(X22&gt;=65,"4",IF(X22&gt;=55,"3",IF(X22&gt;=40,"2",IF(X22&gt;=1,"1",IF(X22&gt;="","0"))))))</f>
        <v>0</v>
      </c>
      <c r="AA22" s="7" t="e">
        <f t="shared" si="0"/>
        <v>#DIV/0!</v>
      </c>
      <c r="AB22" s="365"/>
      <c r="AC22" s="17"/>
      <c r="AD22" s="17"/>
      <c r="AE22" s="17"/>
      <c r="AF22" s="17"/>
      <c r="AG22" s="17"/>
      <c r="AH22" s="9" t="e">
        <f t="shared" si="9"/>
        <v>#DIV/0!</v>
      </c>
      <c r="AI22" s="17"/>
      <c r="AJ22" s="17"/>
      <c r="AK22" s="17"/>
      <c r="AL22" s="17"/>
      <c r="AM22" s="17"/>
      <c r="AN22" s="9" t="e">
        <f t="shared" si="10"/>
        <v>#DIV/0!</v>
      </c>
      <c r="AO22" s="17"/>
      <c r="AP22" s="17"/>
      <c r="AQ22" s="17"/>
      <c r="AR22" s="17"/>
      <c r="AS22" s="17"/>
      <c r="AT22" s="9" t="e">
        <f t="shared" si="11"/>
        <v>#DIV/0!</v>
      </c>
      <c r="AU22" s="208"/>
      <c r="AV22" s="209"/>
      <c r="AW22" s="9" t="str">
        <f t="shared" si="12"/>
        <v>0</v>
      </c>
      <c r="AX22" s="7" t="e">
        <f t="shared" si="1"/>
        <v>#DIV/0!</v>
      </c>
      <c r="AY22" s="18" t="e">
        <f t="shared" si="24"/>
        <v>#DIV/0!</v>
      </c>
      <c r="AZ22" s="232"/>
      <c r="BA22" s="4" t="e">
        <f t="shared" si="2"/>
        <v>#DIV/0!</v>
      </c>
      <c r="BB22" s="4" t="e">
        <f t="shared" si="13"/>
        <v>#DIV/0!</v>
      </c>
      <c r="BC22" s="4" t="e">
        <f t="shared" si="14"/>
        <v>#DIV/0!</v>
      </c>
      <c r="BD22" s="4">
        <f t="shared" si="15"/>
        <v>0</v>
      </c>
      <c r="BE22" s="12" t="e">
        <f t="shared" si="3"/>
        <v>#DIV/0!</v>
      </c>
      <c r="BF22" s="4" t="e">
        <f t="shared" si="16"/>
        <v>#DIV/0!</v>
      </c>
      <c r="BG22" s="4" t="e">
        <f t="shared" si="17"/>
        <v>#DIV/0!</v>
      </c>
      <c r="BH22" s="4" t="e">
        <f t="shared" si="18"/>
        <v>#DIV/0!</v>
      </c>
      <c r="BI22" s="4">
        <f t="shared" si="19"/>
        <v>0</v>
      </c>
      <c r="BJ22" s="12" t="e">
        <f t="shared" si="4"/>
        <v>#DIV/0!</v>
      </c>
      <c r="BK22" s="12" t="e">
        <f t="shared" si="5"/>
        <v>#DIV/0!</v>
      </c>
      <c r="BL22" s="12"/>
      <c r="BM22" s="10"/>
      <c r="BN22" s="176"/>
      <c r="BO22" s="12" t="e">
        <f t="shared" si="20"/>
        <v>#DIV/0!</v>
      </c>
      <c r="BP22" s="11"/>
      <c r="BQ22" s="6"/>
      <c r="BR22" s="6"/>
    </row>
    <row r="23" spans="1:70" ht="20.25" customHeight="1">
      <c r="A23" s="332">
        <v>6</v>
      </c>
      <c r="B23" s="321"/>
      <c r="C23" s="322"/>
      <c r="D23" s="225"/>
      <c r="E23" s="21">
        <v>1</v>
      </c>
      <c r="F23" s="17"/>
      <c r="G23" s="17"/>
      <c r="H23" s="17"/>
      <c r="I23" s="17"/>
      <c r="J23" s="17"/>
      <c r="K23" s="8" t="e">
        <f t="shared" si="6"/>
        <v>#DIV/0!</v>
      </c>
      <c r="L23" s="17"/>
      <c r="M23" s="17"/>
      <c r="N23" s="17"/>
      <c r="O23" s="17"/>
      <c r="P23" s="17"/>
      <c r="Q23" s="9" t="e">
        <f t="shared" si="23"/>
        <v>#DIV/0!</v>
      </c>
      <c r="R23" s="17"/>
      <c r="S23" s="17"/>
      <c r="T23" s="17"/>
      <c r="U23" s="17"/>
      <c r="V23" s="17"/>
      <c r="W23" s="9" t="e">
        <f t="shared" si="7"/>
        <v>#DIV/0!</v>
      </c>
      <c r="X23" s="233"/>
      <c r="Y23" s="234"/>
      <c r="Z23" s="9" t="str">
        <f>IF(X23&gt;=85,"5",IF(X23&gt;=65,"4",IF(X23&gt;=55,"3",IF(X23&gt;=40,"2",IF(X23&gt;=1,"1",IF(X23&gt;="","0"))))))</f>
        <v>0</v>
      </c>
      <c r="AA23" s="7" t="e">
        <f t="shared" si="0"/>
        <v>#DIV/0!</v>
      </c>
      <c r="AB23" s="365"/>
      <c r="AC23" s="17"/>
      <c r="AD23" s="17"/>
      <c r="AE23" s="17"/>
      <c r="AF23" s="17"/>
      <c r="AG23" s="17"/>
      <c r="AH23" s="9" t="e">
        <f t="shared" si="9"/>
        <v>#DIV/0!</v>
      </c>
      <c r="AI23" s="17"/>
      <c r="AJ23" s="17"/>
      <c r="AK23" s="17"/>
      <c r="AL23" s="17"/>
      <c r="AM23" s="17"/>
      <c r="AN23" s="9" t="e">
        <f t="shared" si="10"/>
        <v>#DIV/0!</v>
      </c>
      <c r="AO23" s="17"/>
      <c r="AP23" s="17"/>
      <c r="AQ23" s="17"/>
      <c r="AR23" s="17"/>
      <c r="AS23" s="17"/>
      <c r="AT23" s="9" t="e">
        <f t="shared" si="11"/>
        <v>#DIV/0!</v>
      </c>
      <c r="AU23" s="208"/>
      <c r="AV23" s="209"/>
      <c r="AW23" s="9" t="str">
        <f t="shared" si="12"/>
        <v>0</v>
      </c>
      <c r="AX23" s="7" t="e">
        <f t="shared" si="1"/>
        <v>#DIV/0!</v>
      </c>
      <c r="AY23" s="18" t="e">
        <f t="shared" si="24"/>
        <v>#DIV/0!</v>
      </c>
      <c r="AZ23" s="231" t="e">
        <f t="shared" ref="AZ23" si="31">IF(BP23&gt;=4.5, " 5 ", IF(BP23&gt;=3.5," 4 ",IF(BP23&gt;=2.5," 3  ",IF(BP23&gt;=1.5," 2 ",IF(BP23&gt;=1,"1 ",IF(BP23&gt;=0,"0"))))))</f>
        <v>#DIV/0!</v>
      </c>
      <c r="BA23" s="4" t="e">
        <f t="shared" si="2"/>
        <v>#DIV/0!</v>
      </c>
      <c r="BB23" s="4" t="e">
        <f t="shared" si="13"/>
        <v>#DIV/0!</v>
      </c>
      <c r="BC23" s="4" t="e">
        <f t="shared" si="14"/>
        <v>#DIV/0!</v>
      </c>
      <c r="BD23" s="4">
        <f t="shared" si="15"/>
        <v>0</v>
      </c>
      <c r="BE23" s="12" t="e">
        <f t="shared" si="3"/>
        <v>#DIV/0!</v>
      </c>
      <c r="BF23" s="4" t="e">
        <f t="shared" si="16"/>
        <v>#DIV/0!</v>
      </c>
      <c r="BG23" s="4" t="e">
        <f t="shared" si="17"/>
        <v>#DIV/0!</v>
      </c>
      <c r="BH23" s="4" t="e">
        <f t="shared" si="18"/>
        <v>#DIV/0!</v>
      </c>
      <c r="BI23" s="4">
        <f t="shared" si="19"/>
        <v>0</v>
      </c>
      <c r="BJ23" s="12" t="e">
        <f t="shared" si="4"/>
        <v>#DIV/0!</v>
      </c>
      <c r="BK23" s="12" t="e">
        <f t="shared" si="5"/>
        <v>#DIV/0!</v>
      </c>
      <c r="BL23" s="12" t="e">
        <f>(BE23+BJ23)/2</f>
        <v>#DIV/0!</v>
      </c>
      <c r="BM23" s="10" t="e">
        <f t="shared" si="21"/>
        <v>#DIV/0!</v>
      </c>
      <c r="BN23" s="176" t="e">
        <f t="shared" ref="BN23:BN71" si="32">ROUND(BO24,)</f>
        <v>#DIV/0!</v>
      </c>
      <c r="BO23" s="12"/>
      <c r="BP23" s="11" t="e">
        <f t="shared" si="26"/>
        <v>#DIV/0!</v>
      </c>
      <c r="BQ23" s="6"/>
      <c r="BR23" s="6"/>
    </row>
    <row r="24" spans="1:70" ht="20.25" customHeight="1" thickBot="1">
      <c r="A24" s="333"/>
      <c r="B24" s="321"/>
      <c r="C24" s="322"/>
      <c r="D24" s="225"/>
      <c r="E24" s="20">
        <v>2</v>
      </c>
      <c r="F24" s="17"/>
      <c r="G24" s="17"/>
      <c r="H24" s="17"/>
      <c r="I24" s="17"/>
      <c r="J24" s="17"/>
      <c r="K24" s="8" t="e">
        <f t="shared" si="6"/>
        <v>#DIV/0!</v>
      </c>
      <c r="L24" s="17"/>
      <c r="M24" s="17"/>
      <c r="N24" s="17"/>
      <c r="O24" s="17"/>
      <c r="P24" s="17"/>
      <c r="Q24" s="9" t="e">
        <f t="shared" si="23"/>
        <v>#DIV/0!</v>
      </c>
      <c r="R24" s="17"/>
      <c r="S24" s="17"/>
      <c r="T24" s="17"/>
      <c r="U24" s="17"/>
      <c r="V24" s="17"/>
      <c r="W24" s="9" t="e">
        <f t="shared" si="7"/>
        <v>#DIV/0!</v>
      </c>
      <c r="X24" s="233"/>
      <c r="Y24" s="234"/>
      <c r="Z24" s="9" t="str">
        <f t="shared" si="8"/>
        <v>0</v>
      </c>
      <c r="AA24" s="7" t="e">
        <f t="shared" si="0"/>
        <v>#DIV/0!</v>
      </c>
      <c r="AB24" s="365"/>
      <c r="AC24" s="17"/>
      <c r="AD24" s="17"/>
      <c r="AE24" s="17"/>
      <c r="AF24" s="17"/>
      <c r="AG24" s="17"/>
      <c r="AH24" s="9" t="e">
        <f t="shared" si="9"/>
        <v>#DIV/0!</v>
      </c>
      <c r="AI24" s="17"/>
      <c r="AJ24" s="17"/>
      <c r="AK24" s="17"/>
      <c r="AL24" s="17"/>
      <c r="AM24" s="17"/>
      <c r="AN24" s="9" t="e">
        <f t="shared" si="10"/>
        <v>#DIV/0!</v>
      </c>
      <c r="AO24" s="17"/>
      <c r="AP24" s="17"/>
      <c r="AQ24" s="17"/>
      <c r="AR24" s="17"/>
      <c r="AS24" s="17"/>
      <c r="AT24" s="9" t="e">
        <f t="shared" si="11"/>
        <v>#DIV/0!</v>
      </c>
      <c r="AU24" s="208"/>
      <c r="AV24" s="209"/>
      <c r="AW24" s="9" t="str">
        <f t="shared" si="12"/>
        <v>0</v>
      </c>
      <c r="AX24" s="7" t="e">
        <f t="shared" si="1"/>
        <v>#DIV/0!</v>
      </c>
      <c r="AY24" s="18" t="e">
        <f t="shared" si="24"/>
        <v>#DIV/0!</v>
      </c>
      <c r="AZ24" s="232"/>
      <c r="BA24" s="4" t="e">
        <f t="shared" si="2"/>
        <v>#DIV/0!</v>
      </c>
      <c r="BB24" s="4" t="e">
        <f t="shared" si="13"/>
        <v>#DIV/0!</v>
      </c>
      <c r="BC24" s="4" t="e">
        <f t="shared" si="14"/>
        <v>#DIV/0!</v>
      </c>
      <c r="BD24" s="4">
        <f t="shared" si="15"/>
        <v>0</v>
      </c>
      <c r="BE24" s="12" t="e">
        <f t="shared" si="3"/>
        <v>#DIV/0!</v>
      </c>
      <c r="BF24" s="4" t="e">
        <f t="shared" si="16"/>
        <v>#DIV/0!</v>
      </c>
      <c r="BG24" s="4" t="e">
        <f t="shared" si="17"/>
        <v>#DIV/0!</v>
      </c>
      <c r="BH24" s="4" t="e">
        <f t="shared" si="18"/>
        <v>#DIV/0!</v>
      </c>
      <c r="BI24" s="4">
        <f t="shared" si="19"/>
        <v>0</v>
      </c>
      <c r="BJ24" s="12" t="e">
        <f t="shared" si="4"/>
        <v>#DIV/0!</v>
      </c>
      <c r="BK24" s="12" t="e">
        <f t="shared" si="5"/>
        <v>#DIV/0!</v>
      </c>
      <c r="BL24" s="12"/>
      <c r="BM24" s="10"/>
      <c r="BN24" s="176"/>
      <c r="BO24" s="12" t="e">
        <f t="shared" si="20"/>
        <v>#DIV/0!</v>
      </c>
      <c r="BP24" s="11"/>
      <c r="BQ24" s="6"/>
      <c r="BR24" s="6"/>
    </row>
    <row r="25" spans="1:70" ht="20.25" customHeight="1">
      <c r="A25" s="332">
        <v>7</v>
      </c>
      <c r="B25" s="321"/>
      <c r="C25" s="322"/>
      <c r="D25" s="225"/>
      <c r="E25" s="21">
        <v>1</v>
      </c>
      <c r="F25" s="17"/>
      <c r="G25" s="17"/>
      <c r="H25" s="17"/>
      <c r="I25" s="17"/>
      <c r="J25" s="17"/>
      <c r="K25" s="8" t="e">
        <f t="shared" si="6"/>
        <v>#DIV/0!</v>
      </c>
      <c r="L25" s="17"/>
      <c r="M25" s="17"/>
      <c r="N25" s="17"/>
      <c r="O25" s="17"/>
      <c r="P25" s="17"/>
      <c r="Q25" s="9" t="e">
        <f t="shared" si="23"/>
        <v>#DIV/0!</v>
      </c>
      <c r="R25" s="17"/>
      <c r="S25" s="17"/>
      <c r="T25" s="17"/>
      <c r="U25" s="17"/>
      <c r="V25" s="17"/>
      <c r="W25" s="9" t="e">
        <f t="shared" si="7"/>
        <v>#DIV/0!</v>
      </c>
      <c r="X25" s="233"/>
      <c r="Y25" s="234"/>
      <c r="Z25" s="9" t="str">
        <f t="shared" si="8"/>
        <v>0</v>
      </c>
      <c r="AA25" s="7" t="e">
        <f t="shared" si="0"/>
        <v>#DIV/0!</v>
      </c>
      <c r="AB25" s="365"/>
      <c r="AC25" s="17"/>
      <c r="AD25" s="17"/>
      <c r="AE25" s="17"/>
      <c r="AF25" s="17"/>
      <c r="AG25" s="17"/>
      <c r="AH25" s="9" t="e">
        <f t="shared" si="9"/>
        <v>#DIV/0!</v>
      </c>
      <c r="AI25" s="17"/>
      <c r="AJ25" s="17"/>
      <c r="AK25" s="17"/>
      <c r="AL25" s="17"/>
      <c r="AM25" s="17"/>
      <c r="AN25" s="9" t="e">
        <f t="shared" si="10"/>
        <v>#DIV/0!</v>
      </c>
      <c r="AO25" s="17"/>
      <c r="AP25" s="17"/>
      <c r="AQ25" s="17"/>
      <c r="AR25" s="17"/>
      <c r="AS25" s="17"/>
      <c r="AT25" s="9" t="e">
        <f t="shared" si="11"/>
        <v>#DIV/0!</v>
      </c>
      <c r="AU25" s="208"/>
      <c r="AV25" s="209"/>
      <c r="AW25" s="9" t="str">
        <f t="shared" si="12"/>
        <v>0</v>
      </c>
      <c r="AX25" s="7" t="e">
        <f t="shared" si="1"/>
        <v>#DIV/0!</v>
      </c>
      <c r="AY25" s="18" t="e">
        <f t="shared" si="24"/>
        <v>#DIV/0!</v>
      </c>
      <c r="AZ25" s="231" t="e">
        <f t="shared" ref="AZ25" si="33">IF(BP25&gt;=4.5, " 5 ", IF(BP25&gt;=3.5," 4 ",IF(BP25&gt;=2.5," 3  ",IF(BP25&gt;=1.5," 2 ",IF(BP25&gt;=1,"1 ",IF(BP25&gt;=0,"0"))))))</f>
        <v>#DIV/0!</v>
      </c>
      <c r="BA25" s="4" t="e">
        <f t="shared" si="2"/>
        <v>#DIV/0!</v>
      </c>
      <c r="BB25" s="4" t="e">
        <f t="shared" si="13"/>
        <v>#DIV/0!</v>
      </c>
      <c r="BC25" s="4" t="e">
        <f t="shared" si="14"/>
        <v>#DIV/0!</v>
      </c>
      <c r="BD25" s="4">
        <f t="shared" si="15"/>
        <v>0</v>
      </c>
      <c r="BE25" s="12" t="e">
        <f t="shared" si="3"/>
        <v>#DIV/0!</v>
      </c>
      <c r="BF25" s="4" t="e">
        <f t="shared" si="16"/>
        <v>#DIV/0!</v>
      </c>
      <c r="BG25" s="4" t="e">
        <f t="shared" si="17"/>
        <v>#DIV/0!</v>
      </c>
      <c r="BH25" s="4" t="e">
        <f t="shared" si="18"/>
        <v>#DIV/0!</v>
      </c>
      <c r="BI25" s="4">
        <f t="shared" si="19"/>
        <v>0</v>
      </c>
      <c r="BJ25" s="12" t="e">
        <f t="shared" si="4"/>
        <v>#DIV/0!</v>
      </c>
      <c r="BK25" s="12" t="e">
        <f t="shared" si="5"/>
        <v>#DIV/0!</v>
      </c>
      <c r="BL25" s="12" t="e">
        <f>(BE25+BJ25)/2</f>
        <v>#DIV/0!</v>
      </c>
      <c r="BM25" s="10" t="e">
        <f t="shared" si="21"/>
        <v>#DIV/0!</v>
      </c>
      <c r="BN25" s="176" t="e">
        <f t="shared" ref="BN25:BN65" si="34">ROUND(BO26,)</f>
        <v>#DIV/0!</v>
      </c>
      <c r="BO25" s="12"/>
      <c r="BP25" s="11" t="e">
        <f t="shared" si="26"/>
        <v>#DIV/0!</v>
      </c>
      <c r="BQ25" s="6"/>
      <c r="BR25" s="6"/>
    </row>
    <row r="26" spans="1:70" ht="20.25" customHeight="1" thickBot="1">
      <c r="A26" s="333"/>
      <c r="B26" s="321"/>
      <c r="C26" s="322"/>
      <c r="D26" s="225"/>
      <c r="E26" s="20">
        <v>2</v>
      </c>
      <c r="F26" s="17"/>
      <c r="G26" s="17"/>
      <c r="H26" s="17"/>
      <c r="I26" s="17"/>
      <c r="J26" s="17"/>
      <c r="K26" s="8" t="e">
        <f t="shared" si="6"/>
        <v>#DIV/0!</v>
      </c>
      <c r="L26" s="17"/>
      <c r="M26" s="17"/>
      <c r="N26" s="17"/>
      <c r="O26" s="17"/>
      <c r="P26" s="17"/>
      <c r="Q26" s="9" t="e">
        <f t="shared" si="23"/>
        <v>#DIV/0!</v>
      </c>
      <c r="R26" s="17"/>
      <c r="S26" s="17"/>
      <c r="T26" s="17"/>
      <c r="U26" s="17"/>
      <c r="V26" s="17"/>
      <c r="W26" s="9" t="e">
        <f t="shared" si="7"/>
        <v>#DIV/0!</v>
      </c>
      <c r="X26" s="233"/>
      <c r="Y26" s="234"/>
      <c r="Z26" s="9" t="str">
        <f t="shared" si="8"/>
        <v>0</v>
      </c>
      <c r="AA26" s="7" t="e">
        <f t="shared" si="0"/>
        <v>#DIV/0!</v>
      </c>
      <c r="AB26" s="365"/>
      <c r="AC26" s="17"/>
      <c r="AD26" s="17"/>
      <c r="AE26" s="17"/>
      <c r="AF26" s="17"/>
      <c r="AG26" s="17"/>
      <c r="AH26" s="9" t="e">
        <f t="shared" si="9"/>
        <v>#DIV/0!</v>
      </c>
      <c r="AI26" s="17"/>
      <c r="AJ26" s="17"/>
      <c r="AK26" s="17"/>
      <c r="AL26" s="17"/>
      <c r="AM26" s="17"/>
      <c r="AN26" s="9" t="e">
        <f t="shared" si="10"/>
        <v>#DIV/0!</v>
      </c>
      <c r="AO26" s="17"/>
      <c r="AP26" s="17"/>
      <c r="AQ26" s="17"/>
      <c r="AR26" s="17"/>
      <c r="AS26" s="17"/>
      <c r="AT26" s="9" t="e">
        <f t="shared" si="11"/>
        <v>#DIV/0!</v>
      </c>
      <c r="AU26" s="208"/>
      <c r="AV26" s="209"/>
      <c r="AW26" s="9" t="str">
        <f t="shared" si="12"/>
        <v>0</v>
      </c>
      <c r="AX26" s="7" t="e">
        <f t="shared" si="1"/>
        <v>#DIV/0!</v>
      </c>
      <c r="AY26" s="18" t="e">
        <f t="shared" si="24"/>
        <v>#DIV/0!</v>
      </c>
      <c r="AZ26" s="232"/>
      <c r="BA26" s="4" t="e">
        <f t="shared" si="2"/>
        <v>#DIV/0!</v>
      </c>
      <c r="BB26" s="4" t="e">
        <f t="shared" si="13"/>
        <v>#DIV/0!</v>
      </c>
      <c r="BC26" s="4" t="e">
        <f t="shared" si="14"/>
        <v>#DIV/0!</v>
      </c>
      <c r="BD26" s="4">
        <f t="shared" si="15"/>
        <v>0</v>
      </c>
      <c r="BE26" s="12" t="e">
        <f t="shared" si="3"/>
        <v>#DIV/0!</v>
      </c>
      <c r="BF26" s="4" t="e">
        <f t="shared" si="16"/>
        <v>#DIV/0!</v>
      </c>
      <c r="BG26" s="4" t="e">
        <f t="shared" si="17"/>
        <v>#DIV/0!</v>
      </c>
      <c r="BH26" s="4" t="e">
        <f t="shared" si="18"/>
        <v>#DIV/0!</v>
      </c>
      <c r="BI26" s="4">
        <f t="shared" si="19"/>
        <v>0</v>
      </c>
      <c r="BJ26" s="12" t="e">
        <f t="shared" si="4"/>
        <v>#DIV/0!</v>
      </c>
      <c r="BK26" s="12" t="e">
        <f t="shared" si="5"/>
        <v>#DIV/0!</v>
      </c>
      <c r="BL26" s="12"/>
      <c r="BM26" s="10"/>
      <c r="BN26" s="176"/>
      <c r="BO26" s="12" t="e">
        <f t="shared" si="20"/>
        <v>#DIV/0!</v>
      </c>
      <c r="BP26" s="11"/>
      <c r="BQ26" s="6"/>
      <c r="BR26" s="6"/>
    </row>
    <row r="27" spans="1:70" ht="20.25" customHeight="1">
      <c r="A27" s="332">
        <v>8</v>
      </c>
      <c r="B27" s="321"/>
      <c r="C27" s="322"/>
      <c r="D27" s="225"/>
      <c r="E27" s="21">
        <v>1</v>
      </c>
      <c r="F27" s="17"/>
      <c r="G27" s="17"/>
      <c r="H27" s="17"/>
      <c r="I27" s="17"/>
      <c r="J27" s="17"/>
      <c r="K27" s="8" t="e">
        <f t="shared" si="6"/>
        <v>#DIV/0!</v>
      </c>
      <c r="L27" s="17"/>
      <c r="M27" s="17"/>
      <c r="N27" s="17"/>
      <c r="O27" s="17"/>
      <c r="P27" s="17"/>
      <c r="Q27" s="9" t="e">
        <f t="shared" si="23"/>
        <v>#DIV/0!</v>
      </c>
      <c r="R27" s="17"/>
      <c r="S27" s="17"/>
      <c r="T27" s="17"/>
      <c r="U27" s="17"/>
      <c r="V27" s="17"/>
      <c r="W27" s="9" t="e">
        <f t="shared" si="7"/>
        <v>#DIV/0!</v>
      </c>
      <c r="X27" s="233"/>
      <c r="Y27" s="234"/>
      <c r="Z27" s="9" t="str">
        <f t="shared" si="8"/>
        <v>0</v>
      </c>
      <c r="AA27" s="7" t="e">
        <f t="shared" si="0"/>
        <v>#DIV/0!</v>
      </c>
      <c r="AB27" s="365"/>
      <c r="AC27" s="17"/>
      <c r="AD27" s="17"/>
      <c r="AE27" s="17"/>
      <c r="AF27" s="17"/>
      <c r="AG27" s="17"/>
      <c r="AH27" s="9" t="e">
        <f t="shared" si="9"/>
        <v>#DIV/0!</v>
      </c>
      <c r="AI27" s="17"/>
      <c r="AJ27" s="17"/>
      <c r="AK27" s="17"/>
      <c r="AL27" s="17"/>
      <c r="AM27" s="17"/>
      <c r="AN27" s="9" t="e">
        <f t="shared" si="10"/>
        <v>#DIV/0!</v>
      </c>
      <c r="AO27" s="17"/>
      <c r="AP27" s="17"/>
      <c r="AQ27" s="17"/>
      <c r="AR27" s="17"/>
      <c r="AS27" s="17"/>
      <c r="AT27" s="9" t="e">
        <f t="shared" si="11"/>
        <v>#DIV/0!</v>
      </c>
      <c r="AU27" s="208"/>
      <c r="AV27" s="209"/>
      <c r="AW27" s="9" t="str">
        <f t="shared" si="12"/>
        <v>0</v>
      </c>
      <c r="AX27" s="7" t="e">
        <f t="shared" si="1"/>
        <v>#DIV/0!</v>
      </c>
      <c r="AY27" s="18" t="e">
        <f t="shared" si="24"/>
        <v>#DIV/0!</v>
      </c>
      <c r="AZ27" s="231" t="e">
        <f t="shared" ref="AZ27" si="35">IF(BP27&gt;=4.5, " 5 ", IF(BP27&gt;=3.5," 4 ",IF(BP27&gt;=2.5," 3  ",IF(BP27&gt;=1.5," 2 ",IF(BP27&gt;=1,"1 ",IF(BP27&gt;=0,"0"))))))</f>
        <v>#DIV/0!</v>
      </c>
      <c r="BA27" s="4" t="e">
        <f t="shared" si="2"/>
        <v>#DIV/0!</v>
      </c>
      <c r="BB27" s="4" t="e">
        <f t="shared" si="13"/>
        <v>#DIV/0!</v>
      </c>
      <c r="BC27" s="4" t="e">
        <f t="shared" si="14"/>
        <v>#DIV/0!</v>
      </c>
      <c r="BD27" s="4">
        <f t="shared" si="15"/>
        <v>0</v>
      </c>
      <c r="BE27" s="12" t="e">
        <f t="shared" si="3"/>
        <v>#DIV/0!</v>
      </c>
      <c r="BF27" s="4" t="e">
        <f t="shared" si="16"/>
        <v>#DIV/0!</v>
      </c>
      <c r="BG27" s="4" t="e">
        <f t="shared" si="17"/>
        <v>#DIV/0!</v>
      </c>
      <c r="BH27" s="4" t="e">
        <f t="shared" si="18"/>
        <v>#DIV/0!</v>
      </c>
      <c r="BI27" s="4">
        <f t="shared" si="19"/>
        <v>0</v>
      </c>
      <c r="BJ27" s="12" t="e">
        <f t="shared" si="4"/>
        <v>#DIV/0!</v>
      </c>
      <c r="BK27" s="12" t="e">
        <f t="shared" si="5"/>
        <v>#DIV/0!</v>
      </c>
      <c r="BL27" s="12" t="e">
        <f>(BE27+BJ27)/2</f>
        <v>#DIV/0!</v>
      </c>
      <c r="BM27" s="10" t="e">
        <f t="shared" si="21"/>
        <v>#DIV/0!</v>
      </c>
      <c r="BN27" s="176" t="e">
        <f t="shared" ref="BN27:BN67" si="36">ROUND(BO28,)</f>
        <v>#DIV/0!</v>
      </c>
      <c r="BO27" s="12"/>
      <c r="BP27" s="11" t="e">
        <f t="shared" si="26"/>
        <v>#DIV/0!</v>
      </c>
      <c r="BQ27" s="6"/>
      <c r="BR27" s="6"/>
    </row>
    <row r="28" spans="1:70" ht="20.25" customHeight="1" thickBot="1">
      <c r="A28" s="333"/>
      <c r="B28" s="321"/>
      <c r="C28" s="322"/>
      <c r="D28" s="225"/>
      <c r="E28" s="20">
        <v>2</v>
      </c>
      <c r="F28" s="17"/>
      <c r="G28" s="17"/>
      <c r="H28" s="17"/>
      <c r="I28" s="17"/>
      <c r="J28" s="17"/>
      <c r="K28" s="8" t="e">
        <f t="shared" si="6"/>
        <v>#DIV/0!</v>
      </c>
      <c r="L28" s="17"/>
      <c r="M28" s="17"/>
      <c r="N28" s="17"/>
      <c r="O28" s="17"/>
      <c r="P28" s="17"/>
      <c r="Q28" s="9" t="e">
        <f t="shared" si="23"/>
        <v>#DIV/0!</v>
      </c>
      <c r="R28" s="17"/>
      <c r="S28" s="17"/>
      <c r="T28" s="17"/>
      <c r="U28" s="17"/>
      <c r="V28" s="17"/>
      <c r="W28" s="9" t="e">
        <f t="shared" si="7"/>
        <v>#DIV/0!</v>
      </c>
      <c r="X28" s="233"/>
      <c r="Y28" s="234"/>
      <c r="Z28" s="9" t="str">
        <f t="shared" si="8"/>
        <v>0</v>
      </c>
      <c r="AA28" s="7" t="e">
        <f t="shared" si="0"/>
        <v>#DIV/0!</v>
      </c>
      <c r="AB28" s="365"/>
      <c r="AC28" s="17"/>
      <c r="AD28" s="17"/>
      <c r="AE28" s="17"/>
      <c r="AF28" s="17"/>
      <c r="AG28" s="17"/>
      <c r="AH28" s="9" t="e">
        <f t="shared" si="9"/>
        <v>#DIV/0!</v>
      </c>
      <c r="AI28" s="17"/>
      <c r="AJ28" s="17"/>
      <c r="AK28" s="17"/>
      <c r="AL28" s="17"/>
      <c r="AM28" s="17"/>
      <c r="AN28" s="9" t="e">
        <f t="shared" si="10"/>
        <v>#DIV/0!</v>
      </c>
      <c r="AO28" s="17"/>
      <c r="AP28" s="17"/>
      <c r="AQ28" s="17"/>
      <c r="AR28" s="17"/>
      <c r="AS28" s="17"/>
      <c r="AT28" s="9" t="e">
        <f t="shared" si="11"/>
        <v>#DIV/0!</v>
      </c>
      <c r="AU28" s="208"/>
      <c r="AV28" s="209"/>
      <c r="AW28" s="9" t="str">
        <f t="shared" si="12"/>
        <v>0</v>
      </c>
      <c r="AX28" s="7" t="e">
        <f t="shared" si="1"/>
        <v>#DIV/0!</v>
      </c>
      <c r="AY28" s="18" t="e">
        <f t="shared" si="24"/>
        <v>#DIV/0!</v>
      </c>
      <c r="AZ28" s="232"/>
      <c r="BA28" s="4" t="e">
        <f t="shared" si="2"/>
        <v>#DIV/0!</v>
      </c>
      <c r="BB28" s="4" t="e">
        <f t="shared" si="13"/>
        <v>#DIV/0!</v>
      </c>
      <c r="BC28" s="4" t="e">
        <f t="shared" si="14"/>
        <v>#DIV/0!</v>
      </c>
      <c r="BD28" s="4">
        <f t="shared" si="15"/>
        <v>0</v>
      </c>
      <c r="BE28" s="12" t="e">
        <f t="shared" si="3"/>
        <v>#DIV/0!</v>
      </c>
      <c r="BF28" s="4" t="e">
        <f t="shared" si="16"/>
        <v>#DIV/0!</v>
      </c>
      <c r="BG28" s="4" t="e">
        <f t="shared" si="17"/>
        <v>#DIV/0!</v>
      </c>
      <c r="BH28" s="4" t="e">
        <f t="shared" si="18"/>
        <v>#DIV/0!</v>
      </c>
      <c r="BI28" s="4">
        <f t="shared" si="19"/>
        <v>0</v>
      </c>
      <c r="BJ28" s="12" t="e">
        <f t="shared" si="4"/>
        <v>#DIV/0!</v>
      </c>
      <c r="BK28" s="12" t="e">
        <f t="shared" si="5"/>
        <v>#DIV/0!</v>
      </c>
      <c r="BL28" s="12"/>
      <c r="BM28" s="10"/>
      <c r="BN28" s="176"/>
      <c r="BO28" s="12" t="e">
        <f t="shared" si="20"/>
        <v>#DIV/0!</v>
      </c>
      <c r="BP28" s="11"/>
      <c r="BQ28" s="6"/>
      <c r="BR28" s="6"/>
    </row>
    <row r="29" spans="1:70" ht="20.25" customHeight="1">
      <c r="A29" s="332">
        <v>9</v>
      </c>
      <c r="B29" s="321"/>
      <c r="C29" s="322"/>
      <c r="D29" s="225"/>
      <c r="E29" s="21">
        <v>1</v>
      </c>
      <c r="F29" s="17"/>
      <c r="G29" s="17"/>
      <c r="H29" s="17"/>
      <c r="I29" s="17"/>
      <c r="J29" s="17"/>
      <c r="K29" s="8" t="e">
        <f t="shared" si="6"/>
        <v>#DIV/0!</v>
      </c>
      <c r="L29" s="17"/>
      <c r="M29" s="17"/>
      <c r="N29" s="17"/>
      <c r="O29" s="17"/>
      <c r="P29" s="17"/>
      <c r="Q29" s="9" t="e">
        <f t="shared" si="23"/>
        <v>#DIV/0!</v>
      </c>
      <c r="R29" s="17"/>
      <c r="S29" s="17"/>
      <c r="T29" s="17"/>
      <c r="U29" s="17"/>
      <c r="V29" s="17"/>
      <c r="W29" s="9" t="e">
        <f t="shared" si="7"/>
        <v>#DIV/0!</v>
      </c>
      <c r="X29" s="233"/>
      <c r="Y29" s="234"/>
      <c r="Z29" s="9" t="str">
        <f t="shared" si="8"/>
        <v>0</v>
      </c>
      <c r="AA29" s="7" t="e">
        <f t="shared" si="0"/>
        <v>#DIV/0!</v>
      </c>
      <c r="AB29" s="365"/>
      <c r="AC29" s="17"/>
      <c r="AD29" s="17"/>
      <c r="AE29" s="17"/>
      <c r="AF29" s="17"/>
      <c r="AG29" s="17"/>
      <c r="AH29" s="9" t="e">
        <f t="shared" si="9"/>
        <v>#DIV/0!</v>
      </c>
      <c r="AI29" s="17"/>
      <c r="AJ29" s="17"/>
      <c r="AK29" s="17"/>
      <c r="AL29" s="17"/>
      <c r="AM29" s="17"/>
      <c r="AN29" s="9" t="e">
        <f t="shared" si="10"/>
        <v>#DIV/0!</v>
      </c>
      <c r="AO29" s="17"/>
      <c r="AP29" s="17"/>
      <c r="AQ29" s="17"/>
      <c r="AR29" s="17"/>
      <c r="AS29" s="17"/>
      <c r="AT29" s="9" t="e">
        <f t="shared" si="11"/>
        <v>#DIV/0!</v>
      </c>
      <c r="AU29" s="208"/>
      <c r="AV29" s="209"/>
      <c r="AW29" s="9" t="str">
        <f t="shared" si="12"/>
        <v>0</v>
      </c>
      <c r="AX29" s="7" t="e">
        <f t="shared" si="1"/>
        <v>#DIV/0!</v>
      </c>
      <c r="AY29" s="18" t="e">
        <f t="shared" si="24"/>
        <v>#DIV/0!</v>
      </c>
      <c r="AZ29" s="231" t="e">
        <f t="shared" ref="AZ29" si="37">IF(BP29&gt;=4.5, " 5 ", IF(BP29&gt;=3.5," 4 ",IF(BP29&gt;=2.5," 3  ",IF(BP29&gt;=1.5," 2 ",IF(BP29&gt;=1,"1 ",IF(BP29&gt;=0,"0"))))))</f>
        <v>#DIV/0!</v>
      </c>
      <c r="BA29" s="4" t="e">
        <f t="shared" si="2"/>
        <v>#DIV/0!</v>
      </c>
      <c r="BB29" s="4" t="e">
        <f t="shared" si="13"/>
        <v>#DIV/0!</v>
      </c>
      <c r="BC29" s="4" t="e">
        <f t="shared" si="14"/>
        <v>#DIV/0!</v>
      </c>
      <c r="BD29" s="4">
        <f t="shared" si="15"/>
        <v>0</v>
      </c>
      <c r="BE29" s="12" t="e">
        <f t="shared" si="3"/>
        <v>#DIV/0!</v>
      </c>
      <c r="BF29" s="4" t="e">
        <f t="shared" si="16"/>
        <v>#DIV/0!</v>
      </c>
      <c r="BG29" s="4" t="e">
        <f t="shared" si="17"/>
        <v>#DIV/0!</v>
      </c>
      <c r="BH29" s="4" t="e">
        <f t="shared" si="18"/>
        <v>#DIV/0!</v>
      </c>
      <c r="BI29" s="4">
        <f t="shared" si="19"/>
        <v>0</v>
      </c>
      <c r="BJ29" s="12" t="e">
        <f t="shared" si="4"/>
        <v>#DIV/0!</v>
      </c>
      <c r="BK29" s="12" t="e">
        <f t="shared" si="5"/>
        <v>#DIV/0!</v>
      </c>
      <c r="BL29" s="12" t="e">
        <f>(BE29+BJ29)/2</f>
        <v>#DIV/0!</v>
      </c>
      <c r="BM29" s="10" t="e">
        <f t="shared" si="21"/>
        <v>#DIV/0!</v>
      </c>
      <c r="BN29" s="176" t="e">
        <f t="shared" ref="BN29" si="38">ROUND(BO30,)</f>
        <v>#DIV/0!</v>
      </c>
      <c r="BO29" s="12"/>
      <c r="BP29" s="11" t="e">
        <f t="shared" si="26"/>
        <v>#DIV/0!</v>
      </c>
      <c r="BQ29" s="6"/>
      <c r="BR29" s="6"/>
    </row>
    <row r="30" spans="1:70" ht="21" customHeight="1" thickBot="1">
      <c r="A30" s="333"/>
      <c r="B30" s="321"/>
      <c r="C30" s="322"/>
      <c r="D30" s="225"/>
      <c r="E30" s="20">
        <v>2</v>
      </c>
      <c r="F30" s="17"/>
      <c r="G30" s="17"/>
      <c r="H30" s="17"/>
      <c r="I30" s="17"/>
      <c r="J30" s="17"/>
      <c r="K30" s="8" t="e">
        <f t="shared" si="6"/>
        <v>#DIV/0!</v>
      </c>
      <c r="L30" s="17"/>
      <c r="M30" s="17"/>
      <c r="N30" s="17"/>
      <c r="O30" s="17"/>
      <c r="P30" s="17"/>
      <c r="Q30" s="9" t="e">
        <f t="shared" si="23"/>
        <v>#DIV/0!</v>
      </c>
      <c r="R30" s="17"/>
      <c r="S30" s="17"/>
      <c r="T30" s="17"/>
      <c r="U30" s="17"/>
      <c r="V30" s="17"/>
      <c r="W30" s="9" t="e">
        <f t="shared" si="7"/>
        <v>#DIV/0!</v>
      </c>
      <c r="X30" s="233"/>
      <c r="Y30" s="234"/>
      <c r="Z30" s="9" t="str">
        <f t="shared" si="8"/>
        <v>0</v>
      </c>
      <c r="AA30" s="7" t="e">
        <f t="shared" si="0"/>
        <v>#DIV/0!</v>
      </c>
      <c r="AB30" s="365"/>
      <c r="AC30" s="17"/>
      <c r="AD30" s="17"/>
      <c r="AE30" s="17"/>
      <c r="AF30" s="17"/>
      <c r="AG30" s="17"/>
      <c r="AH30" s="9" t="e">
        <f t="shared" si="9"/>
        <v>#DIV/0!</v>
      </c>
      <c r="AI30" s="17"/>
      <c r="AJ30" s="17"/>
      <c r="AK30" s="17"/>
      <c r="AL30" s="17"/>
      <c r="AM30" s="17"/>
      <c r="AN30" s="9" t="e">
        <f t="shared" si="10"/>
        <v>#DIV/0!</v>
      </c>
      <c r="AO30" s="17"/>
      <c r="AP30" s="17"/>
      <c r="AQ30" s="17"/>
      <c r="AR30" s="17"/>
      <c r="AS30" s="17"/>
      <c r="AT30" s="9" t="e">
        <f t="shared" si="11"/>
        <v>#DIV/0!</v>
      </c>
      <c r="AU30" s="208"/>
      <c r="AV30" s="209"/>
      <c r="AW30" s="9" t="str">
        <f t="shared" si="12"/>
        <v>0</v>
      </c>
      <c r="AX30" s="7" t="e">
        <f t="shared" si="1"/>
        <v>#DIV/0!</v>
      </c>
      <c r="AY30" s="18" t="e">
        <f t="shared" si="24"/>
        <v>#DIV/0!</v>
      </c>
      <c r="AZ30" s="232"/>
      <c r="BA30" s="4" t="e">
        <f t="shared" si="2"/>
        <v>#DIV/0!</v>
      </c>
      <c r="BB30" s="4" t="e">
        <f t="shared" si="13"/>
        <v>#DIV/0!</v>
      </c>
      <c r="BC30" s="4" t="e">
        <f t="shared" si="14"/>
        <v>#DIV/0!</v>
      </c>
      <c r="BD30" s="4">
        <f t="shared" si="15"/>
        <v>0</v>
      </c>
      <c r="BE30" s="12" t="e">
        <f t="shared" si="3"/>
        <v>#DIV/0!</v>
      </c>
      <c r="BF30" s="4" t="e">
        <f t="shared" si="16"/>
        <v>#DIV/0!</v>
      </c>
      <c r="BG30" s="4" t="e">
        <f t="shared" si="17"/>
        <v>#DIV/0!</v>
      </c>
      <c r="BH30" s="4" t="e">
        <f t="shared" si="18"/>
        <v>#DIV/0!</v>
      </c>
      <c r="BI30" s="4">
        <f t="shared" si="19"/>
        <v>0</v>
      </c>
      <c r="BJ30" s="12" t="e">
        <f t="shared" si="4"/>
        <v>#DIV/0!</v>
      </c>
      <c r="BK30" s="12" t="e">
        <f t="shared" si="5"/>
        <v>#DIV/0!</v>
      </c>
      <c r="BL30" s="12"/>
      <c r="BM30" s="10"/>
      <c r="BN30" s="176"/>
      <c r="BO30" s="12" t="e">
        <f t="shared" si="20"/>
        <v>#DIV/0!</v>
      </c>
      <c r="BP30" s="11"/>
      <c r="BQ30" s="6"/>
      <c r="BR30" s="6"/>
    </row>
    <row r="31" spans="1:70" ht="18.75" customHeight="1">
      <c r="A31" s="332">
        <v>10</v>
      </c>
      <c r="B31" s="321"/>
      <c r="C31" s="322"/>
      <c r="D31" s="225"/>
      <c r="E31" s="21">
        <v>1</v>
      </c>
      <c r="F31" s="17"/>
      <c r="G31" s="17"/>
      <c r="H31" s="17"/>
      <c r="I31" s="17"/>
      <c r="J31" s="17"/>
      <c r="K31" s="8" t="e">
        <f t="shared" si="6"/>
        <v>#DIV/0!</v>
      </c>
      <c r="L31" s="17"/>
      <c r="M31" s="17"/>
      <c r="N31" s="17"/>
      <c r="O31" s="17"/>
      <c r="P31" s="17"/>
      <c r="Q31" s="9" t="e">
        <f t="shared" si="23"/>
        <v>#DIV/0!</v>
      </c>
      <c r="R31" s="17"/>
      <c r="S31" s="17"/>
      <c r="T31" s="17"/>
      <c r="U31" s="17"/>
      <c r="V31" s="17"/>
      <c r="W31" s="9" t="e">
        <f t="shared" si="7"/>
        <v>#DIV/0!</v>
      </c>
      <c r="X31" s="233"/>
      <c r="Y31" s="234"/>
      <c r="Z31" s="9" t="str">
        <f t="shared" si="8"/>
        <v>0</v>
      </c>
      <c r="AA31" s="7" t="e">
        <f t="shared" si="0"/>
        <v>#DIV/0!</v>
      </c>
      <c r="AB31" s="365"/>
      <c r="AC31" s="17"/>
      <c r="AD31" s="17"/>
      <c r="AE31" s="17"/>
      <c r="AF31" s="17"/>
      <c r="AG31" s="17"/>
      <c r="AH31" s="9" t="e">
        <f t="shared" si="9"/>
        <v>#DIV/0!</v>
      </c>
      <c r="AI31" s="17"/>
      <c r="AJ31" s="17"/>
      <c r="AK31" s="17"/>
      <c r="AL31" s="17"/>
      <c r="AM31" s="17"/>
      <c r="AN31" s="9" t="e">
        <f t="shared" si="10"/>
        <v>#DIV/0!</v>
      </c>
      <c r="AO31" s="17"/>
      <c r="AP31" s="17"/>
      <c r="AQ31" s="17"/>
      <c r="AR31" s="17"/>
      <c r="AS31" s="17"/>
      <c r="AT31" s="9" t="e">
        <f t="shared" si="11"/>
        <v>#DIV/0!</v>
      </c>
      <c r="AU31" s="208"/>
      <c r="AV31" s="209"/>
      <c r="AW31" s="9" t="str">
        <f t="shared" si="12"/>
        <v>0</v>
      </c>
      <c r="AX31" s="7" t="e">
        <f t="shared" si="1"/>
        <v>#DIV/0!</v>
      </c>
      <c r="AY31" s="18" t="e">
        <f t="shared" si="24"/>
        <v>#DIV/0!</v>
      </c>
      <c r="AZ31" s="231" t="e">
        <f t="shared" ref="AZ31" si="39">IF(BP31&gt;=4.5, " 5 ", IF(BP31&gt;=3.5," 4 ",IF(BP31&gt;=2.5," 3  ",IF(BP31&gt;=1.5," 2 ",IF(BP31&gt;=1,"1 ",IF(BP31&gt;=0,"0"))))))</f>
        <v>#DIV/0!</v>
      </c>
      <c r="BA31" s="4" t="e">
        <f t="shared" si="2"/>
        <v>#DIV/0!</v>
      </c>
      <c r="BB31" s="4" t="e">
        <f t="shared" si="13"/>
        <v>#DIV/0!</v>
      </c>
      <c r="BC31" s="4" t="e">
        <f t="shared" si="14"/>
        <v>#DIV/0!</v>
      </c>
      <c r="BD31" s="4">
        <f t="shared" si="15"/>
        <v>0</v>
      </c>
      <c r="BE31" s="12" t="e">
        <f t="shared" si="3"/>
        <v>#DIV/0!</v>
      </c>
      <c r="BF31" s="4" t="e">
        <f t="shared" si="16"/>
        <v>#DIV/0!</v>
      </c>
      <c r="BG31" s="4" t="e">
        <f t="shared" si="17"/>
        <v>#DIV/0!</v>
      </c>
      <c r="BH31" s="4" t="e">
        <f t="shared" si="18"/>
        <v>#DIV/0!</v>
      </c>
      <c r="BI31" s="4">
        <f t="shared" si="19"/>
        <v>0</v>
      </c>
      <c r="BJ31" s="12" t="e">
        <f t="shared" si="4"/>
        <v>#DIV/0!</v>
      </c>
      <c r="BK31" s="12" t="e">
        <f t="shared" si="5"/>
        <v>#DIV/0!</v>
      </c>
      <c r="BL31" s="12" t="e">
        <f>(BE31+BJ31)/2</f>
        <v>#DIV/0!</v>
      </c>
      <c r="BM31" s="10" t="e">
        <f t="shared" si="21"/>
        <v>#DIV/0!</v>
      </c>
      <c r="BN31" s="176" t="e">
        <f t="shared" si="32"/>
        <v>#DIV/0!</v>
      </c>
      <c r="BO31" s="12"/>
      <c r="BP31" s="11" t="e">
        <f t="shared" si="26"/>
        <v>#DIV/0!</v>
      </c>
      <c r="BQ31" s="6"/>
      <c r="BR31" s="6"/>
    </row>
    <row r="32" spans="1:70" ht="21" customHeight="1" thickBot="1">
      <c r="A32" s="333"/>
      <c r="B32" s="321"/>
      <c r="C32" s="322"/>
      <c r="D32" s="225"/>
      <c r="E32" s="20">
        <v>2</v>
      </c>
      <c r="F32" s="17"/>
      <c r="G32" s="17"/>
      <c r="H32" s="17"/>
      <c r="I32" s="17"/>
      <c r="J32" s="17"/>
      <c r="K32" s="8" t="e">
        <f t="shared" si="6"/>
        <v>#DIV/0!</v>
      </c>
      <c r="L32" s="17"/>
      <c r="M32" s="17"/>
      <c r="N32" s="17"/>
      <c r="O32" s="17"/>
      <c r="P32" s="17"/>
      <c r="Q32" s="9" t="e">
        <f t="shared" si="23"/>
        <v>#DIV/0!</v>
      </c>
      <c r="R32" s="17"/>
      <c r="S32" s="17"/>
      <c r="T32" s="17"/>
      <c r="U32" s="17"/>
      <c r="V32" s="17"/>
      <c r="W32" s="9" t="e">
        <f t="shared" si="7"/>
        <v>#DIV/0!</v>
      </c>
      <c r="X32" s="233"/>
      <c r="Y32" s="234"/>
      <c r="Z32" s="9" t="str">
        <f t="shared" si="8"/>
        <v>0</v>
      </c>
      <c r="AA32" s="7" t="e">
        <f t="shared" si="0"/>
        <v>#DIV/0!</v>
      </c>
      <c r="AB32" s="365"/>
      <c r="AC32" s="17"/>
      <c r="AD32" s="17"/>
      <c r="AE32" s="17"/>
      <c r="AF32" s="17"/>
      <c r="AG32" s="17"/>
      <c r="AH32" s="9" t="e">
        <f t="shared" si="9"/>
        <v>#DIV/0!</v>
      </c>
      <c r="AI32" s="17"/>
      <c r="AJ32" s="17"/>
      <c r="AK32" s="17"/>
      <c r="AL32" s="17"/>
      <c r="AM32" s="17"/>
      <c r="AN32" s="9" t="e">
        <f t="shared" si="10"/>
        <v>#DIV/0!</v>
      </c>
      <c r="AO32" s="17"/>
      <c r="AP32" s="17"/>
      <c r="AQ32" s="17"/>
      <c r="AR32" s="17"/>
      <c r="AS32" s="17"/>
      <c r="AT32" s="9" t="e">
        <f t="shared" si="11"/>
        <v>#DIV/0!</v>
      </c>
      <c r="AU32" s="208"/>
      <c r="AV32" s="209"/>
      <c r="AW32" s="9" t="str">
        <f t="shared" si="12"/>
        <v>0</v>
      </c>
      <c r="AX32" s="7" t="e">
        <f t="shared" si="1"/>
        <v>#DIV/0!</v>
      </c>
      <c r="AY32" s="18" t="e">
        <f t="shared" si="24"/>
        <v>#DIV/0!</v>
      </c>
      <c r="AZ32" s="232"/>
      <c r="BA32" s="4" t="e">
        <f t="shared" si="2"/>
        <v>#DIV/0!</v>
      </c>
      <c r="BB32" s="4" t="e">
        <f t="shared" si="13"/>
        <v>#DIV/0!</v>
      </c>
      <c r="BC32" s="4" t="e">
        <f t="shared" si="14"/>
        <v>#DIV/0!</v>
      </c>
      <c r="BD32" s="4">
        <f t="shared" si="15"/>
        <v>0</v>
      </c>
      <c r="BE32" s="12" t="e">
        <f t="shared" si="3"/>
        <v>#DIV/0!</v>
      </c>
      <c r="BF32" s="4" t="e">
        <f t="shared" si="16"/>
        <v>#DIV/0!</v>
      </c>
      <c r="BG32" s="4" t="e">
        <f t="shared" si="17"/>
        <v>#DIV/0!</v>
      </c>
      <c r="BH32" s="4" t="e">
        <f t="shared" si="18"/>
        <v>#DIV/0!</v>
      </c>
      <c r="BI32" s="4">
        <f t="shared" si="19"/>
        <v>0</v>
      </c>
      <c r="BJ32" s="12" t="e">
        <f t="shared" si="4"/>
        <v>#DIV/0!</v>
      </c>
      <c r="BK32" s="12" t="e">
        <f t="shared" si="5"/>
        <v>#DIV/0!</v>
      </c>
      <c r="BL32" s="12"/>
      <c r="BM32" s="10"/>
      <c r="BN32" s="176"/>
      <c r="BO32" s="12" t="e">
        <f t="shared" si="20"/>
        <v>#DIV/0!</v>
      </c>
      <c r="BP32" s="11"/>
      <c r="BQ32" s="6"/>
      <c r="BR32" s="6"/>
    </row>
    <row r="33" spans="1:70" ht="19.5" customHeight="1">
      <c r="A33" s="332">
        <v>11</v>
      </c>
      <c r="B33" s="324"/>
      <c r="C33" s="325"/>
      <c r="D33" s="323"/>
      <c r="E33" s="21">
        <v>1</v>
      </c>
      <c r="F33" s="17"/>
      <c r="G33" s="17"/>
      <c r="H33" s="17"/>
      <c r="I33" s="17"/>
      <c r="J33" s="17"/>
      <c r="K33" s="8" t="e">
        <f t="shared" si="6"/>
        <v>#DIV/0!</v>
      </c>
      <c r="L33" s="17"/>
      <c r="M33" s="17"/>
      <c r="N33" s="17"/>
      <c r="O33" s="17"/>
      <c r="P33" s="17"/>
      <c r="Q33" s="9" t="e">
        <f t="shared" si="23"/>
        <v>#DIV/0!</v>
      </c>
      <c r="R33" s="17"/>
      <c r="S33" s="17"/>
      <c r="T33" s="17"/>
      <c r="U33" s="17"/>
      <c r="V33" s="17"/>
      <c r="W33" s="9" t="e">
        <f t="shared" si="7"/>
        <v>#DIV/0!</v>
      </c>
      <c r="X33" s="233"/>
      <c r="Y33" s="234"/>
      <c r="Z33" s="9" t="str">
        <f t="shared" si="8"/>
        <v>0</v>
      </c>
      <c r="AA33" s="7" t="e">
        <f t="shared" si="0"/>
        <v>#DIV/0!</v>
      </c>
      <c r="AB33" s="365"/>
      <c r="AC33" s="17"/>
      <c r="AD33" s="17"/>
      <c r="AE33" s="17"/>
      <c r="AF33" s="17"/>
      <c r="AG33" s="17"/>
      <c r="AH33" s="9" t="e">
        <f t="shared" si="9"/>
        <v>#DIV/0!</v>
      </c>
      <c r="AI33" s="17"/>
      <c r="AJ33" s="17"/>
      <c r="AK33" s="17"/>
      <c r="AL33" s="17"/>
      <c r="AM33" s="17"/>
      <c r="AN33" s="9" t="e">
        <f t="shared" si="10"/>
        <v>#DIV/0!</v>
      </c>
      <c r="AO33" s="17"/>
      <c r="AP33" s="17"/>
      <c r="AQ33" s="17"/>
      <c r="AR33" s="17"/>
      <c r="AS33" s="17"/>
      <c r="AT33" s="9" t="e">
        <f t="shared" si="11"/>
        <v>#DIV/0!</v>
      </c>
      <c r="AU33" s="208"/>
      <c r="AV33" s="209"/>
      <c r="AW33" s="9" t="str">
        <f t="shared" si="12"/>
        <v>0</v>
      </c>
      <c r="AX33" s="7" t="e">
        <f t="shared" si="1"/>
        <v>#DIV/0!</v>
      </c>
      <c r="AY33" s="18" t="e">
        <f t="shared" si="24"/>
        <v>#DIV/0!</v>
      </c>
      <c r="AZ33" s="231" t="e">
        <f t="shared" ref="AZ33" si="40">IF(BP33&gt;=4.5, " 5 ", IF(BP33&gt;=3.5," 4 ",IF(BP33&gt;=2.5," 3  ",IF(BP33&gt;=1.5," 2 ",IF(BP33&gt;=1,"1 ",IF(BP33&gt;=0,"0"))))))</f>
        <v>#DIV/0!</v>
      </c>
      <c r="BA33" s="4" t="e">
        <f t="shared" si="2"/>
        <v>#DIV/0!</v>
      </c>
      <c r="BB33" s="4" t="e">
        <f t="shared" si="13"/>
        <v>#DIV/0!</v>
      </c>
      <c r="BC33" s="4" t="e">
        <f t="shared" si="14"/>
        <v>#DIV/0!</v>
      </c>
      <c r="BD33" s="4">
        <f t="shared" si="15"/>
        <v>0</v>
      </c>
      <c r="BE33" s="12" t="e">
        <f t="shared" si="3"/>
        <v>#DIV/0!</v>
      </c>
      <c r="BF33" s="4" t="e">
        <f t="shared" si="16"/>
        <v>#DIV/0!</v>
      </c>
      <c r="BG33" s="4" t="e">
        <f t="shared" si="17"/>
        <v>#DIV/0!</v>
      </c>
      <c r="BH33" s="4" t="e">
        <f t="shared" si="18"/>
        <v>#DIV/0!</v>
      </c>
      <c r="BI33" s="4">
        <f t="shared" si="19"/>
        <v>0</v>
      </c>
      <c r="BJ33" s="12" t="e">
        <f t="shared" si="4"/>
        <v>#DIV/0!</v>
      </c>
      <c r="BK33" s="12" t="e">
        <f t="shared" si="5"/>
        <v>#DIV/0!</v>
      </c>
      <c r="BL33" s="12" t="e">
        <f>(BE33+BJ33)/2</f>
        <v>#DIV/0!</v>
      </c>
      <c r="BM33" s="10" t="e">
        <f t="shared" si="21"/>
        <v>#DIV/0!</v>
      </c>
      <c r="BN33" s="176" t="e">
        <f t="shared" si="34"/>
        <v>#DIV/0!</v>
      </c>
      <c r="BO33" s="12"/>
      <c r="BP33" s="11" t="e">
        <f t="shared" si="26"/>
        <v>#DIV/0!</v>
      </c>
      <c r="BQ33" s="6"/>
      <c r="BR33" s="6"/>
    </row>
    <row r="34" spans="1:70" ht="21" customHeight="1" thickBot="1">
      <c r="A34" s="333"/>
      <c r="B34" s="324"/>
      <c r="C34" s="325"/>
      <c r="D34" s="323"/>
      <c r="E34" s="20">
        <v>2</v>
      </c>
      <c r="F34" s="17"/>
      <c r="G34" s="17"/>
      <c r="H34" s="17"/>
      <c r="I34" s="17"/>
      <c r="J34" s="17"/>
      <c r="K34" s="8" t="e">
        <f t="shared" si="6"/>
        <v>#DIV/0!</v>
      </c>
      <c r="L34" s="17"/>
      <c r="M34" s="17"/>
      <c r="N34" s="17"/>
      <c r="O34" s="17"/>
      <c r="P34" s="17"/>
      <c r="Q34" s="9" t="e">
        <f t="shared" si="23"/>
        <v>#DIV/0!</v>
      </c>
      <c r="R34" s="17"/>
      <c r="S34" s="17"/>
      <c r="T34" s="17"/>
      <c r="U34" s="17"/>
      <c r="V34" s="17"/>
      <c r="W34" s="9" t="e">
        <f t="shared" si="7"/>
        <v>#DIV/0!</v>
      </c>
      <c r="X34" s="233"/>
      <c r="Y34" s="234"/>
      <c r="Z34" s="9" t="str">
        <f t="shared" si="8"/>
        <v>0</v>
      </c>
      <c r="AA34" s="7" t="e">
        <f t="shared" si="0"/>
        <v>#DIV/0!</v>
      </c>
      <c r="AB34" s="365"/>
      <c r="AC34" s="17"/>
      <c r="AD34" s="17"/>
      <c r="AE34" s="17"/>
      <c r="AF34" s="17"/>
      <c r="AG34" s="17"/>
      <c r="AH34" s="9" t="e">
        <f t="shared" si="9"/>
        <v>#DIV/0!</v>
      </c>
      <c r="AI34" s="17"/>
      <c r="AJ34" s="17"/>
      <c r="AK34" s="17"/>
      <c r="AL34" s="17"/>
      <c r="AM34" s="17"/>
      <c r="AN34" s="9" t="e">
        <f t="shared" si="10"/>
        <v>#DIV/0!</v>
      </c>
      <c r="AO34" s="17"/>
      <c r="AP34" s="17"/>
      <c r="AQ34" s="17"/>
      <c r="AR34" s="17"/>
      <c r="AS34" s="17"/>
      <c r="AT34" s="9" t="e">
        <f t="shared" si="11"/>
        <v>#DIV/0!</v>
      </c>
      <c r="AU34" s="208"/>
      <c r="AV34" s="209"/>
      <c r="AW34" s="9" t="str">
        <f t="shared" si="12"/>
        <v>0</v>
      </c>
      <c r="AX34" s="7" t="e">
        <f t="shared" si="1"/>
        <v>#DIV/0!</v>
      </c>
      <c r="AY34" s="18" t="e">
        <f t="shared" si="24"/>
        <v>#DIV/0!</v>
      </c>
      <c r="AZ34" s="232"/>
      <c r="BA34" s="4" t="e">
        <f t="shared" si="2"/>
        <v>#DIV/0!</v>
      </c>
      <c r="BB34" s="4" t="e">
        <f t="shared" si="13"/>
        <v>#DIV/0!</v>
      </c>
      <c r="BC34" s="4" t="e">
        <f t="shared" si="14"/>
        <v>#DIV/0!</v>
      </c>
      <c r="BD34" s="4">
        <f t="shared" si="15"/>
        <v>0</v>
      </c>
      <c r="BE34" s="12" t="e">
        <f t="shared" si="3"/>
        <v>#DIV/0!</v>
      </c>
      <c r="BF34" s="4" t="e">
        <f t="shared" si="16"/>
        <v>#DIV/0!</v>
      </c>
      <c r="BG34" s="4" t="e">
        <f t="shared" si="17"/>
        <v>#DIV/0!</v>
      </c>
      <c r="BH34" s="4" t="e">
        <f t="shared" si="18"/>
        <v>#DIV/0!</v>
      </c>
      <c r="BI34" s="4">
        <f t="shared" si="19"/>
        <v>0</v>
      </c>
      <c r="BJ34" s="12" t="e">
        <f t="shared" si="4"/>
        <v>#DIV/0!</v>
      </c>
      <c r="BK34" s="12" t="e">
        <f t="shared" si="5"/>
        <v>#DIV/0!</v>
      </c>
      <c r="BL34" s="12"/>
      <c r="BM34" s="10"/>
      <c r="BN34" s="176"/>
      <c r="BO34" s="12" t="e">
        <f t="shared" si="20"/>
        <v>#DIV/0!</v>
      </c>
      <c r="BP34" s="11"/>
      <c r="BQ34" s="6"/>
      <c r="BR34" s="6"/>
    </row>
    <row r="35" spans="1:70" ht="23.25" customHeight="1">
      <c r="A35" s="332">
        <v>12</v>
      </c>
      <c r="B35" s="324"/>
      <c r="C35" s="325"/>
      <c r="D35" s="323"/>
      <c r="E35" s="21">
        <v>1</v>
      </c>
      <c r="F35" s="17"/>
      <c r="G35" s="17"/>
      <c r="H35" s="17"/>
      <c r="I35" s="17"/>
      <c r="J35" s="17"/>
      <c r="K35" s="8" t="e">
        <f t="shared" si="6"/>
        <v>#DIV/0!</v>
      </c>
      <c r="L35" s="17"/>
      <c r="M35" s="17"/>
      <c r="N35" s="17"/>
      <c r="O35" s="17"/>
      <c r="P35" s="17"/>
      <c r="Q35" s="9" t="e">
        <f t="shared" si="23"/>
        <v>#DIV/0!</v>
      </c>
      <c r="R35" s="17"/>
      <c r="S35" s="17"/>
      <c r="T35" s="17"/>
      <c r="U35" s="17"/>
      <c r="V35" s="17"/>
      <c r="W35" s="9" t="e">
        <f t="shared" si="7"/>
        <v>#DIV/0!</v>
      </c>
      <c r="X35" s="233"/>
      <c r="Y35" s="234"/>
      <c r="Z35" s="9" t="str">
        <f t="shared" si="8"/>
        <v>0</v>
      </c>
      <c r="AA35" s="7" t="e">
        <f t="shared" si="0"/>
        <v>#DIV/0!</v>
      </c>
      <c r="AB35" s="365"/>
      <c r="AC35" s="17"/>
      <c r="AD35" s="17"/>
      <c r="AE35" s="17"/>
      <c r="AF35" s="17"/>
      <c r="AG35" s="17"/>
      <c r="AH35" s="9" t="e">
        <f t="shared" si="9"/>
        <v>#DIV/0!</v>
      </c>
      <c r="AI35" s="17"/>
      <c r="AJ35" s="17"/>
      <c r="AK35" s="17"/>
      <c r="AL35" s="17"/>
      <c r="AM35" s="17"/>
      <c r="AN35" s="9" t="e">
        <f t="shared" si="10"/>
        <v>#DIV/0!</v>
      </c>
      <c r="AO35" s="17"/>
      <c r="AP35" s="17"/>
      <c r="AQ35" s="17"/>
      <c r="AR35" s="17"/>
      <c r="AS35" s="17"/>
      <c r="AT35" s="9" t="e">
        <f t="shared" si="11"/>
        <v>#DIV/0!</v>
      </c>
      <c r="AU35" s="208"/>
      <c r="AV35" s="209"/>
      <c r="AW35" s="9" t="str">
        <f t="shared" si="12"/>
        <v>0</v>
      </c>
      <c r="AX35" s="7" t="e">
        <f t="shared" si="1"/>
        <v>#DIV/0!</v>
      </c>
      <c r="AY35" s="18" t="e">
        <f t="shared" si="24"/>
        <v>#DIV/0!</v>
      </c>
      <c r="AZ35" s="231" t="e">
        <f t="shared" ref="AZ35" si="41">IF(BP35&gt;=4.5, " 5 ", IF(BP35&gt;=3.5," 4 ",IF(BP35&gt;=2.5," 3  ",IF(BP35&gt;=1.5," 2 ",IF(BP35&gt;=1,"1 ",IF(BP35&gt;=0,"0"))))))</f>
        <v>#DIV/0!</v>
      </c>
      <c r="BA35" s="4" t="e">
        <f t="shared" si="2"/>
        <v>#DIV/0!</v>
      </c>
      <c r="BB35" s="4" t="e">
        <f t="shared" si="13"/>
        <v>#DIV/0!</v>
      </c>
      <c r="BC35" s="4" t="e">
        <f t="shared" si="14"/>
        <v>#DIV/0!</v>
      </c>
      <c r="BD35" s="4">
        <f t="shared" si="15"/>
        <v>0</v>
      </c>
      <c r="BE35" s="12" t="e">
        <f t="shared" si="3"/>
        <v>#DIV/0!</v>
      </c>
      <c r="BF35" s="4" t="e">
        <f t="shared" si="16"/>
        <v>#DIV/0!</v>
      </c>
      <c r="BG35" s="4" t="e">
        <f t="shared" si="17"/>
        <v>#DIV/0!</v>
      </c>
      <c r="BH35" s="4" t="e">
        <f t="shared" si="18"/>
        <v>#DIV/0!</v>
      </c>
      <c r="BI35" s="4">
        <f t="shared" si="19"/>
        <v>0</v>
      </c>
      <c r="BJ35" s="12" t="e">
        <f t="shared" si="4"/>
        <v>#DIV/0!</v>
      </c>
      <c r="BK35" s="12" t="e">
        <f t="shared" si="5"/>
        <v>#DIV/0!</v>
      </c>
      <c r="BL35" s="12" t="e">
        <f>(BE35+BJ35)/2</f>
        <v>#DIV/0!</v>
      </c>
      <c r="BM35" s="10" t="e">
        <f t="shared" si="21"/>
        <v>#DIV/0!</v>
      </c>
      <c r="BN35" s="176" t="e">
        <f t="shared" si="36"/>
        <v>#DIV/0!</v>
      </c>
      <c r="BO35" s="12"/>
      <c r="BP35" s="11" t="e">
        <f t="shared" si="26"/>
        <v>#DIV/0!</v>
      </c>
      <c r="BQ35" s="6"/>
      <c r="BR35" s="6"/>
    </row>
    <row r="36" spans="1:70" ht="23.25" customHeight="1" thickBot="1">
      <c r="A36" s="333"/>
      <c r="B36" s="324"/>
      <c r="C36" s="325"/>
      <c r="D36" s="323"/>
      <c r="E36" s="20">
        <v>2</v>
      </c>
      <c r="F36" s="17"/>
      <c r="G36" s="17"/>
      <c r="H36" s="17"/>
      <c r="I36" s="17"/>
      <c r="J36" s="17"/>
      <c r="K36" s="8" t="e">
        <f t="shared" si="6"/>
        <v>#DIV/0!</v>
      </c>
      <c r="L36" s="17"/>
      <c r="M36" s="17"/>
      <c r="N36" s="17"/>
      <c r="O36" s="17"/>
      <c r="P36" s="17"/>
      <c r="Q36" s="9" t="e">
        <f t="shared" si="23"/>
        <v>#DIV/0!</v>
      </c>
      <c r="R36" s="17"/>
      <c r="S36" s="17"/>
      <c r="T36" s="17"/>
      <c r="U36" s="17"/>
      <c r="V36" s="17"/>
      <c r="W36" s="9" t="e">
        <f t="shared" si="7"/>
        <v>#DIV/0!</v>
      </c>
      <c r="X36" s="233"/>
      <c r="Y36" s="234"/>
      <c r="Z36" s="9" t="str">
        <f t="shared" si="8"/>
        <v>0</v>
      </c>
      <c r="AA36" s="7" t="e">
        <f t="shared" si="0"/>
        <v>#DIV/0!</v>
      </c>
      <c r="AB36" s="365"/>
      <c r="AC36" s="17"/>
      <c r="AD36" s="17"/>
      <c r="AE36" s="17"/>
      <c r="AF36" s="17"/>
      <c r="AG36" s="17"/>
      <c r="AH36" s="9" t="e">
        <f t="shared" si="9"/>
        <v>#DIV/0!</v>
      </c>
      <c r="AI36" s="17"/>
      <c r="AJ36" s="17"/>
      <c r="AK36" s="17"/>
      <c r="AL36" s="17"/>
      <c r="AM36" s="17"/>
      <c r="AN36" s="9" t="e">
        <f t="shared" si="10"/>
        <v>#DIV/0!</v>
      </c>
      <c r="AO36" s="17"/>
      <c r="AP36" s="17"/>
      <c r="AQ36" s="17"/>
      <c r="AR36" s="17"/>
      <c r="AS36" s="17"/>
      <c r="AT36" s="9" t="e">
        <f t="shared" si="11"/>
        <v>#DIV/0!</v>
      </c>
      <c r="AU36" s="208"/>
      <c r="AV36" s="209"/>
      <c r="AW36" s="9" t="str">
        <f t="shared" si="12"/>
        <v>0</v>
      </c>
      <c r="AX36" s="7" t="e">
        <f t="shared" si="1"/>
        <v>#DIV/0!</v>
      </c>
      <c r="AY36" s="18" t="e">
        <f t="shared" si="24"/>
        <v>#DIV/0!</v>
      </c>
      <c r="AZ36" s="232"/>
      <c r="BA36" s="4" t="e">
        <f t="shared" si="2"/>
        <v>#DIV/0!</v>
      </c>
      <c r="BB36" s="4" t="e">
        <f t="shared" si="13"/>
        <v>#DIV/0!</v>
      </c>
      <c r="BC36" s="4" t="e">
        <f t="shared" si="14"/>
        <v>#DIV/0!</v>
      </c>
      <c r="BD36" s="4">
        <f t="shared" si="15"/>
        <v>0</v>
      </c>
      <c r="BE36" s="12" t="e">
        <f t="shared" si="3"/>
        <v>#DIV/0!</v>
      </c>
      <c r="BF36" s="4" t="e">
        <f t="shared" si="16"/>
        <v>#DIV/0!</v>
      </c>
      <c r="BG36" s="4" t="e">
        <f t="shared" si="17"/>
        <v>#DIV/0!</v>
      </c>
      <c r="BH36" s="4" t="e">
        <f t="shared" si="18"/>
        <v>#DIV/0!</v>
      </c>
      <c r="BI36" s="4">
        <f t="shared" si="19"/>
        <v>0</v>
      </c>
      <c r="BJ36" s="12" t="e">
        <f t="shared" si="4"/>
        <v>#DIV/0!</v>
      </c>
      <c r="BK36" s="12" t="e">
        <f t="shared" si="5"/>
        <v>#DIV/0!</v>
      </c>
      <c r="BL36" s="12"/>
      <c r="BM36" s="10"/>
      <c r="BN36" s="176"/>
      <c r="BO36" s="12" t="e">
        <f t="shared" si="20"/>
        <v>#DIV/0!</v>
      </c>
      <c r="BP36" s="11"/>
      <c r="BQ36" s="6"/>
      <c r="BR36" s="6"/>
    </row>
    <row r="37" spans="1:70" ht="20.25" customHeight="1">
      <c r="A37" s="332">
        <v>13</v>
      </c>
      <c r="B37" s="324"/>
      <c r="C37" s="325"/>
      <c r="D37" s="323"/>
      <c r="E37" s="21">
        <v>1</v>
      </c>
      <c r="F37" s="17"/>
      <c r="G37" s="17"/>
      <c r="H37" s="17"/>
      <c r="I37" s="17"/>
      <c r="J37" s="17"/>
      <c r="K37" s="8" t="e">
        <f t="shared" si="6"/>
        <v>#DIV/0!</v>
      </c>
      <c r="L37" s="17"/>
      <c r="M37" s="17"/>
      <c r="N37" s="17"/>
      <c r="O37" s="17"/>
      <c r="P37" s="17"/>
      <c r="Q37" s="9" t="e">
        <f t="shared" si="23"/>
        <v>#DIV/0!</v>
      </c>
      <c r="R37" s="17"/>
      <c r="S37" s="17"/>
      <c r="T37" s="17"/>
      <c r="U37" s="17"/>
      <c r="V37" s="17"/>
      <c r="W37" s="9" t="e">
        <f t="shared" si="7"/>
        <v>#DIV/0!</v>
      </c>
      <c r="X37" s="233"/>
      <c r="Y37" s="234"/>
      <c r="Z37" s="9" t="str">
        <f t="shared" si="8"/>
        <v>0</v>
      </c>
      <c r="AA37" s="7" t="e">
        <f t="shared" si="0"/>
        <v>#DIV/0!</v>
      </c>
      <c r="AB37" s="365"/>
      <c r="AC37" s="17"/>
      <c r="AD37" s="17"/>
      <c r="AE37" s="17"/>
      <c r="AF37" s="17"/>
      <c r="AG37" s="17"/>
      <c r="AH37" s="9" t="e">
        <f t="shared" si="9"/>
        <v>#DIV/0!</v>
      </c>
      <c r="AI37" s="17"/>
      <c r="AJ37" s="17"/>
      <c r="AK37" s="17"/>
      <c r="AL37" s="17"/>
      <c r="AM37" s="17"/>
      <c r="AN37" s="9" t="e">
        <f t="shared" si="10"/>
        <v>#DIV/0!</v>
      </c>
      <c r="AO37" s="17"/>
      <c r="AP37" s="17"/>
      <c r="AQ37" s="17"/>
      <c r="AR37" s="17"/>
      <c r="AS37" s="17"/>
      <c r="AT37" s="9" t="e">
        <f t="shared" si="11"/>
        <v>#DIV/0!</v>
      </c>
      <c r="AU37" s="208"/>
      <c r="AV37" s="209"/>
      <c r="AW37" s="9" t="str">
        <f t="shared" si="12"/>
        <v>0</v>
      </c>
      <c r="AX37" s="7" t="e">
        <f t="shared" si="1"/>
        <v>#DIV/0!</v>
      </c>
      <c r="AY37" s="18" t="e">
        <f t="shared" si="24"/>
        <v>#DIV/0!</v>
      </c>
      <c r="AZ37" s="231" t="e">
        <f t="shared" ref="AZ37" si="42">IF(BP37&gt;=4.5, " 5 ", IF(BP37&gt;=3.5," 4 ",IF(BP37&gt;=2.5," 3  ",IF(BP37&gt;=1.5," 2 ",IF(BP37&gt;=1,"1 ",IF(BP37&gt;=0,"0"))))))</f>
        <v>#DIV/0!</v>
      </c>
      <c r="BA37" s="4" t="e">
        <f t="shared" si="2"/>
        <v>#DIV/0!</v>
      </c>
      <c r="BB37" s="4" t="e">
        <f t="shared" si="13"/>
        <v>#DIV/0!</v>
      </c>
      <c r="BC37" s="4" t="e">
        <f t="shared" si="14"/>
        <v>#DIV/0!</v>
      </c>
      <c r="BD37" s="4">
        <f t="shared" si="15"/>
        <v>0</v>
      </c>
      <c r="BE37" s="12" t="e">
        <f t="shared" si="3"/>
        <v>#DIV/0!</v>
      </c>
      <c r="BF37" s="4" t="e">
        <f t="shared" si="16"/>
        <v>#DIV/0!</v>
      </c>
      <c r="BG37" s="4" t="e">
        <f t="shared" si="17"/>
        <v>#DIV/0!</v>
      </c>
      <c r="BH37" s="4" t="e">
        <f t="shared" si="18"/>
        <v>#DIV/0!</v>
      </c>
      <c r="BI37" s="4">
        <f t="shared" si="19"/>
        <v>0</v>
      </c>
      <c r="BJ37" s="12" t="e">
        <f t="shared" si="4"/>
        <v>#DIV/0!</v>
      </c>
      <c r="BK37" s="12" t="e">
        <f t="shared" si="5"/>
        <v>#DIV/0!</v>
      </c>
      <c r="BL37" s="12" t="e">
        <f>(BE37+BJ37)/2</f>
        <v>#DIV/0!</v>
      </c>
      <c r="BM37" s="10" t="e">
        <f t="shared" si="21"/>
        <v>#DIV/0!</v>
      </c>
      <c r="BN37" s="176" t="e">
        <f t="shared" ref="BN37" si="43">ROUND(BO38,)</f>
        <v>#DIV/0!</v>
      </c>
      <c r="BO37" s="12"/>
      <c r="BP37" s="11" t="e">
        <f t="shared" si="26"/>
        <v>#DIV/0!</v>
      </c>
      <c r="BQ37" s="6"/>
      <c r="BR37" s="6"/>
    </row>
    <row r="38" spans="1:70" ht="15" customHeight="1" thickBot="1">
      <c r="A38" s="333"/>
      <c r="B38" s="324"/>
      <c r="C38" s="325"/>
      <c r="D38" s="323"/>
      <c r="E38" s="20">
        <v>2</v>
      </c>
      <c r="F38" s="17"/>
      <c r="G38" s="17"/>
      <c r="H38" s="17"/>
      <c r="I38" s="17"/>
      <c r="J38" s="17"/>
      <c r="K38" s="8" t="e">
        <f t="shared" si="6"/>
        <v>#DIV/0!</v>
      </c>
      <c r="L38" s="17"/>
      <c r="M38" s="17"/>
      <c r="N38" s="17"/>
      <c r="O38" s="17"/>
      <c r="P38" s="17"/>
      <c r="Q38" s="9" t="e">
        <f t="shared" si="23"/>
        <v>#DIV/0!</v>
      </c>
      <c r="R38" s="17"/>
      <c r="S38" s="17"/>
      <c r="T38" s="17"/>
      <c r="U38" s="17"/>
      <c r="V38" s="17"/>
      <c r="W38" s="9" t="e">
        <f t="shared" si="7"/>
        <v>#DIV/0!</v>
      </c>
      <c r="X38" s="233"/>
      <c r="Y38" s="234"/>
      <c r="Z38" s="9" t="str">
        <f t="shared" si="8"/>
        <v>0</v>
      </c>
      <c r="AA38" s="7" t="e">
        <f t="shared" si="0"/>
        <v>#DIV/0!</v>
      </c>
      <c r="AB38" s="365"/>
      <c r="AC38" s="17"/>
      <c r="AD38" s="17"/>
      <c r="AE38" s="17"/>
      <c r="AF38" s="17"/>
      <c r="AG38" s="17"/>
      <c r="AH38" s="9" t="e">
        <f t="shared" si="9"/>
        <v>#DIV/0!</v>
      </c>
      <c r="AI38" s="17"/>
      <c r="AJ38" s="17"/>
      <c r="AK38" s="17"/>
      <c r="AL38" s="17"/>
      <c r="AM38" s="17"/>
      <c r="AN38" s="9" t="e">
        <f t="shared" si="10"/>
        <v>#DIV/0!</v>
      </c>
      <c r="AO38" s="17"/>
      <c r="AP38" s="17"/>
      <c r="AQ38" s="17"/>
      <c r="AR38" s="17"/>
      <c r="AS38" s="17"/>
      <c r="AT38" s="9" t="e">
        <f t="shared" si="11"/>
        <v>#DIV/0!</v>
      </c>
      <c r="AU38" s="208"/>
      <c r="AV38" s="209"/>
      <c r="AW38" s="9" t="str">
        <f t="shared" si="12"/>
        <v>0</v>
      </c>
      <c r="AX38" s="7" t="e">
        <f t="shared" si="1"/>
        <v>#DIV/0!</v>
      </c>
      <c r="AY38" s="18" t="e">
        <f t="shared" si="24"/>
        <v>#DIV/0!</v>
      </c>
      <c r="AZ38" s="232"/>
      <c r="BA38" s="4" t="e">
        <f t="shared" si="2"/>
        <v>#DIV/0!</v>
      </c>
      <c r="BB38" s="4" t="e">
        <f t="shared" si="13"/>
        <v>#DIV/0!</v>
      </c>
      <c r="BC38" s="4" t="e">
        <f t="shared" si="14"/>
        <v>#DIV/0!</v>
      </c>
      <c r="BD38" s="4">
        <f t="shared" si="15"/>
        <v>0</v>
      </c>
      <c r="BE38" s="12" t="e">
        <f t="shared" si="3"/>
        <v>#DIV/0!</v>
      </c>
      <c r="BF38" s="4" t="e">
        <f t="shared" si="16"/>
        <v>#DIV/0!</v>
      </c>
      <c r="BG38" s="4" t="e">
        <f t="shared" si="17"/>
        <v>#DIV/0!</v>
      </c>
      <c r="BH38" s="4" t="e">
        <f t="shared" si="18"/>
        <v>#DIV/0!</v>
      </c>
      <c r="BI38" s="4">
        <f t="shared" si="19"/>
        <v>0</v>
      </c>
      <c r="BJ38" s="12" t="e">
        <f t="shared" si="4"/>
        <v>#DIV/0!</v>
      </c>
      <c r="BK38" s="12" t="e">
        <f t="shared" si="5"/>
        <v>#DIV/0!</v>
      </c>
      <c r="BL38" s="12"/>
      <c r="BM38" s="10"/>
      <c r="BN38" s="176"/>
      <c r="BO38" s="12" t="e">
        <f t="shared" si="20"/>
        <v>#DIV/0!</v>
      </c>
      <c r="BP38" s="11"/>
      <c r="BQ38" s="6"/>
      <c r="BR38" s="6"/>
    </row>
    <row r="39" spans="1:70" ht="20.25" customHeight="1">
      <c r="A39" s="332">
        <v>14</v>
      </c>
      <c r="B39" s="324"/>
      <c r="C39" s="325"/>
      <c r="D39" s="323"/>
      <c r="E39" s="21">
        <v>1</v>
      </c>
      <c r="F39" s="17"/>
      <c r="G39" s="17"/>
      <c r="H39" s="17"/>
      <c r="I39" s="17"/>
      <c r="J39" s="17"/>
      <c r="K39" s="8" t="e">
        <f t="shared" si="6"/>
        <v>#DIV/0!</v>
      </c>
      <c r="L39" s="17"/>
      <c r="M39" s="17"/>
      <c r="N39" s="17"/>
      <c r="O39" s="17"/>
      <c r="P39" s="17"/>
      <c r="Q39" s="9" t="e">
        <f t="shared" si="23"/>
        <v>#DIV/0!</v>
      </c>
      <c r="R39" s="17"/>
      <c r="S39" s="17"/>
      <c r="T39" s="17"/>
      <c r="U39" s="17"/>
      <c r="V39" s="17"/>
      <c r="W39" s="9" t="e">
        <f t="shared" si="7"/>
        <v>#DIV/0!</v>
      </c>
      <c r="X39" s="233"/>
      <c r="Y39" s="234"/>
      <c r="Z39" s="9" t="str">
        <f t="shared" si="8"/>
        <v>0</v>
      </c>
      <c r="AA39" s="7" t="e">
        <f t="shared" si="0"/>
        <v>#DIV/0!</v>
      </c>
      <c r="AB39" s="365"/>
      <c r="AC39" s="17"/>
      <c r="AD39" s="17"/>
      <c r="AE39" s="17"/>
      <c r="AF39" s="17"/>
      <c r="AG39" s="17"/>
      <c r="AH39" s="9" t="e">
        <f t="shared" si="9"/>
        <v>#DIV/0!</v>
      </c>
      <c r="AI39" s="17"/>
      <c r="AJ39" s="17"/>
      <c r="AK39" s="17"/>
      <c r="AL39" s="17"/>
      <c r="AM39" s="17"/>
      <c r="AN39" s="9" t="e">
        <f t="shared" si="10"/>
        <v>#DIV/0!</v>
      </c>
      <c r="AO39" s="17"/>
      <c r="AP39" s="17"/>
      <c r="AQ39" s="17"/>
      <c r="AR39" s="17"/>
      <c r="AS39" s="17"/>
      <c r="AT39" s="9" t="e">
        <f t="shared" si="11"/>
        <v>#DIV/0!</v>
      </c>
      <c r="AU39" s="208"/>
      <c r="AV39" s="209"/>
      <c r="AW39" s="9" t="str">
        <f t="shared" si="12"/>
        <v>0</v>
      </c>
      <c r="AX39" s="7" t="e">
        <f t="shared" si="1"/>
        <v>#DIV/0!</v>
      </c>
      <c r="AY39" s="18" t="e">
        <f t="shared" si="24"/>
        <v>#DIV/0!</v>
      </c>
      <c r="AZ39" s="231" t="e">
        <f t="shared" ref="AZ39" si="44">IF(BP39&gt;=4.5, " 5 ", IF(BP39&gt;=3.5," 4 ",IF(BP39&gt;=2.5," 3  ",IF(BP39&gt;=1.5," 2 ",IF(BP39&gt;=1,"1 ",IF(BP39&gt;=0,"0"))))))</f>
        <v>#DIV/0!</v>
      </c>
      <c r="BA39" s="4" t="e">
        <f t="shared" si="2"/>
        <v>#DIV/0!</v>
      </c>
      <c r="BB39" s="4" t="e">
        <f t="shared" si="13"/>
        <v>#DIV/0!</v>
      </c>
      <c r="BC39" s="4" t="e">
        <f t="shared" si="14"/>
        <v>#DIV/0!</v>
      </c>
      <c r="BD39" s="4">
        <f t="shared" si="15"/>
        <v>0</v>
      </c>
      <c r="BE39" s="12" t="e">
        <f t="shared" si="3"/>
        <v>#DIV/0!</v>
      </c>
      <c r="BF39" s="4" t="e">
        <f t="shared" si="16"/>
        <v>#DIV/0!</v>
      </c>
      <c r="BG39" s="4" t="e">
        <f t="shared" si="17"/>
        <v>#DIV/0!</v>
      </c>
      <c r="BH39" s="4" t="e">
        <f t="shared" si="18"/>
        <v>#DIV/0!</v>
      </c>
      <c r="BI39" s="4">
        <f t="shared" si="19"/>
        <v>0</v>
      </c>
      <c r="BJ39" s="12" t="e">
        <f t="shared" si="4"/>
        <v>#DIV/0!</v>
      </c>
      <c r="BK39" s="12" t="e">
        <f t="shared" si="5"/>
        <v>#DIV/0!</v>
      </c>
      <c r="BL39" s="12" t="e">
        <f>(BE39+BJ39)/2</f>
        <v>#DIV/0!</v>
      </c>
      <c r="BM39" s="10" t="e">
        <f t="shared" si="21"/>
        <v>#DIV/0!</v>
      </c>
      <c r="BN39" s="176" t="e">
        <f t="shared" si="32"/>
        <v>#DIV/0!</v>
      </c>
      <c r="BO39" s="12"/>
      <c r="BP39" s="11" t="e">
        <f t="shared" si="26"/>
        <v>#DIV/0!</v>
      </c>
      <c r="BQ39" s="6"/>
      <c r="BR39" s="6"/>
    </row>
    <row r="40" spans="1:70" ht="20.25" customHeight="1" thickBot="1">
      <c r="A40" s="333"/>
      <c r="B40" s="324"/>
      <c r="C40" s="325"/>
      <c r="D40" s="323"/>
      <c r="E40" s="20">
        <v>2</v>
      </c>
      <c r="F40" s="17"/>
      <c r="G40" s="17"/>
      <c r="H40" s="17"/>
      <c r="I40" s="17"/>
      <c r="J40" s="17"/>
      <c r="K40" s="8" t="e">
        <f t="shared" si="6"/>
        <v>#DIV/0!</v>
      </c>
      <c r="L40" s="17"/>
      <c r="M40" s="17"/>
      <c r="N40" s="17"/>
      <c r="O40" s="17"/>
      <c r="P40" s="17"/>
      <c r="Q40" s="9" t="e">
        <f t="shared" si="23"/>
        <v>#DIV/0!</v>
      </c>
      <c r="R40" s="17"/>
      <c r="S40" s="17"/>
      <c r="T40" s="17"/>
      <c r="U40" s="17"/>
      <c r="V40" s="17"/>
      <c r="W40" s="9" t="e">
        <f t="shared" si="7"/>
        <v>#DIV/0!</v>
      </c>
      <c r="X40" s="233"/>
      <c r="Y40" s="234"/>
      <c r="Z40" s="9" t="str">
        <f t="shared" si="8"/>
        <v>0</v>
      </c>
      <c r="AA40" s="7" t="e">
        <f t="shared" si="0"/>
        <v>#DIV/0!</v>
      </c>
      <c r="AB40" s="365"/>
      <c r="AC40" s="17"/>
      <c r="AD40" s="17"/>
      <c r="AE40" s="17"/>
      <c r="AF40" s="17"/>
      <c r="AG40" s="17"/>
      <c r="AH40" s="9" t="e">
        <f t="shared" si="9"/>
        <v>#DIV/0!</v>
      </c>
      <c r="AI40" s="17"/>
      <c r="AJ40" s="17"/>
      <c r="AK40" s="17"/>
      <c r="AL40" s="17"/>
      <c r="AM40" s="17"/>
      <c r="AN40" s="9" t="e">
        <f t="shared" si="10"/>
        <v>#DIV/0!</v>
      </c>
      <c r="AO40" s="17"/>
      <c r="AP40" s="17"/>
      <c r="AQ40" s="17"/>
      <c r="AR40" s="17"/>
      <c r="AS40" s="17"/>
      <c r="AT40" s="9" t="e">
        <f t="shared" si="11"/>
        <v>#DIV/0!</v>
      </c>
      <c r="AU40" s="208"/>
      <c r="AV40" s="209"/>
      <c r="AW40" s="9" t="str">
        <f t="shared" si="12"/>
        <v>0</v>
      </c>
      <c r="AX40" s="7" t="e">
        <f t="shared" si="1"/>
        <v>#DIV/0!</v>
      </c>
      <c r="AY40" s="18" t="e">
        <f t="shared" si="24"/>
        <v>#DIV/0!</v>
      </c>
      <c r="AZ40" s="232"/>
      <c r="BA40" s="4" t="e">
        <f t="shared" si="2"/>
        <v>#DIV/0!</v>
      </c>
      <c r="BB40" s="4" t="e">
        <f t="shared" si="13"/>
        <v>#DIV/0!</v>
      </c>
      <c r="BC40" s="4" t="e">
        <f t="shared" si="14"/>
        <v>#DIV/0!</v>
      </c>
      <c r="BD40" s="4">
        <f t="shared" si="15"/>
        <v>0</v>
      </c>
      <c r="BE40" s="12" t="e">
        <f t="shared" si="3"/>
        <v>#DIV/0!</v>
      </c>
      <c r="BF40" s="4" t="e">
        <f t="shared" si="16"/>
        <v>#DIV/0!</v>
      </c>
      <c r="BG40" s="4" t="e">
        <f t="shared" si="17"/>
        <v>#DIV/0!</v>
      </c>
      <c r="BH40" s="4" t="e">
        <f t="shared" si="18"/>
        <v>#DIV/0!</v>
      </c>
      <c r="BI40" s="4">
        <f t="shared" si="19"/>
        <v>0</v>
      </c>
      <c r="BJ40" s="12" t="e">
        <f t="shared" si="4"/>
        <v>#DIV/0!</v>
      </c>
      <c r="BK40" s="12" t="e">
        <f t="shared" si="5"/>
        <v>#DIV/0!</v>
      </c>
      <c r="BL40" s="12"/>
      <c r="BM40" s="10"/>
      <c r="BN40" s="176"/>
      <c r="BO40" s="12" t="e">
        <f t="shared" si="20"/>
        <v>#DIV/0!</v>
      </c>
      <c r="BP40" s="11"/>
      <c r="BQ40" s="6"/>
      <c r="BR40" s="6"/>
    </row>
    <row r="41" spans="1:70" ht="20.25" customHeight="1">
      <c r="A41" s="332">
        <v>15</v>
      </c>
      <c r="B41" s="324"/>
      <c r="C41" s="325"/>
      <c r="D41" s="323"/>
      <c r="E41" s="21">
        <v>1</v>
      </c>
      <c r="F41" s="17"/>
      <c r="G41" s="17"/>
      <c r="H41" s="17"/>
      <c r="I41" s="17"/>
      <c r="J41" s="17"/>
      <c r="K41" s="8" t="e">
        <f t="shared" si="6"/>
        <v>#DIV/0!</v>
      </c>
      <c r="L41" s="17"/>
      <c r="M41" s="17"/>
      <c r="N41" s="17"/>
      <c r="O41" s="17"/>
      <c r="P41" s="17"/>
      <c r="Q41" s="9" t="e">
        <f t="shared" si="23"/>
        <v>#DIV/0!</v>
      </c>
      <c r="R41" s="17"/>
      <c r="S41" s="17"/>
      <c r="T41" s="17"/>
      <c r="U41" s="17"/>
      <c r="V41" s="17"/>
      <c r="W41" s="9" t="e">
        <f t="shared" si="7"/>
        <v>#DIV/0!</v>
      </c>
      <c r="X41" s="233"/>
      <c r="Y41" s="234"/>
      <c r="Z41" s="9" t="str">
        <f t="shared" si="8"/>
        <v>0</v>
      </c>
      <c r="AA41" s="7" t="e">
        <f t="shared" si="0"/>
        <v>#DIV/0!</v>
      </c>
      <c r="AB41" s="365"/>
      <c r="AC41" s="17"/>
      <c r="AD41" s="17"/>
      <c r="AE41" s="17"/>
      <c r="AF41" s="17"/>
      <c r="AG41" s="17"/>
      <c r="AH41" s="9" t="e">
        <f t="shared" si="9"/>
        <v>#DIV/0!</v>
      </c>
      <c r="AI41" s="17"/>
      <c r="AJ41" s="17"/>
      <c r="AK41" s="17"/>
      <c r="AL41" s="17"/>
      <c r="AM41" s="17"/>
      <c r="AN41" s="9" t="e">
        <f t="shared" si="10"/>
        <v>#DIV/0!</v>
      </c>
      <c r="AO41" s="17"/>
      <c r="AP41" s="17"/>
      <c r="AQ41" s="17"/>
      <c r="AR41" s="17"/>
      <c r="AS41" s="17"/>
      <c r="AT41" s="9" t="e">
        <f t="shared" si="11"/>
        <v>#DIV/0!</v>
      </c>
      <c r="AU41" s="208"/>
      <c r="AV41" s="209"/>
      <c r="AW41" s="9" t="str">
        <f t="shared" si="12"/>
        <v>0</v>
      </c>
      <c r="AX41" s="7" t="e">
        <f t="shared" si="1"/>
        <v>#DIV/0!</v>
      </c>
      <c r="AY41" s="18" t="e">
        <f t="shared" si="24"/>
        <v>#DIV/0!</v>
      </c>
      <c r="AZ41" s="231" t="e">
        <f t="shared" ref="AZ41" si="45">IF(BP41&gt;=4.5, " 5 ", IF(BP41&gt;=3.5," 4 ",IF(BP41&gt;=2.5," 3  ",IF(BP41&gt;=1.5," 2 ",IF(BP41&gt;=1,"1 ",IF(BP41&gt;=0,"0"))))))</f>
        <v>#DIV/0!</v>
      </c>
      <c r="BA41" s="4" t="e">
        <f t="shared" si="2"/>
        <v>#DIV/0!</v>
      </c>
      <c r="BB41" s="4" t="e">
        <f t="shared" si="13"/>
        <v>#DIV/0!</v>
      </c>
      <c r="BC41" s="4" t="e">
        <f t="shared" si="14"/>
        <v>#DIV/0!</v>
      </c>
      <c r="BD41" s="4">
        <f t="shared" si="15"/>
        <v>0</v>
      </c>
      <c r="BE41" s="12" t="e">
        <f t="shared" si="3"/>
        <v>#DIV/0!</v>
      </c>
      <c r="BF41" s="4" t="e">
        <f t="shared" si="16"/>
        <v>#DIV/0!</v>
      </c>
      <c r="BG41" s="4" t="e">
        <f t="shared" si="17"/>
        <v>#DIV/0!</v>
      </c>
      <c r="BH41" s="4" t="e">
        <f t="shared" si="18"/>
        <v>#DIV/0!</v>
      </c>
      <c r="BI41" s="4">
        <f t="shared" si="19"/>
        <v>0</v>
      </c>
      <c r="BJ41" s="12" t="e">
        <f t="shared" si="4"/>
        <v>#DIV/0!</v>
      </c>
      <c r="BK41" s="12" t="e">
        <f t="shared" si="5"/>
        <v>#DIV/0!</v>
      </c>
      <c r="BL41" s="12" t="e">
        <f>(BE41+BJ41)/2</f>
        <v>#DIV/0!</v>
      </c>
      <c r="BM41" s="10" t="e">
        <f t="shared" si="21"/>
        <v>#DIV/0!</v>
      </c>
      <c r="BN41" s="176" t="e">
        <f t="shared" si="34"/>
        <v>#DIV/0!</v>
      </c>
      <c r="BO41" s="12"/>
      <c r="BP41" s="11" t="e">
        <f t="shared" si="26"/>
        <v>#DIV/0!</v>
      </c>
      <c r="BQ41" s="6"/>
      <c r="BR41" s="6"/>
    </row>
    <row r="42" spans="1:70" ht="20.25" customHeight="1" thickBot="1">
      <c r="A42" s="333"/>
      <c r="B42" s="324"/>
      <c r="C42" s="325"/>
      <c r="D42" s="323"/>
      <c r="E42" s="20">
        <v>2</v>
      </c>
      <c r="F42" s="17"/>
      <c r="G42" s="17"/>
      <c r="H42" s="17"/>
      <c r="I42" s="17"/>
      <c r="J42" s="17"/>
      <c r="K42" s="8" t="e">
        <f t="shared" si="6"/>
        <v>#DIV/0!</v>
      </c>
      <c r="L42" s="17"/>
      <c r="M42" s="17"/>
      <c r="N42" s="17"/>
      <c r="O42" s="17"/>
      <c r="P42" s="17"/>
      <c r="Q42" s="9" t="e">
        <f t="shared" si="23"/>
        <v>#DIV/0!</v>
      </c>
      <c r="R42" s="17"/>
      <c r="S42" s="17"/>
      <c r="T42" s="17"/>
      <c r="U42" s="17"/>
      <c r="V42" s="17"/>
      <c r="W42" s="9" t="e">
        <f t="shared" si="7"/>
        <v>#DIV/0!</v>
      </c>
      <c r="X42" s="233"/>
      <c r="Y42" s="234"/>
      <c r="Z42" s="9" t="str">
        <f t="shared" si="8"/>
        <v>0</v>
      </c>
      <c r="AA42" s="7" t="e">
        <f t="shared" si="0"/>
        <v>#DIV/0!</v>
      </c>
      <c r="AB42" s="365"/>
      <c r="AC42" s="17"/>
      <c r="AD42" s="17"/>
      <c r="AE42" s="17"/>
      <c r="AF42" s="17"/>
      <c r="AG42" s="17"/>
      <c r="AH42" s="9" t="e">
        <f t="shared" si="9"/>
        <v>#DIV/0!</v>
      </c>
      <c r="AI42" s="17"/>
      <c r="AJ42" s="17"/>
      <c r="AK42" s="17"/>
      <c r="AL42" s="17"/>
      <c r="AM42" s="17"/>
      <c r="AN42" s="9" t="e">
        <f t="shared" si="10"/>
        <v>#DIV/0!</v>
      </c>
      <c r="AO42" s="17"/>
      <c r="AP42" s="17"/>
      <c r="AQ42" s="17"/>
      <c r="AR42" s="17"/>
      <c r="AS42" s="17"/>
      <c r="AT42" s="9" t="e">
        <f t="shared" si="11"/>
        <v>#DIV/0!</v>
      </c>
      <c r="AU42" s="208"/>
      <c r="AV42" s="209"/>
      <c r="AW42" s="9" t="str">
        <f t="shared" si="12"/>
        <v>0</v>
      </c>
      <c r="AX42" s="7" t="e">
        <f t="shared" si="1"/>
        <v>#DIV/0!</v>
      </c>
      <c r="AY42" s="18" t="e">
        <f t="shared" si="24"/>
        <v>#DIV/0!</v>
      </c>
      <c r="AZ42" s="232"/>
      <c r="BA42" s="4" t="e">
        <f t="shared" si="2"/>
        <v>#DIV/0!</v>
      </c>
      <c r="BB42" s="4" t="e">
        <f t="shared" si="13"/>
        <v>#DIV/0!</v>
      </c>
      <c r="BC42" s="4" t="e">
        <f t="shared" si="14"/>
        <v>#DIV/0!</v>
      </c>
      <c r="BD42" s="4">
        <f t="shared" si="15"/>
        <v>0</v>
      </c>
      <c r="BE42" s="12" t="e">
        <f t="shared" si="3"/>
        <v>#DIV/0!</v>
      </c>
      <c r="BF42" s="4" t="e">
        <f t="shared" si="16"/>
        <v>#DIV/0!</v>
      </c>
      <c r="BG42" s="4" t="e">
        <f t="shared" si="17"/>
        <v>#DIV/0!</v>
      </c>
      <c r="BH42" s="4" t="e">
        <f t="shared" si="18"/>
        <v>#DIV/0!</v>
      </c>
      <c r="BI42" s="4">
        <f t="shared" si="19"/>
        <v>0</v>
      </c>
      <c r="BJ42" s="12" t="e">
        <f t="shared" si="4"/>
        <v>#DIV/0!</v>
      </c>
      <c r="BK42" s="12" t="e">
        <f t="shared" si="5"/>
        <v>#DIV/0!</v>
      </c>
      <c r="BL42" s="12"/>
      <c r="BM42" s="10"/>
      <c r="BN42" s="176"/>
      <c r="BO42" s="12" t="e">
        <f t="shared" si="20"/>
        <v>#DIV/0!</v>
      </c>
      <c r="BP42" s="11"/>
      <c r="BQ42" s="6"/>
      <c r="BR42" s="6"/>
    </row>
    <row r="43" spans="1:70" ht="20.25" customHeight="1">
      <c r="A43" s="332">
        <v>16</v>
      </c>
      <c r="B43" s="324"/>
      <c r="C43" s="325"/>
      <c r="D43" s="323"/>
      <c r="E43" s="22">
        <v>1</v>
      </c>
      <c r="F43" s="17"/>
      <c r="G43" s="17"/>
      <c r="H43" s="17"/>
      <c r="I43" s="17"/>
      <c r="J43" s="17"/>
      <c r="K43" s="8" t="e">
        <f t="shared" si="6"/>
        <v>#DIV/0!</v>
      </c>
      <c r="L43" s="17"/>
      <c r="M43" s="17"/>
      <c r="N43" s="17"/>
      <c r="O43" s="17"/>
      <c r="P43" s="17"/>
      <c r="Q43" s="9" t="e">
        <f t="shared" si="23"/>
        <v>#DIV/0!</v>
      </c>
      <c r="R43" s="17"/>
      <c r="S43" s="17"/>
      <c r="T43" s="17"/>
      <c r="U43" s="17"/>
      <c r="V43" s="17"/>
      <c r="W43" s="9" t="e">
        <f t="shared" si="7"/>
        <v>#DIV/0!</v>
      </c>
      <c r="X43" s="233"/>
      <c r="Y43" s="234"/>
      <c r="Z43" s="9" t="str">
        <f t="shared" si="8"/>
        <v>0</v>
      </c>
      <c r="AA43" s="7" t="e">
        <f t="shared" si="0"/>
        <v>#DIV/0!</v>
      </c>
      <c r="AB43" s="365"/>
      <c r="AC43" s="17"/>
      <c r="AD43" s="17"/>
      <c r="AE43" s="17"/>
      <c r="AF43" s="17"/>
      <c r="AG43" s="17"/>
      <c r="AH43" s="9" t="e">
        <f t="shared" si="9"/>
        <v>#DIV/0!</v>
      </c>
      <c r="AI43" s="17"/>
      <c r="AJ43" s="17"/>
      <c r="AK43" s="17"/>
      <c r="AL43" s="17"/>
      <c r="AM43" s="17"/>
      <c r="AN43" s="9" t="e">
        <f t="shared" si="10"/>
        <v>#DIV/0!</v>
      </c>
      <c r="AO43" s="17"/>
      <c r="AP43" s="17"/>
      <c r="AQ43" s="17"/>
      <c r="AR43" s="17"/>
      <c r="AS43" s="17"/>
      <c r="AT43" s="9" t="e">
        <f t="shared" si="11"/>
        <v>#DIV/0!</v>
      </c>
      <c r="AU43" s="208"/>
      <c r="AV43" s="209"/>
      <c r="AW43" s="9" t="str">
        <f t="shared" si="12"/>
        <v>0</v>
      </c>
      <c r="AX43" s="7" t="e">
        <f t="shared" si="1"/>
        <v>#DIV/0!</v>
      </c>
      <c r="AY43" s="18" t="e">
        <f t="shared" si="24"/>
        <v>#DIV/0!</v>
      </c>
      <c r="AZ43" s="231" t="e">
        <f t="shared" ref="AZ43" si="46">IF(BP43&gt;=4.5, " 5 ", IF(BP43&gt;=3.5," 4 ",IF(BP43&gt;=2.5," 3  ",IF(BP43&gt;=1.5," 2 ",IF(BP43&gt;=1,"1 ",IF(BP43&gt;=0,"0"))))))</f>
        <v>#DIV/0!</v>
      </c>
      <c r="BA43" s="4" t="e">
        <f t="shared" si="2"/>
        <v>#DIV/0!</v>
      </c>
      <c r="BB43" s="4" t="e">
        <f t="shared" si="13"/>
        <v>#DIV/0!</v>
      </c>
      <c r="BC43" s="4" t="e">
        <f t="shared" si="14"/>
        <v>#DIV/0!</v>
      </c>
      <c r="BD43" s="4">
        <f t="shared" si="15"/>
        <v>0</v>
      </c>
      <c r="BE43" s="12" t="e">
        <f t="shared" si="3"/>
        <v>#DIV/0!</v>
      </c>
      <c r="BF43" s="4" t="e">
        <f t="shared" si="16"/>
        <v>#DIV/0!</v>
      </c>
      <c r="BG43" s="4" t="e">
        <f t="shared" si="17"/>
        <v>#DIV/0!</v>
      </c>
      <c r="BH43" s="4" t="e">
        <f t="shared" si="18"/>
        <v>#DIV/0!</v>
      </c>
      <c r="BI43" s="4">
        <f t="shared" si="19"/>
        <v>0</v>
      </c>
      <c r="BJ43" s="12" t="e">
        <f t="shared" si="4"/>
        <v>#DIV/0!</v>
      </c>
      <c r="BK43" s="12" t="e">
        <f t="shared" si="5"/>
        <v>#DIV/0!</v>
      </c>
      <c r="BL43" s="12" t="e">
        <f>(BE43+BJ43)/2</f>
        <v>#DIV/0!</v>
      </c>
      <c r="BM43" s="10" t="e">
        <f t="shared" si="21"/>
        <v>#DIV/0!</v>
      </c>
      <c r="BN43" s="176" t="e">
        <f t="shared" si="36"/>
        <v>#DIV/0!</v>
      </c>
      <c r="BO43" s="12"/>
      <c r="BP43" s="11" t="e">
        <f t="shared" si="26"/>
        <v>#DIV/0!</v>
      </c>
      <c r="BQ43" s="6"/>
      <c r="BR43" s="6"/>
    </row>
    <row r="44" spans="1:70" ht="20.25" customHeight="1" thickBot="1">
      <c r="A44" s="333"/>
      <c r="B44" s="324"/>
      <c r="C44" s="325"/>
      <c r="D44" s="323"/>
      <c r="E44" s="23">
        <v>2</v>
      </c>
      <c r="F44" s="17"/>
      <c r="G44" s="17"/>
      <c r="H44" s="17"/>
      <c r="I44" s="17"/>
      <c r="J44" s="17"/>
      <c r="K44" s="8" t="e">
        <f t="shared" si="6"/>
        <v>#DIV/0!</v>
      </c>
      <c r="L44" s="17"/>
      <c r="M44" s="17"/>
      <c r="N44" s="17"/>
      <c r="O44" s="17"/>
      <c r="P44" s="17"/>
      <c r="Q44" s="9" t="e">
        <f t="shared" si="23"/>
        <v>#DIV/0!</v>
      </c>
      <c r="R44" s="17"/>
      <c r="S44" s="17"/>
      <c r="T44" s="17"/>
      <c r="U44" s="17"/>
      <c r="V44" s="17"/>
      <c r="W44" s="9" t="e">
        <f t="shared" si="7"/>
        <v>#DIV/0!</v>
      </c>
      <c r="X44" s="233"/>
      <c r="Y44" s="234"/>
      <c r="Z44" s="9" t="str">
        <f t="shared" si="8"/>
        <v>0</v>
      </c>
      <c r="AA44" s="7" t="e">
        <f t="shared" si="0"/>
        <v>#DIV/0!</v>
      </c>
      <c r="AB44" s="365"/>
      <c r="AC44" s="17"/>
      <c r="AD44" s="17"/>
      <c r="AE44" s="17"/>
      <c r="AF44" s="17"/>
      <c r="AG44" s="17"/>
      <c r="AH44" s="9" t="e">
        <f t="shared" si="9"/>
        <v>#DIV/0!</v>
      </c>
      <c r="AI44" s="17"/>
      <c r="AJ44" s="17"/>
      <c r="AK44" s="17"/>
      <c r="AL44" s="17"/>
      <c r="AM44" s="17"/>
      <c r="AN44" s="9" t="e">
        <f t="shared" si="10"/>
        <v>#DIV/0!</v>
      </c>
      <c r="AO44" s="17"/>
      <c r="AP44" s="17"/>
      <c r="AQ44" s="17"/>
      <c r="AR44" s="17"/>
      <c r="AS44" s="17"/>
      <c r="AT44" s="9" t="e">
        <f t="shared" si="11"/>
        <v>#DIV/0!</v>
      </c>
      <c r="AU44" s="208"/>
      <c r="AV44" s="209"/>
      <c r="AW44" s="9" t="str">
        <f t="shared" si="12"/>
        <v>0</v>
      </c>
      <c r="AX44" s="7" t="e">
        <f t="shared" si="1"/>
        <v>#DIV/0!</v>
      </c>
      <c r="AY44" s="18" t="e">
        <f t="shared" si="24"/>
        <v>#DIV/0!</v>
      </c>
      <c r="AZ44" s="232"/>
      <c r="BA44" s="4" t="e">
        <f t="shared" si="2"/>
        <v>#DIV/0!</v>
      </c>
      <c r="BB44" s="4" t="e">
        <f t="shared" si="13"/>
        <v>#DIV/0!</v>
      </c>
      <c r="BC44" s="4" t="e">
        <f t="shared" si="14"/>
        <v>#DIV/0!</v>
      </c>
      <c r="BD44" s="4">
        <f t="shared" si="15"/>
        <v>0</v>
      </c>
      <c r="BE44" s="12" t="e">
        <f t="shared" si="3"/>
        <v>#DIV/0!</v>
      </c>
      <c r="BF44" s="4" t="e">
        <f t="shared" si="16"/>
        <v>#DIV/0!</v>
      </c>
      <c r="BG44" s="4" t="e">
        <f t="shared" si="17"/>
        <v>#DIV/0!</v>
      </c>
      <c r="BH44" s="4" t="e">
        <f t="shared" si="18"/>
        <v>#DIV/0!</v>
      </c>
      <c r="BI44" s="4">
        <f t="shared" si="19"/>
        <v>0</v>
      </c>
      <c r="BJ44" s="12" t="e">
        <f t="shared" si="4"/>
        <v>#DIV/0!</v>
      </c>
      <c r="BK44" s="12" t="e">
        <f t="shared" si="5"/>
        <v>#DIV/0!</v>
      </c>
      <c r="BL44" s="12"/>
      <c r="BM44" s="10"/>
      <c r="BN44" s="176"/>
      <c r="BO44" s="12" t="e">
        <f t="shared" si="20"/>
        <v>#DIV/0!</v>
      </c>
      <c r="BP44" s="11"/>
      <c r="BQ44" s="6"/>
      <c r="BR44" s="6"/>
    </row>
    <row r="45" spans="1:70" ht="20.25" customHeight="1">
      <c r="A45" s="332">
        <v>17</v>
      </c>
      <c r="B45" s="324"/>
      <c r="C45" s="325"/>
      <c r="D45" s="323"/>
      <c r="E45" s="22">
        <v>1</v>
      </c>
      <c r="F45" s="17"/>
      <c r="G45" s="17"/>
      <c r="H45" s="17"/>
      <c r="I45" s="17"/>
      <c r="J45" s="17"/>
      <c r="K45" s="8" t="e">
        <f t="shared" si="6"/>
        <v>#DIV/0!</v>
      </c>
      <c r="L45" s="17"/>
      <c r="M45" s="17"/>
      <c r="N45" s="17"/>
      <c r="O45" s="17"/>
      <c r="P45" s="17"/>
      <c r="Q45" s="9" t="e">
        <f t="shared" si="23"/>
        <v>#DIV/0!</v>
      </c>
      <c r="R45" s="17"/>
      <c r="S45" s="17"/>
      <c r="T45" s="17"/>
      <c r="U45" s="17"/>
      <c r="V45" s="17"/>
      <c r="W45" s="9" t="e">
        <f t="shared" si="7"/>
        <v>#DIV/0!</v>
      </c>
      <c r="X45" s="233"/>
      <c r="Y45" s="234"/>
      <c r="Z45" s="9" t="str">
        <f t="shared" si="8"/>
        <v>0</v>
      </c>
      <c r="AA45" s="7" t="e">
        <f t="shared" si="0"/>
        <v>#DIV/0!</v>
      </c>
      <c r="AB45" s="365"/>
      <c r="AC45" s="17"/>
      <c r="AD45" s="17"/>
      <c r="AE45" s="17"/>
      <c r="AF45" s="17"/>
      <c r="AG45" s="17"/>
      <c r="AH45" s="9" t="e">
        <f t="shared" si="9"/>
        <v>#DIV/0!</v>
      </c>
      <c r="AI45" s="17"/>
      <c r="AJ45" s="17"/>
      <c r="AK45" s="17"/>
      <c r="AL45" s="17"/>
      <c r="AM45" s="17"/>
      <c r="AN45" s="9" t="e">
        <f t="shared" si="10"/>
        <v>#DIV/0!</v>
      </c>
      <c r="AO45" s="17"/>
      <c r="AP45" s="17"/>
      <c r="AQ45" s="17"/>
      <c r="AR45" s="17"/>
      <c r="AS45" s="17"/>
      <c r="AT45" s="9" t="e">
        <f t="shared" si="11"/>
        <v>#DIV/0!</v>
      </c>
      <c r="AU45" s="208"/>
      <c r="AV45" s="209"/>
      <c r="AW45" s="9" t="str">
        <f t="shared" si="12"/>
        <v>0</v>
      </c>
      <c r="AX45" s="7" t="e">
        <f t="shared" si="1"/>
        <v>#DIV/0!</v>
      </c>
      <c r="AY45" s="18" t="e">
        <f t="shared" si="24"/>
        <v>#DIV/0!</v>
      </c>
      <c r="AZ45" s="231" t="e">
        <f t="shared" ref="AZ45" si="47">IF(BP45&gt;=4.5, " 5 ", IF(BP45&gt;=3.5," 4 ",IF(BP45&gt;=2.5," 3  ",IF(BP45&gt;=1.5," 2 ",IF(BP45&gt;=1,"1 ",IF(BP45&gt;=0,"0"))))))</f>
        <v>#DIV/0!</v>
      </c>
      <c r="BA45" s="4" t="e">
        <f t="shared" si="2"/>
        <v>#DIV/0!</v>
      </c>
      <c r="BB45" s="4" t="e">
        <f t="shared" ref="BB45:BB72" si="48">$Q45*$L$12</f>
        <v>#DIV/0!</v>
      </c>
      <c r="BC45" s="4" t="e">
        <f t="shared" si="14"/>
        <v>#DIV/0!</v>
      </c>
      <c r="BD45" s="4">
        <f t="shared" si="15"/>
        <v>0</v>
      </c>
      <c r="BE45" s="12" t="e">
        <f t="shared" ref="BE45:BE72" si="49">BA45+BB45+BC45+BD45</f>
        <v>#DIV/0!</v>
      </c>
      <c r="BF45" s="4" t="e">
        <f t="shared" si="16"/>
        <v>#DIV/0!</v>
      </c>
      <c r="BG45" s="4" t="e">
        <f t="shared" si="17"/>
        <v>#DIV/0!</v>
      </c>
      <c r="BH45" s="4" t="e">
        <f t="shared" si="18"/>
        <v>#DIV/0!</v>
      </c>
      <c r="BI45" s="4">
        <f t="shared" si="19"/>
        <v>0</v>
      </c>
      <c r="BJ45" s="12" t="e">
        <f t="shared" ref="BJ45:BJ72" si="50">(BF45+BG45+BH45+BI45)</f>
        <v>#DIV/0!</v>
      </c>
      <c r="BK45" s="12" t="e">
        <f t="shared" si="5"/>
        <v>#DIV/0!</v>
      </c>
      <c r="BL45" s="12" t="e">
        <f>(BE45+BJ45)/2</f>
        <v>#DIV/0!</v>
      </c>
      <c r="BM45" s="10" t="e">
        <f t="shared" si="21"/>
        <v>#DIV/0!</v>
      </c>
      <c r="BN45" s="176" t="e">
        <f t="shared" ref="BN45" si="51">ROUND(BO46,)</f>
        <v>#DIV/0!</v>
      </c>
      <c r="BO45" s="12"/>
      <c r="BP45" s="11" t="e">
        <f t="shared" si="26"/>
        <v>#DIV/0!</v>
      </c>
      <c r="BQ45" s="6"/>
      <c r="BR45" s="6"/>
    </row>
    <row r="46" spans="1:70" ht="20.25" customHeight="1" thickBot="1">
      <c r="A46" s="333"/>
      <c r="B46" s="324"/>
      <c r="C46" s="325"/>
      <c r="D46" s="323"/>
      <c r="E46" s="23">
        <v>2</v>
      </c>
      <c r="F46" s="17"/>
      <c r="G46" s="17"/>
      <c r="H46" s="17"/>
      <c r="I46" s="17"/>
      <c r="J46" s="17"/>
      <c r="K46" s="8" t="e">
        <f t="shared" si="6"/>
        <v>#DIV/0!</v>
      </c>
      <c r="L46" s="17"/>
      <c r="M46" s="17"/>
      <c r="N46" s="17"/>
      <c r="O46" s="17"/>
      <c r="P46" s="17"/>
      <c r="Q46" s="9" t="e">
        <f t="shared" si="23"/>
        <v>#DIV/0!</v>
      </c>
      <c r="R46" s="17"/>
      <c r="S46" s="17"/>
      <c r="T46" s="17"/>
      <c r="U46" s="17"/>
      <c r="V46" s="17"/>
      <c r="W46" s="9" t="e">
        <f t="shared" si="7"/>
        <v>#DIV/0!</v>
      </c>
      <c r="X46" s="233"/>
      <c r="Y46" s="234"/>
      <c r="Z46" s="9" t="str">
        <f t="shared" si="8"/>
        <v>0</v>
      </c>
      <c r="AA46" s="7" t="e">
        <f t="shared" si="0"/>
        <v>#DIV/0!</v>
      </c>
      <c r="AB46" s="365"/>
      <c r="AC46" s="17"/>
      <c r="AD46" s="17"/>
      <c r="AE46" s="17"/>
      <c r="AF46" s="17"/>
      <c r="AG46" s="17"/>
      <c r="AH46" s="9" t="e">
        <f t="shared" si="9"/>
        <v>#DIV/0!</v>
      </c>
      <c r="AI46" s="17"/>
      <c r="AJ46" s="17"/>
      <c r="AK46" s="17"/>
      <c r="AL46" s="17"/>
      <c r="AM46" s="17"/>
      <c r="AN46" s="9" t="e">
        <f t="shared" si="10"/>
        <v>#DIV/0!</v>
      </c>
      <c r="AO46" s="17"/>
      <c r="AP46" s="17"/>
      <c r="AQ46" s="17"/>
      <c r="AR46" s="17"/>
      <c r="AS46" s="17"/>
      <c r="AT46" s="9" t="e">
        <f t="shared" si="11"/>
        <v>#DIV/0!</v>
      </c>
      <c r="AU46" s="208"/>
      <c r="AV46" s="209"/>
      <c r="AW46" s="9" t="str">
        <f t="shared" si="12"/>
        <v>0</v>
      </c>
      <c r="AX46" s="7" t="e">
        <f t="shared" si="1"/>
        <v>#DIV/0!</v>
      </c>
      <c r="AY46" s="18" t="e">
        <f t="shared" si="24"/>
        <v>#DIV/0!</v>
      </c>
      <c r="AZ46" s="232"/>
      <c r="BA46" s="4" t="e">
        <f t="shared" si="2"/>
        <v>#DIV/0!</v>
      </c>
      <c r="BB46" s="4" t="e">
        <f t="shared" si="48"/>
        <v>#DIV/0!</v>
      </c>
      <c r="BC46" s="4" t="e">
        <f t="shared" si="14"/>
        <v>#DIV/0!</v>
      </c>
      <c r="BD46" s="4">
        <f t="shared" si="15"/>
        <v>0</v>
      </c>
      <c r="BE46" s="12" t="e">
        <f t="shared" si="49"/>
        <v>#DIV/0!</v>
      </c>
      <c r="BF46" s="4" t="e">
        <f t="shared" si="16"/>
        <v>#DIV/0!</v>
      </c>
      <c r="BG46" s="4" t="e">
        <f t="shared" si="17"/>
        <v>#DIV/0!</v>
      </c>
      <c r="BH46" s="4" t="e">
        <f t="shared" si="18"/>
        <v>#DIV/0!</v>
      </c>
      <c r="BI46" s="4">
        <f t="shared" si="19"/>
        <v>0</v>
      </c>
      <c r="BJ46" s="12" t="e">
        <f t="shared" si="50"/>
        <v>#DIV/0!</v>
      </c>
      <c r="BK46" s="12" t="e">
        <f t="shared" si="5"/>
        <v>#DIV/0!</v>
      </c>
      <c r="BL46" s="12"/>
      <c r="BM46" s="10"/>
      <c r="BN46" s="176"/>
      <c r="BO46" s="12" t="e">
        <f t="shared" ref="BO46:BO72" si="52">(BE46+BJ46)/2</f>
        <v>#DIV/0!</v>
      </c>
      <c r="BP46" s="11"/>
      <c r="BQ46" s="6"/>
      <c r="BR46" s="6"/>
    </row>
    <row r="47" spans="1:70" ht="20.25" customHeight="1">
      <c r="A47" s="332">
        <v>18</v>
      </c>
      <c r="B47" s="324"/>
      <c r="C47" s="325"/>
      <c r="D47" s="323"/>
      <c r="E47" s="22">
        <v>1</v>
      </c>
      <c r="F47" s="17"/>
      <c r="G47" s="17"/>
      <c r="H47" s="17"/>
      <c r="I47" s="17"/>
      <c r="J47" s="17"/>
      <c r="K47" s="8" t="e">
        <f t="shared" si="6"/>
        <v>#DIV/0!</v>
      </c>
      <c r="L47" s="17"/>
      <c r="M47" s="17"/>
      <c r="N47" s="17"/>
      <c r="O47" s="17"/>
      <c r="P47" s="17"/>
      <c r="Q47" s="9" t="e">
        <f t="shared" si="23"/>
        <v>#DIV/0!</v>
      </c>
      <c r="R47" s="17"/>
      <c r="S47" s="17"/>
      <c r="T47" s="17"/>
      <c r="U47" s="17"/>
      <c r="V47" s="17"/>
      <c r="W47" s="9" t="e">
        <f t="shared" si="7"/>
        <v>#DIV/0!</v>
      </c>
      <c r="X47" s="233"/>
      <c r="Y47" s="234"/>
      <c r="Z47" s="9" t="str">
        <f t="shared" si="8"/>
        <v>0</v>
      </c>
      <c r="AA47" s="7" t="e">
        <f t="shared" si="0"/>
        <v>#DIV/0!</v>
      </c>
      <c r="AB47" s="365"/>
      <c r="AC47" s="17"/>
      <c r="AD47" s="17"/>
      <c r="AE47" s="17"/>
      <c r="AF47" s="17"/>
      <c r="AG47" s="17"/>
      <c r="AH47" s="9" t="e">
        <f t="shared" si="9"/>
        <v>#DIV/0!</v>
      </c>
      <c r="AI47" s="17"/>
      <c r="AJ47" s="17"/>
      <c r="AK47" s="17"/>
      <c r="AL47" s="17"/>
      <c r="AM47" s="17"/>
      <c r="AN47" s="9" t="e">
        <f t="shared" si="10"/>
        <v>#DIV/0!</v>
      </c>
      <c r="AO47" s="17"/>
      <c r="AP47" s="17"/>
      <c r="AQ47" s="17"/>
      <c r="AR47" s="17"/>
      <c r="AS47" s="17"/>
      <c r="AT47" s="9" t="e">
        <f t="shared" si="11"/>
        <v>#DIV/0!</v>
      </c>
      <c r="AU47" s="208"/>
      <c r="AV47" s="209"/>
      <c r="AW47" s="9" t="str">
        <f t="shared" si="12"/>
        <v>0</v>
      </c>
      <c r="AX47" s="7" t="e">
        <f t="shared" si="1"/>
        <v>#DIV/0!</v>
      </c>
      <c r="AY47" s="18" t="e">
        <f t="shared" si="24"/>
        <v>#DIV/0!</v>
      </c>
      <c r="AZ47" s="231" t="e">
        <f t="shared" ref="AZ47" si="53">IF(BP47&gt;=4.5, " 5 ", IF(BP47&gt;=3.5," 4 ",IF(BP47&gt;=2.5," 3  ",IF(BP47&gt;=1.5," 2 ",IF(BP47&gt;=1,"1 ",IF(BP47&gt;=0,"0"))))))</f>
        <v>#DIV/0!</v>
      </c>
      <c r="BA47" s="4" t="e">
        <f t="shared" si="2"/>
        <v>#DIV/0!</v>
      </c>
      <c r="BB47" s="4" t="e">
        <f t="shared" si="48"/>
        <v>#DIV/0!</v>
      </c>
      <c r="BC47" s="4" t="e">
        <f t="shared" si="14"/>
        <v>#DIV/0!</v>
      </c>
      <c r="BD47" s="4">
        <f t="shared" si="15"/>
        <v>0</v>
      </c>
      <c r="BE47" s="12" t="e">
        <f t="shared" si="49"/>
        <v>#DIV/0!</v>
      </c>
      <c r="BF47" s="4" t="e">
        <f t="shared" si="16"/>
        <v>#DIV/0!</v>
      </c>
      <c r="BG47" s="4" t="e">
        <f t="shared" si="17"/>
        <v>#DIV/0!</v>
      </c>
      <c r="BH47" s="4" t="e">
        <f t="shared" si="18"/>
        <v>#DIV/0!</v>
      </c>
      <c r="BI47" s="4">
        <f t="shared" si="19"/>
        <v>0</v>
      </c>
      <c r="BJ47" s="12" t="e">
        <f t="shared" si="50"/>
        <v>#DIV/0!</v>
      </c>
      <c r="BK47" s="12" t="e">
        <f t="shared" si="5"/>
        <v>#DIV/0!</v>
      </c>
      <c r="BL47" s="12" t="e">
        <f>(BE47+BJ47)/2</f>
        <v>#DIV/0!</v>
      </c>
      <c r="BM47" s="10" t="e">
        <f t="shared" si="21"/>
        <v>#DIV/0!</v>
      </c>
      <c r="BN47" s="176" t="e">
        <f t="shared" si="32"/>
        <v>#DIV/0!</v>
      </c>
      <c r="BO47" s="12"/>
      <c r="BP47" s="11" t="e">
        <f t="shared" si="26"/>
        <v>#DIV/0!</v>
      </c>
      <c r="BQ47" s="6"/>
      <c r="BR47" s="6"/>
    </row>
    <row r="48" spans="1:70" ht="20.25" customHeight="1" thickBot="1">
      <c r="A48" s="333"/>
      <c r="B48" s="324"/>
      <c r="C48" s="325"/>
      <c r="D48" s="323"/>
      <c r="E48" s="23">
        <v>2</v>
      </c>
      <c r="F48" s="17"/>
      <c r="G48" s="17"/>
      <c r="H48" s="17"/>
      <c r="I48" s="17"/>
      <c r="J48" s="17"/>
      <c r="K48" s="8" t="e">
        <f t="shared" si="6"/>
        <v>#DIV/0!</v>
      </c>
      <c r="L48" s="17"/>
      <c r="M48" s="17"/>
      <c r="N48" s="17"/>
      <c r="O48" s="17"/>
      <c r="P48" s="17"/>
      <c r="Q48" s="9" t="e">
        <f t="shared" si="23"/>
        <v>#DIV/0!</v>
      </c>
      <c r="R48" s="17"/>
      <c r="S48" s="17"/>
      <c r="T48" s="17"/>
      <c r="U48" s="17"/>
      <c r="V48" s="17"/>
      <c r="W48" s="9" t="e">
        <f t="shared" si="7"/>
        <v>#DIV/0!</v>
      </c>
      <c r="X48" s="233"/>
      <c r="Y48" s="234"/>
      <c r="Z48" s="9" t="str">
        <f t="shared" si="8"/>
        <v>0</v>
      </c>
      <c r="AA48" s="7" t="e">
        <f t="shared" si="0"/>
        <v>#DIV/0!</v>
      </c>
      <c r="AB48" s="365"/>
      <c r="AC48" s="17"/>
      <c r="AD48" s="17"/>
      <c r="AE48" s="17"/>
      <c r="AF48" s="17"/>
      <c r="AG48" s="17"/>
      <c r="AH48" s="9" t="e">
        <f t="shared" si="9"/>
        <v>#DIV/0!</v>
      </c>
      <c r="AI48" s="17"/>
      <c r="AJ48" s="17"/>
      <c r="AK48" s="17"/>
      <c r="AL48" s="17"/>
      <c r="AM48" s="17"/>
      <c r="AN48" s="9" t="e">
        <f t="shared" si="10"/>
        <v>#DIV/0!</v>
      </c>
      <c r="AO48" s="17"/>
      <c r="AP48" s="17"/>
      <c r="AQ48" s="17"/>
      <c r="AR48" s="17"/>
      <c r="AS48" s="17"/>
      <c r="AT48" s="9" t="e">
        <f t="shared" si="11"/>
        <v>#DIV/0!</v>
      </c>
      <c r="AU48" s="208"/>
      <c r="AV48" s="209"/>
      <c r="AW48" s="9" t="str">
        <f t="shared" si="12"/>
        <v>0</v>
      </c>
      <c r="AX48" s="7" t="e">
        <f t="shared" si="1"/>
        <v>#DIV/0!</v>
      </c>
      <c r="AY48" s="18" t="e">
        <f t="shared" si="24"/>
        <v>#DIV/0!</v>
      </c>
      <c r="AZ48" s="232"/>
      <c r="BA48" s="4" t="e">
        <f t="shared" si="2"/>
        <v>#DIV/0!</v>
      </c>
      <c r="BB48" s="4" t="e">
        <f t="shared" si="48"/>
        <v>#DIV/0!</v>
      </c>
      <c r="BC48" s="4" t="e">
        <f t="shared" si="14"/>
        <v>#DIV/0!</v>
      </c>
      <c r="BD48" s="4">
        <f t="shared" si="15"/>
        <v>0</v>
      </c>
      <c r="BE48" s="12" t="e">
        <f t="shared" si="49"/>
        <v>#DIV/0!</v>
      </c>
      <c r="BF48" s="4" t="e">
        <f t="shared" si="16"/>
        <v>#DIV/0!</v>
      </c>
      <c r="BG48" s="4" t="e">
        <f t="shared" si="17"/>
        <v>#DIV/0!</v>
      </c>
      <c r="BH48" s="4" t="e">
        <f t="shared" si="18"/>
        <v>#DIV/0!</v>
      </c>
      <c r="BI48" s="4">
        <f t="shared" si="19"/>
        <v>0</v>
      </c>
      <c r="BJ48" s="12" t="e">
        <f t="shared" si="50"/>
        <v>#DIV/0!</v>
      </c>
      <c r="BK48" s="12" t="e">
        <f t="shared" si="5"/>
        <v>#DIV/0!</v>
      </c>
      <c r="BL48" s="12"/>
      <c r="BM48" s="10"/>
      <c r="BN48" s="176"/>
      <c r="BO48" s="12" t="e">
        <f t="shared" si="52"/>
        <v>#DIV/0!</v>
      </c>
      <c r="BP48" s="11"/>
      <c r="BQ48" s="6"/>
      <c r="BR48" s="6"/>
    </row>
    <row r="49" spans="1:70" ht="20.25" customHeight="1">
      <c r="A49" s="332">
        <v>19</v>
      </c>
      <c r="B49" s="324"/>
      <c r="C49" s="325"/>
      <c r="D49" s="323"/>
      <c r="E49" s="22">
        <v>1</v>
      </c>
      <c r="F49" s="17"/>
      <c r="G49" s="17"/>
      <c r="H49" s="17"/>
      <c r="I49" s="17"/>
      <c r="J49" s="17"/>
      <c r="K49" s="8" t="e">
        <f t="shared" si="6"/>
        <v>#DIV/0!</v>
      </c>
      <c r="L49" s="17"/>
      <c r="M49" s="17"/>
      <c r="N49" s="17"/>
      <c r="O49" s="17"/>
      <c r="P49" s="17"/>
      <c r="Q49" s="9" t="e">
        <f t="shared" si="23"/>
        <v>#DIV/0!</v>
      </c>
      <c r="R49" s="17"/>
      <c r="S49" s="17"/>
      <c r="T49" s="17"/>
      <c r="U49" s="17"/>
      <c r="V49" s="17"/>
      <c r="W49" s="9" t="e">
        <f t="shared" si="7"/>
        <v>#DIV/0!</v>
      </c>
      <c r="X49" s="233"/>
      <c r="Y49" s="234"/>
      <c r="Z49" s="9" t="str">
        <f t="shared" si="8"/>
        <v>0</v>
      </c>
      <c r="AA49" s="7" t="e">
        <f t="shared" si="0"/>
        <v>#DIV/0!</v>
      </c>
      <c r="AB49" s="365"/>
      <c r="AC49" s="17"/>
      <c r="AD49" s="17"/>
      <c r="AE49" s="17"/>
      <c r="AF49" s="17"/>
      <c r="AG49" s="17"/>
      <c r="AH49" s="9" t="e">
        <f t="shared" si="9"/>
        <v>#DIV/0!</v>
      </c>
      <c r="AI49" s="17"/>
      <c r="AJ49" s="17"/>
      <c r="AK49" s="17"/>
      <c r="AL49" s="17"/>
      <c r="AM49" s="17"/>
      <c r="AN49" s="9" t="e">
        <f t="shared" si="10"/>
        <v>#DIV/0!</v>
      </c>
      <c r="AO49" s="17"/>
      <c r="AP49" s="17"/>
      <c r="AQ49" s="17"/>
      <c r="AR49" s="17"/>
      <c r="AS49" s="17"/>
      <c r="AT49" s="9" t="e">
        <f t="shared" si="11"/>
        <v>#DIV/0!</v>
      </c>
      <c r="AU49" s="208"/>
      <c r="AV49" s="209"/>
      <c r="AW49" s="9" t="str">
        <f t="shared" si="12"/>
        <v>0</v>
      </c>
      <c r="AX49" s="7" t="e">
        <f t="shared" si="1"/>
        <v>#DIV/0!</v>
      </c>
      <c r="AY49" s="18" t="e">
        <f t="shared" si="24"/>
        <v>#DIV/0!</v>
      </c>
      <c r="AZ49" s="231" t="e">
        <f t="shared" ref="AZ49" si="54">IF(BP49&gt;=4.5, " 5 ", IF(BP49&gt;=3.5," 4 ",IF(BP49&gt;=2.5," 3  ",IF(BP49&gt;=1.5," 2 ",IF(BP49&gt;=1,"1 ",IF(BP49&gt;=0,"0"))))))</f>
        <v>#DIV/0!</v>
      </c>
      <c r="BA49" s="4" t="e">
        <f t="shared" si="2"/>
        <v>#DIV/0!</v>
      </c>
      <c r="BB49" s="4" t="e">
        <f t="shared" si="48"/>
        <v>#DIV/0!</v>
      </c>
      <c r="BC49" s="4" t="e">
        <f t="shared" si="14"/>
        <v>#DIV/0!</v>
      </c>
      <c r="BD49" s="4">
        <f t="shared" si="15"/>
        <v>0</v>
      </c>
      <c r="BE49" s="12" t="e">
        <f t="shared" si="49"/>
        <v>#DIV/0!</v>
      </c>
      <c r="BF49" s="4" t="e">
        <f t="shared" si="16"/>
        <v>#DIV/0!</v>
      </c>
      <c r="BG49" s="4" t="e">
        <f t="shared" si="17"/>
        <v>#DIV/0!</v>
      </c>
      <c r="BH49" s="4" t="e">
        <f t="shared" si="18"/>
        <v>#DIV/0!</v>
      </c>
      <c r="BI49" s="4">
        <f t="shared" si="19"/>
        <v>0</v>
      </c>
      <c r="BJ49" s="12" t="e">
        <f t="shared" si="50"/>
        <v>#DIV/0!</v>
      </c>
      <c r="BK49" s="12" t="e">
        <f t="shared" si="5"/>
        <v>#DIV/0!</v>
      </c>
      <c r="BL49" s="12" t="e">
        <f>(BE49+BJ49)/2</f>
        <v>#DIV/0!</v>
      </c>
      <c r="BM49" s="10" t="e">
        <f t="shared" si="21"/>
        <v>#DIV/0!</v>
      </c>
      <c r="BN49" s="176" t="e">
        <f t="shared" si="34"/>
        <v>#DIV/0!</v>
      </c>
      <c r="BO49" s="12"/>
      <c r="BP49" s="11" t="e">
        <f t="shared" si="26"/>
        <v>#DIV/0!</v>
      </c>
      <c r="BQ49" s="6"/>
      <c r="BR49" s="6"/>
    </row>
    <row r="50" spans="1:70" ht="20.25" customHeight="1" thickBot="1">
      <c r="A50" s="333"/>
      <c r="B50" s="324"/>
      <c r="C50" s="325"/>
      <c r="D50" s="323"/>
      <c r="E50" s="23">
        <v>2</v>
      </c>
      <c r="F50" s="17"/>
      <c r="G50" s="17"/>
      <c r="H50" s="17"/>
      <c r="I50" s="17"/>
      <c r="J50" s="17"/>
      <c r="K50" s="8" t="e">
        <f t="shared" si="6"/>
        <v>#DIV/0!</v>
      </c>
      <c r="L50" s="17"/>
      <c r="M50" s="17"/>
      <c r="N50" s="17"/>
      <c r="O50" s="17"/>
      <c r="P50" s="17"/>
      <c r="Q50" s="9" t="e">
        <f t="shared" si="23"/>
        <v>#DIV/0!</v>
      </c>
      <c r="R50" s="17"/>
      <c r="S50" s="17"/>
      <c r="T50" s="17"/>
      <c r="U50" s="17"/>
      <c r="V50" s="17"/>
      <c r="W50" s="9" t="e">
        <f t="shared" si="7"/>
        <v>#DIV/0!</v>
      </c>
      <c r="X50" s="233"/>
      <c r="Y50" s="234"/>
      <c r="Z50" s="9" t="str">
        <f t="shared" si="8"/>
        <v>0</v>
      </c>
      <c r="AA50" s="7" t="e">
        <f t="shared" si="0"/>
        <v>#DIV/0!</v>
      </c>
      <c r="AB50" s="365"/>
      <c r="AC50" s="17"/>
      <c r="AD50" s="17"/>
      <c r="AE50" s="17"/>
      <c r="AF50" s="17"/>
      <c r="AG50" s="17"/>
      <c r="AH50" s="9" t="e">
        <f t="shared" si="9"/>
        <v>#DIV/0!</v>
      </c>
      <c r="AI50" s="17"/>
      <c r="AJ50" s="17"/>
      <c r="AK50" s="17"/>
      <c r="AL50" s="17"/>
      <c r="AM50" s="17"/>
      <c r="AN50" s="9" t="e">
        <f t="shared" si="10"/>
        <v>#DIV/0!</v>
      </c>
      <c r="AO50" s="17"/>
      <c r="AP50" s="17"/>
      <c r="AQ50" s="17"/>
      <c r="AR50" s="17"/>
      <c r="AS50" s="17"/>
      <c r="AT50" s="9" t="e">
        <f t="shared" si="11"/>
        <v>#DIV/0!</v>
      </c>
      <c r="AU50" s="208"/>
      <c r="AV50" s="209"/>
      <c r="AW50" s="9" t="str">
        <f t="shared" si="12"/>
        <v>0</v>
      </c>
      <c r="AX50" s="7" t="e">
        <f t="shared" si="1"/>
        <v>#DIV/0!</v>
      </c>
      <c r="AY50" s="18" t="e">
        <f t="shared" si="24"/>
        <v>#DIV/0!</v>
      </c>
      <c r="AZ50" s="232"/>
      <c r="BA50" s="4" t="e">
        <f t="shared" si="2"/>
        <v>#DIV/0!</v>
      </c>
      <c r="BB50" s="4" t="e">
        <f t="shared" si="48"/>
        <v>#DIV/0!</v>
      </c>
      <c r="BC50" s="4" t="e">
        <f t="shared" si="14"/>
        <v>#DIV/0!</v>
      </c>
      <c r="BD50" s="4">
        <f t="shared" si="15"/>
        <v>0</v>
      </c>
      <c r="BE50" s="12" t="e">
        <f t="shared" si="49"/>
        <v>#DIV/0!</v>
      </c>
      <c r="BF50" s="4" t="e">
        <f t="shared" si="16"/>
        <v>#DIV/0!</v>
      </c>
      <c r="BG50" s="4" t="e">
        <f t="shared" si="17"/>
        <v>#DIV/0!</v>
      </c>
      <c r="BH50" s="4" t="e">
        <f t="shared" si="18"/>
        <v>#DIV/0!</v>
      </c>
      <c r="BI50" s="4">
        <f t="shared" si="19"/>
        <v>0</v>
      </c>
      <c r="BJ50" s="12" t="e">
        <f t="shared" si="50"/>
        <v>#DIV/0!</v>
      </c>
      <c r="BK50" s="12" t="e">
        <f t="shared" si="5"/>
        <v>#DIV/0!</v>
      </c>
      <c r="BL50" s="12"/>
      <c r="BM50" s="10"/>
      <c r="BN50" s="176"/>
      <c r="BO50" s="12" t="e">
        <f t="shared" si="52"/>
        <v>#DIV/0!</v>
      </c>
      <c r="BP50" s="11"/>
      <c r="BQ50" s="6"/>
      <c r="BR50" s="6"/>
    </row>
    <row r="51" spans="1:70" ht="20.25" customHeight="1">
      <c r="A51" s="332">
        <v>20</v>
      </c>
      <c r="B51" s="324"/>
      <c r="C51" s="325"/>
      <c r="D51" s="323"/>
      <c r="E51" s="22">
        <v>1</v>
      </c>
      <c r="F51" s="17"/>
      <c r="G51" s="17"/>
      <c r="H51" s="17"/>
      <c r="I51" s="17"/>
      <c r="J51" s="17"/>
      <c r="K51" s="8" t="e">
        <f t="shared" si="6"/>
        <v>#DIV/0!</v>
      </c>
      <c r="L51" s="17"/>
      <c r="M51" s="17"/>
      <c r="N51" s="17"/>
      <c r="O51" s="17"/>
      <c r="P51" s="17"/>
      <c r="Q51" s="9" t="e">
        <f t="shared" si="23"/>
        <v>#DIV/0!</v>
      </c>
      <c r="R51" s="17"/>
      <c r="S51" s="17"/>
      <c r="T51" s="17"/>
      <c r="U51" s="17"/>
      <c r="V51" s="17"/>
      <c r="W51" s="9" t="e">
        <f t="shared" si="7"/>
        <v>#DIV/0!</v>
      </c>
      <c r="X51" s="233"/>
      <c r="Y51" s="234"/>
      <c r="Z51" s="9" t="str">
        <f t="shared" si="8"/>
        <v>0</v>
      </c>
      <c r="AA51" s="7" t="e">
        <f t="shared" si="0"/>
        <v>#DIV/0!</v>
      </c>
      <c r="AB51" s="365"/>
      <c r="AC51" s="17"/>
      <c r="AD51" s="17"/>
      <c r="AE51" s="17"/>
      <c r="AF51" s="17"/>
      <c r="AG51" s="17"/>
      <c r="AH51" s="9" t="e">
        <f t="shared" si="9"/>
        <v>#DIV/0!</v>
      </c>
      <c r="AI51" s="17"/>
      <c r="AJ51" s="17"/>
      <c r="AK51" s="17"/>
      <c r="AL51" s="17"/>
      <c r="AM51" s="17"/>
      <c r="AN51" s="9" t="e">
        <f t="shared" si="10"/>
        <v>#DIV/0!</v>
      </c>
      <c r="AO51" s="17"/>
      <c r="AP51" s="17"/>
      <c r="AQ51" s="17"/>
      <c r="AR51" s="17"/>
      <c r="AS51" s="17"/>
      <c r="AT51" s="9" t="e">
        <f t="shared" si="11"/>
        <v>#DIV/0!</v>
      </c>
      <c r="AU51" s="208"/>
      <c r="AV51" s="209"/>
      <c r="AW51" s="9" t="str">
        <f t="shared" si="12"/>
        <v>0</v>
      </c>
      <c r="AX51" s="7" t="e">
        <f t="shared" si="1"/>
        <v>#DIV/0!</v>
      </c>
      <c r="AY51" s="18" t="e">
        <f t="shared" si="24"/>
        <v>#DIV/0!</v>
      </c>
      <c r="AZ51" s="231" t="e">
        <f t="shared" ref="AZ51" si="55">IF(BP51&gt;=4.5, " 5 ", IF(BP51&gt;=3.5," 4 ",IF(BP51&gt;=2.5," 3  ",IF(BP51&gt;=1.5," 2 ",IF(BP51&gt;=1,"1 ",IF(BP51&gt;=0,"0"))))))</f>
        <v>#DIV/0!</v>
      </c>
      <c r="BA51" s="4" t="e">
        <f t="shared" si="2"/>
        <v>#DIV/0!</v>
      </c>
      <c r="BB51" s="4" t="e">
        <f t="shared" si="48"/>
        <v>#DIV/0!</v>
      </c>
      <c r="BC51" s="4" t="e">
        <f t="shared" si="14"/>
        <v>#DIV/0!</v>
      </c>
      <c r="BD51" s="4">
        <f t="shared" si="15"/>
        <v>0</v>
      </c>
      <c r="BE51" s="12" t="e">
        <f t="shared" si="49"/>
        <v>#DIV/0!</v>
      </c>
      <c r="BF51" s="4" t="e">
        <f t="shared" si="16"/>
        <v>#DIV/0!</v>
      </c>
      <c r="BG51" s="4" t="e">
        <f t="shared" si="17"/>
        <v>#DIV/0!</v>
      </c>
      <c r="BH51" s="4" t="e">
        <f t="shared" si="18"/>
        <v>#DIV/0!</v>
      </c>
      <c r="BI51" s="4">
        <f t="shared" si="19"/>
        <v>0</v>
      </c>
      <c r="BJ51" s="12" t="e">
        <f t="shared" si="50"/>
        <v>#DIV/0!</v>
      </c>
      <c r="BK51" s="12" t="e">
        <f t="shared" si="5"/>
        <v>#DIV/0!</v>
      </c>
      <c r="BL51" s="12" t="e">
        <f>(BE51+BJ51)/2</f>
        <v>#DIV/0!</v>
      </c>
      <c r="BM51" s="10" t="e">
        <f t="shared" si="21"/>
        <v>#DIV/0!</v>
      </c>
      <c r="BN51" s="176" t="e">
        <f t="shared" si="36"/>
        <v>#DIV/0!</v>
      </c>
      <c r="BO51" s="12"/>
      <c r="BP51" s="11" t="e">
        <f t="shared" si="26"/>
        <v>#DIV/0!</v>
      </c>
      <c r="BQ51" s="6"/>
      <c r="BR51" s="6"/>
    </row>
    <row r="52" spans="1:70" ht="20.25" customHeight="1" thickBot="1">
      <c r="A52" s="333"/>
      <c r="B52" s="324"/>
      <c r="C52" s="325"/>
      <c r="D52" s="323"/>
      <c r="E52" s="23">
        <v>2</v>
      </c>
      <c r="F52" s="17"/>
      <c r="G52" s="17"/>
      <c r="H52" s="17"/>
      <c r="I52" s="17"/>
      <c r="J52" s="17"/>
      <c r="K52" s="8" t="e">
        <f t="shared" si="6"/>
        <v>#DIV/0!</v>
      </c>
      <c r="L52" s="17"/>
      <c r="M52" s="17"/>
      <c r="N52" s="17"/>
      <c r="O52" s="17"/>
      <c r="P52" s="17"/>
      <c r="Q52" s="9" t="e">
        <f t="shared" si="23"/>
        <v>#DIV/0!</v>
      </c>
      <c r="R52" s="17"/>
      <c r="S52" s="17"/>
      <c r="T52" s="17"/>
      <c r="U52" s="17"/>
      <c r="V52" s="17"/>
      <c r="W52" s="9" t="e">
        <f t="shared" si="7"/>
        <v>#DIV/0!</v>
      </c>
      <c r="X52" s="233"/>
      <c r="Y52" s="234"/>
      <c r="Z52" s="9" t="str">
        <f t="shared" si="8"/>
        <v>0</v>
      </c>
      <c r="AA52" s="7" t="e">
        <f t="shared" si="0"/>
        <v>#DIV/0!</v>
      </c>
      <c r="AB52" s="365"/>
      <c r="AC52" s="17"/>
      <c r="AD52" s="17"/>
      <c r="AE52" s="17"/>
      <c r="AF52" s="17"/>
      <c r="AG52" s="17"/>
      <c r="AH52" s="9" t="e">
        <f t="shared" si="9"/>
        <v>#DIV/0!</v>
      </c>
      <c r="AI52" s="17"/>
      <c r="AJ52" s="17"/>
      <c r="AK52" s="17"/>
      <c r="AL52" s="17"/>
      <c r="AM52" s="17"/>
      <c r="AN52" s="9" t="e">
        <f t="shared" si="10"/>
        <v>#DIV/0!</v>
      </c>
      <c r="AO52" s="17"/>
      <c r="AP52" s="17"/>
      <c r="AQ52" s="17"/>
      <c r="AR52" s="17"/>
      <c r="AS52" s="17"/>
      <c r="AT52" s="9" t="e">
        <f t="shared" si="11"/>
        <v>#DIV/0!</v>
      </c>
      <c r="AU52" s="208"/>
      <c r="AV52" s="209"/>
      <c r="AW52" s="9" t="str">
        <f t="shared" si="12"/>
        <v>0</v>
      </c>
      <c r="AX52" s="7" t="e">
        <f t="shared" si="1"/>
        <v>#DIV/0!</v>
      </c>
      <c r="AY52" s="18" t="e">
        <f t="shared" si="24"/>
        <v>#DIV/0!</v>
      </c>
      <c r="AZ52" s="232"/>
      <c r="BA52" s="4" t="e">
        <f t="shared" si="2"/>
        <v>#DIV/0!</v>
      </c>
      <c r="BB52" s="4" t="e">
        <f t="shared" si="48"/>
        <v>#DIV/0!</v>
      </c>
      <c r="BC52" s="4" t="e">
        <f t="shared" si="14"/>
        <v>#DIV/0!</v>
      </c>
      <c r="BD52" s="4">
        <f t="shared" si="15"/>
        <v>0</v>
      </c>
      <c r="BE52" s="12" t="e">
        <f t="shared" si="49"/>
        <v>#DIV/0!</v>
      </c>
      <c r="BF52" s="4" t="e">
        <f t="shared" si="16"/>
        <v>#DIV/0!</v>
      </c>
      <c r="BG52" s="4" t="e">
        <f t="shared" si="17"/>
        <v>#DIV/0!</v>
      </c>
      <c r="BH52" s="4" t="e">
        <f t="shared" si="18"/>
        <v>#DIV/0!</v>
      </c>
      <c r="BI52" s="4">
        <f t="shared" si="19"/>
        <v>0</v>
      </c>
      <c r="BJ52" s="12" t="e">
        <f t="shared" si="50"/>
        <v>#DIV/0!</v>
      </c>
      <c r="BK52" s="12" t="e">
        <f t="shared" si="5"/>
        <v>#DIV/0!</v>
      </c>
      <c r="BL52" s="12"/>
      <c r="BM52" s="10"/>
      <c r="BN52" s="176"/>
      <c r="BO52" s="12" t="e">
        <f t="shared" si="52"/>
        <v>#DIV/0!</v>
      </c>
      <c r="BP52" s="11"/>
      <c r="BQ52" s="6"/>
      <c r="BR52" s="6"/>
    </row>
    <row r="53" spans="1:70" ht="20.25" customHeight="1">
      <c r="A53" s="332">
        <v>21</v>
      </c>
      <c r="B53" s="353"/>
      <c r="C53" s="354"/>
      <c r="D53" s="355"/>
      <c r="E53" s="22">
        <v>1</v>
      </c>
      <c r="F53" s="17"/>
      <c r="G53" s="17"/>
      <c r="H53" s="17"/>
      <c r="I53" s="17"/>
      <c r="J53" s="17"/>
      <c r="K53" s="8" t="e">
        <f t="shared" si="6"/>
        <v>#DIV/0!</v>
      </c>
      <c r="L53" s="17"/>
      <c r="M53" s="17"/>
      <c r="N53" s="17"/>
      <c r="O53" s="17"/>
      <c r="P53" s="17"/>
      <c r="Q53" s="9" t="e">
        <f t="shared" si="23"/>
        <v>#DIV/0!</v>
      </c>
      <c r="R53" s="17"/>
      <c r="S53" s="17"/>
      <c r="T53" s="17"/>
      <c r="U53" s="17"/>
      <c r="V53" s="17"/>
      <c r="W53" s="9" t="e">
        <f t="shared" si="7"/>
        <v>#DIV/0!</v>
      </c>
      <c r="X53" s="233"/>
      <c r="Y53" s="234"/>
      <c r="Z53" s="9" t="str">
        <f t="shared" si="8"/>
        <v>0</v>
      </c>
      <c r="AA53" s="7" t="e">
        <f t="shared" si="0"/>
        <v>#DIV/0!</v>
      </c>
      <c r="AB53" s="365"/>
      <c r="AC53" s="17"/>
      <c r="AD53" s="17"/>
      <c r="AE53" s="17"/>
      <c r="AF53" s="17"/>
      <c r="AG53" s="17"/>
      <c r="AH53" s="9" t="e">
        <f t="shared" si="9"/>
        <v>#DIV/0!</v>
      </c>
      <c r="AI53" s="17"/>
      <c r="AJ53" s="17"/>
      <c r="AK53" s="17"/>
      <c r="AL53" s="17"/>
      <c r="AM53" s="17"/>
      <c r="AN53" s="9" t="e">
        <f t="shared" si="10"/>
        <v>#DIV/0!</v>
      </c>
      <c r="AO53" s="17"/>
      <c r="AP53" s="17"/>
      <c r="AQ53" s="17"/>
      <c r="AR53" s="17"/>
      <c r="AS53" s="17"/>
      <c r="AT53" s="9" t="e">
        <f t="shared" si="11"/>
        <v>#DIV/0!</v>
      </c>
      <c r="AU53" s="208"/>
      <c r="AV53" s="209"/>
      <c r="AW53" s="9" t="str">
        <f t="shared" si="12"/>
        <v>0</v>
      </c>
      <c r="AX53" s="7" t="e">
        <f t="shared" si="1"/>
        <v>#DIV/0!</v>
      </c>
      <c r="AY53" s="18" t="e">
        <f t="shared" si="24"/>
        <v>#DIV/0!</v>
      </c>
      <c r="AZ53" s="231" t="e">
        <f t="shared" ref="AZ53" si="56">IF(BP53&gt;=4.5, " 5 ", IF(BP53&gt;=3.5," 4 ",IF(BP53&gt;=2.5," 3  ",IF(BP53&gt;=1.5," 2 ",IF(BP53&gt;=1,"1 ",IF(BP53&gt;=0,"0"))))))</f>
        <v>#DIV/0!</v>
      </c>
      <c r="BA53" s="4" t="e">
        <f t="shared" si="2"/>
        <v>#DIV/0!</v>
      </c>
      <c r="BB53" s="4" t="e">
        <f t="shared" si="48"/>
        <v>#DIV/0!</v>
      </c>
      <c r="BC53" s="4" t="e">
        <f t="shared" si="14"/>
        <v>#DIV/0!</v>
      </c>
      <c r="BD53" s="4">
        <f t="shared" si="15"/>
        <v>0</v>
      </c>
      <c r="BE53" s="12" t="e">
        <f t="shared" si="49"/>
        <v>#DIV/0!</v>
      </c>
      <c r="BF53" s="4" t="e">
        <f t="shared" si="16"/>
        <v>#DIV/0!</v>
      </c>
      <c r="BG53" s="4" t="e">
        <f t="shared" si="17"/>
        <v>#DIV/0!</v>
      </c>
      <c r="BH53" s="4" t="e">
        <f t="shared" si="18"/>
        <v>#DIV/0!</v>
      </c>
      <c r="BI53" s="4">
        <f t="shared" si="19"/>
        <v>0</v>
      </c>
      <c r="BJ53" s="12" t="e">
        <f t="shared" si="50"/>
        <v>#DIV/0!</v>
      </c>
      <c r="BK53" s="12" t="e">
        <f t="shared" si="5"/>
        <v>#DIV/0!</v>
      </c>
      <c r="BL53" s="12" t="e">
        <f>(BE53+BJ53)/2</f>
        <v>#DIV/0!</v>
      </c>
      <c r="BM53" s="10" t="e">
        <f t="shared" si="21"/>
        <v>#DIV/0!</v>
      </c>
      <c r="BN53" s="176" t="e">
        <f t="shared" ref="BN53" si="57">ROUND(BO54,)</f>
        <v>#DIV/0!</v>
      </c>
      <c r="BO53" s="12"/>
      <c r="BP53" s="11" t="e">
        <f t="shared" si="26"/>
        <v>#DIV/0!</v>
      </c>
      <c r="BQ53" s="6"/>
      <c r="BR53" s="6"/>
    </row>
    <row r="54" spans="1:70" ht="20.25" customHeight="1" thickBot="1">
      <c r="A54" s="333"/>
      <c r="B54" s="353"/>
      <c r="C54" s="354"/>
      <c r="D54" s="355"/>
      <c r="E54" s="23">
        <v>2</v>
      </c>
      <c r="F54" s="17"/>
      <c r="G54" s="17"/>
      <c r="H54" s="17"/>
      <c r="I54" s="17"/>
      <c r="J54" s="17"/>
      <c r="K54" s="8" t="e">
        <f t="shared" si="6"/>
        <v>#DIV/0!</v>
      </c>
      <c r="L54" s="17"/>
      <c r="M54" s="17"/>
      <c r="N54" s="17"/>
      <c r="O54" s="17"/>
      <c r="P54" s="17"/>
      <c r="Q54" s="9" t="e">
        <f t="shared" si="23"/>
        <v>#DIV/0!</v>
      </c>
      <c r="R54" s="17"/>
      <c r="S54" s="17"/>
      <c r="T54" s="17"/>
      <c r="U54" s="17"/>
      <c r="V54" s="17"/>
      <c r="W54" s="9" t="e">
        <f t="shared" si="7"/>
        <v>#DIV/0!</v>
      </c>
      <c r="X54" s="233"/>
      <c r="Y54" s="234"/>
      <c r="Z54" s="9" t="str">
        <f t="shared" si="8"/>
        <v>0</v>
      </c>
      <c r="AA54" s="7" t="e">
        <f t="shared" si="0"/>
        <v>#DIV/0!</v>
      </c>
      <c r="AB54" s="365"/>
      <c r="AC54" s="17"/>
      <c r="AD54" s="17"/>
      <c r="AE54" s="17"/>
      <c r="AF54" s="17"/>
      <c r="AG54" s="17"/>
      <c r="AH54" s="9" t="e">
        <f t="shared" si="9"/>
        <v>#DIV/0!</v>
      </c>
      <c r="AI54" s="17"/>
      <c r="AJ54" s="17"/>
      <c r="AK54" s="17"/>
      <c r="AL54" s="17"/>
      <c r="AM54" s="17"/>
      <c r="AN54" s="9" t="e">
        <f t="shared" si="10"/>
        <v>#DIV/0!</v>
      </c>
      <c r="AO54" s="17"/>
      <c r="AP54" s="17"/>
      <c r="AQ54" s="17"/>
      <c r="AR54" s="17"/>
      <c r="AS54" s="17"/>
      <c r="AT54" s="9" t="e">
        <f t="shared" si="11"/>
        <v>#DIV/0!</v>
      </c>
      <c r="AU54" s="208"/>
      <c r="AV54" s="209"/>
      <c r="AW54" s="9" t="str">
        <f t="shared" si="12"/>
        <v>0</v>
      </c>
      <c r="AX54" s="7" t="e">
        <f t="shared" si="1"/>
        <v>#DIV/0!</v>
      </c>
      <c r="AY54" s="18" t="e">
        <f t="shared" si="24"/>
        <v>#DIV/0!</v>
      </c>
      <c r="AZ54" s="232"/>
      <c r="BA54" s="4" t="e">
        <f t="shared" si="2"/>
        <v>#DIV/0!</v>
      </c>
      <c r="BB54" s="4" t="e">
        <f t="shared" si="48"/>
        <v>#DIV/0!</v>
      </c>
      <c r="BC54" s="4" t="e">
        <f t="shared" si="14"/>
        <v>#DIV/0!</v>
      </c>
      <c r="BD54" s="4">
        <f t="shared" si="15"/>
        <v>0</v>
      </c>
      <c r="BE54" s="12" t="e">
        <f t="shared" si="49"/>
        <v>#DIV/0!</v>
      </c>
      <c r="BF54" s="4" t="e">
        <f t="shared" si="16"/>
        <v>#DIV/0!</v>
      </c>
      <c r="BG54" s="4" t="e">
        <f t="shared" si="17"/>
        <v>#DIV/0!</v>
      </c>
      <c r="BH54" s="4" t="e">
        <f t="shared" si="18"/>
        <v>#DIV/0!</v>
      </c>
      <c r="BI54" s="4">
        <f t="shared" si="19"/>
        <v>0</v>
      </c>
      <c r="BJ54" s="12" t="e">
        <f t="shared" si="50"/>
        <v>#DIV/0!</v>
      </c>
      <c r="BK54" s="12" t="e">
        <f t="shared" si="5"/>
        <v>#DIV/0!</v>
      </c>
      <c r="BL54" s="12"/>
      <c r="BM54" s="10"/>
      <c r="BN54" s="176"/>
      <c r="BO54" s="12" t="e">
        <f t="shared" si="52"/>
        <v>#DIV/0!</v>
      </c>
      <c r="BP54" s="11"/>
      <c r="BQ54" s="6"/>
      <c r="BR54" s="6"/>
    </row>
    <row r="55" spans="1:70" ht="20.25" customHeight="1">
      <c r="A55" s="326">
        <v>22</v>
      </c>
      <c r="B55" s="353"/>
      <c r="C55" s="354"/>
      <c r="D55" s="355"/>
      <c r="E55" s="24">
        <v>1</v>
      </c>
      <c r="F55" s="17"/>
      <c r="G55" s="17"/>
      <c r="H55" s="17"/>
      <c r="I55" s="17"/>
      <c r="J55" s="17"/>
      <c r="K55" s="8" t="e">
        <f t="shared" si="6"/>
        <v>#DIV/0!</v>
      </c>
      <c r="L55" s="17"/>
      <c r="M55" s="17"/>
      <c r="N55" s="17"/>
      <c r="O55" s="17"/>
      <c r="P55" s="17"/>
      <c r="Q55" s="9" t="e">
        <f t="shared" si="23"/>
        <v>#DIV/0!</v>
      </c>
      <c r="R55" s="17"/>
      <c r="S55" s="17"/>
      <c r="T55" s="17"/>
      <c r="U55" s="17"/>
      <c r="V55" s="17"/>
      <c r="W55" s="9" t="e">
        <f t="shared" si="7"/>
        <v>#DIV/0!</v>
      </c>
      <c r="X55" s="233"/>
      <c r="Y55" s="234"/>
      <c r="Z55" s="9" t="str">
        <f t="shared" si="8"/>
        <v>0</v>
      </c>
      <c r="AA55" s="7" t="e">
        <f t="shared" si="0"/>
        <v>#DIV/0!</v>
      </c>
      <c r="AB55" s="365"/>
      <c r="AC55" s="17"/>
      <c r="AD55" s="17"/>
      <c r="AE55" s="17"/>
      <c r="AF55" s="17"/>
      <c r="AG55" s="17"/>
      <c r="AH55" s="9" t="e">
        <f t="shared" si="9"/>
        <v>#DIV/0!</v>
      </c>
      <c r="AI55" s="17"/>
      <c r="AJ55" s="17"/>
      <c r="AK55" s="17"/>
      <c r="AL55" s="17"/>
      <c r="AM55" s="17"/>
      <c r="AN55" s="9" t="e">
        <f t="shared" si="10"/>
        <v>#DIV/0!</v>
      </c>
      <c r="AO55" s="17"/>
      <c r="AP55" s="17"/>
      <c r="AQ55" s="17"/>
      <c r="AR55" s="17"/>
      <c r="AS55" s="17"/>
      <c r="AT55" s="9" t="e">
        <f t="shared" si="11"/>
        <v>#DIV/0!</v>
      </c>
      <c r="AU55" s="208"/>
      <c r="AV55" s="209"/>
      <c r="AW55" s="9" t="str">
        <f t="shared" si="12"/>
        <v>0</v>
      </c>
      <c r="AX55" s="7" t="e">
        <f t="shared" si="1"/>
        <v>#DIV/0!</v>
      </c>
      <c r="AY55" s="18" t="e">
        <f t="shared" si="24"/>
        <v>#DIV/0!</v>
      </c>
      <c r="AZ55" s="231" t="e">
        <f t="shared" ref="AZ55" si="58">IF(BP55&gt;=4.5, " 5 ", IF(BP55&gt;=3.5," 4 ",IF(BP55&gt;=2.5," 3  ",IF(BP55&gt;=1.5," 2 ",IF(BP55&gt;=1,"1 ",IF(BP55&gt;=0,"0"))))))</f>
        <v>#DIV/0!</v>
      </c>
      <c r="BA55" s="4" t="e">
        <f t="shared" si="2"/>
        <v>#DIV/0!</v>
      </c>
      <c r="BB55" s="4" t="e">
        <f t="shared" si="48"/>
        <v>#DIV/0!</v>
      </c>
      <c r="BC55" s="4" t="e">
        <f t="shared" si="14"/>
        <v>#DIV/0!</v>
      </c>
      <c r="BD55" s="4">
        <f t="shared" si="15"/>
        <v>0</v>
      </c>
      <c r="BE55" s="12" t="e">
        <f t="shared" si="49"/>
        <v>#DIV/0!</v>
      </c>
      <c r="BF55" s="4" t="e">
        <f t="shared" si="16"/>
        <v>#DIV/0!</v>
      </c>
      <c r="BG55" s="4" t="e">
        <f t="shared" si="17"/>
        <v>#DIV/0!</v>
      </c>
      <c r="BH55" s="4" t="e">
        <f t="shared" si="18"/>
        <v>#DIV/0!</v>
      </c>
      <c r="BI55" s="4">
        <f t="shared" si="19"/>
        <v>0</v>
      </c>
      <c r="BJ55" s="12" t="e">
        <f t="shared" si="50"/>
        <v>#DIV/0!</v>
      </c>
      <c r="BK55" s="12" t="e">
        <f t="shared" si="5"/>
        <v>#DIV/0!</v>
      </c>
      <c r="BL55" s="12" t="e">
        <f>(BE55+BJ55)/2</f>
        <v>#DIV/0!</v>
      </c>
      <c r="BM55" s="10" t="e">
        <f t="shared" si="21"/>
        <v>#DIV/0!</v>
      </c>
      <c r="BN55" s="176" t="e">
        <f t="shared" si="32"/>
        <v>#DIV/0!</v>
      </c>
      <c r="BO55" s="12"/>
      <c r="BP55" s="11" t="e">
        <f t="shared" si="26"/>
        <v>#DIV/0!</v>
      </c>
      <c r="BQ55" s="6"/>
      <c r="BR55" s="6"/>
    </row>
    <row r="56" spans="1:70" ht="20.25" customHeight="1" thickBot="1">
      <c r="A56" s="327"/>
      <c r="B56" s="353"/>
      <c r="C56" s="354"/>
      <c r="D56" s="355"/>
      <c r="E56" s="25">
        <v>2</v>
      </c>
      <c r="F56" s="17"/>
      <c r="G56" s="17"/>
      <c r="H56" s="17"/>
      <c r="I56" s="17"/>
      <c r="J56" s="17"/>
      <c r="K56" s="8" t="e">
        <f t="shared" si="6"/>
        <v>#DIV/0!</v>
      </c>
      <c r="L56" s="17"/>
      <c r="M56" s="17"/>
      <c r="N56" s="17"/>
      <c r="O56" s="17"/>
      <c r="P56" s="17"/>
      <c r="Q56" s="9" t="e">
        <f t="shared" si="23"/>
        <v>#DIV/0!</v>
      </c>
      <c r="R56" s="17"/>
      <c r="S56" s="17"/>
      <c r="T56" s="17"/>
      <c r="U56" s="17"/>
      <c r="V56" s="17"/>
      <c r="W56" s="9" t="e">
        <f t="shared" si="7"/>
        <v>#DIV/0!</v>
      </c>
      <c r="X56" s="233"/>
      <c r="Y56" s="234"/>
      <c r="Z56" s="9" t="str">
        <f t="shared" si="8"/>
        <v>0</v>
      </c>
      <c r="AA56" s="7" t="e">
        <f t="shared" si="0"/>
        <v>#DIV/0!</v>
      </c>
      <c r="AB56" s="365"/>
      <c r="AC56" s="17"/>
      <c r="AD56" s="17"/>
      <c r="AE56" s="17"/>
      <c r="AF56" s="17"/>
      <c r="AG56" s="17"/>
      <c r="AH56" s="9" t="e">
        <f t="shared" si="9"/>
        <v>#DIV/0!</v>
      </c>
      <c r="AI56" s="17"/>
      <c r="AJ56" s="17"/>
      <c r="AK56" s="17"/>
      <c r="AL56" s="17"/>
      <c r="AM56" s="17"/>
      <c r="AN56" s="9" t="e">
        <f t="shared" si="10"/>
        <v>#DIV/0!</v>
      </c>
      <c r="AO56" s="17"/>
      <c r="AP56" s="17"/>
      <c r="AQ56" s="17"/>
      <c r="AR56" s="17"/>
      <c r="AS56" s="17"/>
      <c r="AT56" s="9" t="e">
        <f t="shared" si="11"/>
        <v>#DIV/0!</v>
      </c>
      <c r="AU56" s="208"/>
      <c r="AV56" s="209"/>
      <c r="AW56" s="9" t="str">
        <f t="shared" si="12"/>
        <v>0</v>
      </c>
      <c r="AX56" s="7" t="e">
        <f t="shared" si="1"/>
        <v>#DIV/0!</v>
      </c>
      <c r="AY56" s="18" t="e">
        <f t="shared" si="24"/>
        <v>#DIV/0!</v>
      </c>
      <c r="AZ56" s="232"/>
      <c r="BA56" s="4" t="e">
        <f t="shared" si="2"/>
        <v>#DIV/0!</v>
      </c>
      <c r="BB56" s="4" t="e">
        <f t="shared" si="48"/>
        <v>#DIV/0!</v>
      </c>
      <c r="BC56" s="4" t="e">
        <f t="shared" si="14"/>
        <v>#DIV/0!</v>
      </c>
      <c r="BD56" s="4">
        <f t="shared" si="15"/>
        <v>0</v>
      </c>
      <c r="BE56" s="12" t="e">
        <f t="shared" si="49"/>
        <v>#DIV/0!</v>
      </c>
      <c r="BF56" s="4" t="e">
        <f t="shared" si="16"/>
        <v>#DIV/0!</v>
      </c>
      <c r="BG56" s="4" t="e">
        <f t="shared" si="17"/>
        <v>#DIV/0!</v>
      </c>
      <c r="BH56" s="4" t="e">
        <f t="shared" si="18"/>
        <v>#DIV/0!</v>
      </c>
      <c r="BI56" s="4">
        <f t="shared" si="19"/>
        <v>0</v>
      </c>
      <c r="BJ56" s="12" t="e">
        <f t="shared" si="50"/>
        <v>#DIV/0!</v>
      </c>
      <c r="BK56" s="12" t="e">
        <f t="shared" si="5"/>
        <v>#DIV/0!</v>
      </c>
      <c r="BL56" s="12"/>
      <c r="BM56" s="10"/>
      <c r="BN56" s="176"/>
      <c r="BO56" s="12" t="e">
        <f t="shared" si="52"/>
        <v>#DIV/0!</v>
      </c>
      <c r="BP56" s="11"/>
      <c r="BQ56" s="6"/>
      <c r="BR56" s="6"/>
    </row>
    <row r="57" spans="1:70" ht="20.25" customHeight="1">
      <c r="A57" s="326">
        <v>23</v>
      </c>
      <c r="B57" s="353"/>
      <c r="C57" s="354"/>
      <c r="D57" s="355"/>
      <c r="E57" s="24">
        <v>1</v>
      </c>
      <c r="F57" s="17"/>
      <c r="G57" s="17"/>
      <c r="H57" s="17"/>
      <c r="I57" s="17"/>
      <c r="J57" s="17"/>
      <c r="K57" s="8" t="e">
        <f t="shared" si="6"/>
        <v>#DIV/0!</v>
      </c>
      <c r="L57" s="17"/>
      <c r="M57" s="17"/>
      <c r="N57" s="17"/>
      <c r="O57" s="17"/>
      <c r="P57" s="17"/>
      <c r="Q57" s="9" t="e">
        <f t="shared" si="23"/>
        <v>#DIV/0!</v>
      </c>
      <c r="R57" s="17"/>
      <c r="S57" s="17"/>
      <c r="T57" s="17"/>
      <c r="U57" s="17"/>
      <c r="V57" s="17"/>
      <c r="W57" s="9" t="e">
        <f t="shared" si="7"/>
        <v>#DIV/0!</v>
      </c>
      <c r="X57" s="233"/>
      <c r="Y57" s="234"/>
      <c r="Z57" s="9" t="str">
        <f t="shared" si="8"/>
        <v>0</v>
      </c>
      <c r="AA57" s="7" t="e">
        <f t="shared" si="0"/>
        <v>#DIV/0!</v>
      </c>
      <c r="AB57" s="365"/>
      <c r="AC57" s="17"/>
      <c r="AD57" s="17"/>
      <c r="AE57" s="17"/>
      <c r="AF57" s="17"/>
      <c r="AG57" s="17"/>
      <c r="AH57" s="9" t="e">
        <f t="shared" si="9"/>
        <v>#DIV/0!</v>
      </c>
      <c r="AI57" s="17"/>
      <c r="AJ57" s="17"/>
      <c r="AK57" s="17"/>
      <c r="AL57" s="17"/>
      <c r="AM57" s="17"/>
      <c r="AN57" s="9" t="e">
        <f t="shared" si="10"/>
        <v>#DIV/0!</v>
      </c>
      <c r="AO57" s="17"/>
      <c r="AP57" s="17"/>
      <c r="AQ57" s="17"/>
      <c r="AR57" s="17"/>
      <c r="AS57" s="17"/>
      <c r="AT57" s="9" t="e">
        <f t="shared" si="11"/>
        <v>#DIV/0!</v>
      </c>
      <c r="AU57" s="208"/>
      <c r="AV57" s="209"/>
      <c r="AW57" s="9" t="str">
        <f t="shared" si="12"/>
        <v>0</v>
      </c>
      <c r="AX57" s="7" t="e">
        <f t="shared" si="1"/>
        <v>#DIV/0!</v>
      </c>
      <c r="AY57" s="18" t="e">
        <f t="shared" si="24"/>
        <v>#DIV/0!</v>
      </c>
      <c r="AZ57" s="231" t="e">
        <f t="shared" ref="AZ57" si="59">IF(BP57&gt;=4.5, " 5 ", IF(BP57&gt;=3.5," 4 ",IF(BP57&gt;=2.5," 3  ",IF(BP57&gt;=1.5," 2 ",IF(BP57&gt;=1,"1 ",IF(BP57&gt;=0,"0"))))))</f>
        <v>#DIV/0!</v>
      </c>
      <c r="BA57" s="4" t="e">
        <f t="shared" si="2"/>
        <v>#DIV/0!</v>
      </c>
      <c r="BB57" s="4" t="e">
        <f t="shared" si="48"/>
        <v>#DIV/0!</v>
      </c>
      <c r="BC57" s="4" t="e">
        <f t="shared" si="14"/>
        <v>#DIV/0!</v>
      </c>
      <c r="BD57" s="4">
        <f t="shared" si="15"/>
        <v>0</v>
      </c>
      <c r="BE57" s="12" t="e">
        <f t="shared" si="49"/>
        <v>#DIV/0!</v>
      </c>
      <c r="BF57" s="4" t="e">
        <f t="shared" si="16"/>
        <v>#DIV/0!</v>
      </c>
      <c r="BG57" s="4" t="e">
        <f t="shared" si="17"/>
        <v>#DIV/0!</v>
      </c>
      <c r="BH57" s="4" t="e">
        <f t="shared" si="18"/>
        <v>#DIV/0!</v>
      </c>
      <c r="BI57" s="4">
        <f t="shared" si="19"/>
        <v>0</v>
      </c>
      <c r="BJ57" s="12" t="e">
        <f t="shared" si="50"/>
        <v>#DIV/0!</v>
      </c>
      <c r="BK57" s="12" t="e">
        <f t="shared" si="5"/>
        <v>#DIV/0!</v>
      </c>
      <c r="BL57" s="12" t="e">
        <f>(BE57+BJ57)/2</f>
        <v>#DIV/0!</v>
      </c>
      <c r="BM57" s="10" t="e">
        <f t="shared" si="21"/>
        <v>#DIV/0!</v>
      </c>
      <c r="BN57" s="176" t="e">
        <f t="shared" si="34"/>
        <v>#DIV/0!</v>
      </c>
      <c r="BO57" s="12"/>
      <c r="BP57" s="11" t="e">
        <f t="shared" si="26"/>
        <v>#DIV/0!</v>
      </c>
      <c r="BQ57" s="6"/>
      <c r="BR57" s="6"/>
    </row>
    <row r="58" spans="1:70" ht="20.25" customHeight="1" thickBot="1">
      <c r="A58" s="327"/>
      <c r="B58" s="353"/>
      <c r="C58" s="354"/>
      <c r="D58" s="355"/>
      <c r="E58" s="25">
        <v>2</v>
      </c>
      <c r="F58" s="17"/>
      <c r="G58" s="17"/>
      <c r="H58" s="17"/>
      <c r="I58" s="17"/>
      <c r="J58" s="17"/>
      <c r="K58" s="8" t="e">
        <f t="shared" si="6"/>
        <v>#DIV/0!</v>
      </c>
      <c r="L58" s="17"/>
      <c r="M58" s="17"/>
      <c r="N58" s="17"/>
      <c r="O58" s="17"/>
      <c r="P58" s="17"/>
      <c r="Q58" s="9" t="e">
        <f t="shared" si="23"/>
        <v>#DIV/0!</v>
      </c>
      <c r="R58" s="17"/>
      <c r="S58" s="17"/>
      <c r="T58" s="17"/>
      <c r="U58" s="17"/>
      <c r="V58" s="17"/>
      <c r="W58" s="9" t="e">
        <f t="shared" si="7"/>
        <v>#DIV/0!</v>
      </c>
      <c r="X58" s="233"/>
      <c r="Y58" s="234"/>
      <c r="Z58" s="9" t="str">
        <f t="shared" si="8"/>
        <v>0</v>
      </c>
      <c r="AA58" s="7" t="e">
        <f t="shared" si="0"/>
        <v>#DIV/0!</v>
      </c>
      <c r="AB58" s="365"/>
      <c r="AC58" s="17"/>
      <c r="AD58" s="17"/>
      <c r="AE58" s="17"/>
      <c r="AF58" s="17"/>
      <c r="AG58" s="17"/>
      <c r="AH58" s="9" t="e">
        <f t="shared" si="9"/>
        <v>#DIV/0!</v>
      </c>
      <c r="AI58" s="17"/>
      <c r="AJ58" s="17"/>
      <c r="AK58" s="17"/>
      <c r="AL58" s="17"/>
      <c r="AM58" s="17"/>
      <c r="AN58" s="9" t="e">
        <f t="shared" si="10"/>
        <v>#DIV/0!</v>
      </c>
      <c r="AO58" s="17"/>
      <c r="AP58" s="17"/>
      <c r="AQ58" s="17"/>
      <c r="AR58" s="17"/>
      <c r="AS58" s="17"/>
      <c r="AT58" s="9" t="e">
        <f t="shared" si="11"/>
        <v>#DIV/0!</v>
      </c>
      <c r="AU58" s="208"/>
      <c r="AV58" s="209"/>
      <c r="AW58" s="9" t="str">
        <f t="shared" si="12"/>
        <v>0</v>
      </c>
      <c r="AX58" s="7" t="e">
        <f t="shared" si="1"/>
        <v>#DIV/0!</v>
      </c>
      <c r="AY58" s="18" t="e">
        <f t="shared" si="24"/>
        <v>#DIV/0!</v>
      </c>
      <c r="AZ58" s="232"/>
      <c r="BA58" s="4" t="e">
        <f t="shared" si="2"/>
        <v>#DIV/0!</v>
      </c>
      <c r="BB58" s="4" t="e">
        <f t="shared" si="48"/>
        <v>#DIV/0!</v>
      </c>
      <c r="BC58" s="4" t="e">
        <f t="shared" si="14"/>
        <v>#DIV/0!</v>
      </c>
      <c r="BD58" s="4">
        <f t="shared" si="15"/>
        <v>0</v>
      </c>
      <c r="BE58" s="12" t="e">
        <f t="shared" si="49"/>
        <v>#DIV/0!</v>
      </c>
      <c r="BF58" s="4" t="e">
        <f t="shared" si="16"/>
        <v>#DIV/0!</v>
      </c>
      <c r="BG58" s="4" t="e">
        <f t="shared" si="17"/>
        <v>#DIV/0!</v>
      </c>
      <c r="BH58" s="4" t="e">
        <f t="shared" si="18"/>
        <v>#DIV/0!</v>
      </c>
      <c r="BI58" s="4">
        <f t="shared" si="19"/>
        <v>0</v>
      </c>
      <c r="BJ58" s="12" t="e">
        <f t="shared" si="50"/>
        <v>#DIV/0!</v>
      </c>
      <c r="BK58" s="12" t="e">
        <f t="shared" si="5"/>
        <v>#DIV/0!</v>
      </c>
      <c r="BL58" s="12"/>
      <c r="BM58" s="10"/>
      <c r="BN58" s="176"/>
      <c r="BO58" s="12" t="e">
        <f t="shared" si="52"/>
        <v>#DIV/0!</v>
      </c>
      <c r="BP58" s="11"/>
      <c r="BQ58" s="6"/>
      <c r="BR58" s="6"/>
    </row>
    <row r="59" spans="1:70" ht="20.25" customHeight="1">
      <c r="A59" s="326">
        <v>24</v>
      </c>
      <c r="B59" s="328"/>
      <c r="C59" s="329"/>
      <c r="D59" s="225"/>
      <c r="E59" s="24">
        <v>1</v>
      </c>
      <c r="F59" s="17"/>
      <c r="G59" s="17"/>
      <c r="H59" s="17"/>
      <c r="I59" s="17"/>
      <c r="J59" s="17"/>
      <c r="K59" s="8" t="e">
        <f t="shared" si="6"/>
        <v>#DIV/0!</v>
      </c>
      <c r="L59" s="17"/>
      <c r="M59" s="17"/>
      <c r="N59" s="17"/>
      <c r="O59" s="17"/>
      <c r="P59" s="17"/>
      <c r="Q59" s="9" t="e">
        <f t="shared" si="23"/>
        <v>#DIV/0!</v>
      </c>
      <c r="R59" s="17"/>
      <c r="S59" s="17"/>
      <c r="T59" s="17"/>
      <c r="U59" s="17"/>
      <c r="V59" s="17"/>
      <c r="W59" s="9" t="e">
        <f t="shared" si="7"/>
        <v>#DIV/0!</v>
      </c>
      <c r="X59" s="233"/>
      <c r="Y59" s="234"/>
      <c r="Z59" s="9" t="str">
        <f t="shared" si="8"/>
        <v>0</v>
      </c>
      <c r="AA59" s="7" t="e">
        <f t="shared" si="0"/>
        <v>#DIV/0!</v>
      </c>
      <c r="AB59" s="365"/>
      <c r="AC59" s="17"/>
      <c r="AD59" s="17"/>
      <c r="AE59" s="17"/>
      <c r="AF59" s="17"/>
      <c r="AG59" s="17"/>
      <c r="AH59" s="9" t="e">
        <f t="shared" si="9"/>
        <v>#DIV/0!</v>
      </c>
      <c r="AI59" s="17"/>
      <c r="AJ59" s="17"/>
      <c r="AK59" s="17"/>
      <c r="AL59" s="17"/>
      <c r="AM59" s="17"/>
      <c r="AN59" s="9" t="e">
        <f t="shared" si="10"/>
        <v>#DIV/0!</v>
      </c>
      <c r="AO59" s="17"/>
      <c r="AP59" s="17"/>
      <c r="AQ59" s="17"/>
      <c r="AR59" s="17"/>
      <c r="AS59" s="17"/>
      <c r="AT59" s="9" t="e">
        <f t="shared" si="11"/>
        <v>#DIV/0!</v>
      </c>
      <c r="AU59" s="208"/>
      <c r="AV59" s="209"/>
      <c r="AW59" s="9" t="str">
        <f t="shared" si="12"/>
        <v>0</v>
      </c>
      <c r="AX59" s="7" t="e">
        <f t="shared" si="1"/>
        <v>#DIV/0!</v>
      </c>
      <c r="AY59" s="18" t="e">
        <f t="shared" si="24"/>
        <v>#DIV/0!</v>
      </c>
      <c r="AZ59" s="231" t="e">
        <f t="shared" ref="AZ59" si="60">IF(BP59&gt;=4.5, " 5 ", IF(BP59&gt;=3.5," 4 ",IF(BP59&gt;=2.5," 3  ",IF(BP59&gt;=1.5," 2 ",IF(BP59&gt;=1,"1 ",IF(BP59&gt;=0,"0"))))))</f>
        <v>#DIV/0!</v>
      </c>
      <c r="BA59" s="4" t="e">
        <f t="shared" si="2"/>
        <v>#DIV/0!</v>
      </c>
      <c r="BB59" s="4" t="e">
        <f t="shared" si="48"/>
        <v>#DIV/0!</v>
      </c>
      <c r="BC59" s="4" t="e">
        <f t="shared" si="14"/>
        <v>#DIV/0!</v>
      </c>
      <c r="BD59" s="4">
        <f t="shared" si="15"/>
        <v>0</v>
      </c>
      <c r="BE59" s="12" t="e">
        <f t="shared" si="49"/>
        <v>#DIV/0!</v>
      </c>
      <c r="BF59" s="4" t="e">
        <f t="shared" si="16"/>
        <v>#DIV/0!</v>
      </c>
      <c r="BG59" s="4" t="e">
        <f t="shared" si="17"/>
        <v>#DIV/0!</v>
      </c>
      <c r="BH59" s="4" t="e">
        <f t="shared" si="18"/>
        <v>#DIV/0!</v>
      </c>
      <c r="BI59" s="4">
        <f t="shared" si="19"/>
        <v>0</v>
      </c>
      <c r="BJ59" s="12" t="e">
        <f t="shared" si="50"/>
        <v>#DIV/0!</v>
      </c>
      <c r="BK59" s="12" t="e">
        <f t="shared" si="5"/>
        <v>#DIV/0!</v>
      </c>
      <c r="BL59" s="12" t="e">
        <f>(BE59+BJ59)/2</f>
        <v>#DIV/0!</v>
      </c>
      <c r="BM59" s="10" t="e">
        <f t="shared" si="21"/>
        <v>#DIV/0!</v>
      </c>
      <c r="BN59" s="176" t="e">
        <f t="shared" si="36"/>
        <v>#DIV/0!</v>
      </c>
      <c r="BO59" s="12"/>
      <c r="BP59" s="11" t="e">
        <f t="shared" si="26"/>
        <v>#DIV/0!</v>
      </c>
      <c r="BQ59" s="6"/>
      <c r="BR59" s="6"/>
    </row>
    <row r="60" spans="1:70" ht="20.25" customHeight="1" thickBot="1">
      <c r="A60" s="327"/>
      <c r="B60" s="330"/>
      <c r="C60" s="331"/>
      <c r="D60" s="225"/>
      <c r="E60" s="25">
        <v>2</v>
      </c>
      <c r="F60" s="17"/>
      <c r="G60" s="17"/>
      <c r="H60" s="17"/>
      <c r="I60" s="17"/>
      <c r="J60" s="17"/>
      <c r="K60" s="8" t="e">
        <f t="shared" si="6"/>
        <v>#DIV/0!</v>
      </c>
      <c r="L60" s="17"/>
      <c r="M60" s="17"/>
      <c r="N60" s="17"/>
      <c r="O60" s="17"/>
      <c r="P60" s="17"/>
      <c r="Q60" s="9" t="e">
        <f t="shared" si="23"/>
        <v>#DIV/0!</v>
      </c>
      <c r="R60" s="17"/>
      <c r="S60" s="17"/>
      <c r="T60" s="17"/>
      <c r="U60" s="17"/>
      <c r="V60" s="17"/>
      <c r="W60" s="9" t="e">
        <f t="shared" si="7"/>
        <v>#DIV/0!</v>
      </c>
      <c r="X60" s="233"/>
      <c r="Y60" s="234"/>
      <c r="Z60" s="9" t="str">
        <f t="shared" si="8"/>
        <v>0</v>
      </c>
      <c r="AA60" s="7" t="e">
        <f t="shared" si="0"/>
        <v>#DIV/0!</v>
      </c>
      <c r="AB60" s="365"/>
      <c r="AC60" s="17"/>
      <c r="AD60" s="17"/>
      <c r="AE60" s="17"/>
      <c r="AF60" s="17"/>
      <c r="AG60" s="17"/>
      <c r="AH60" s="9" t="e">
        <f t="shared" si="9"/>
        <v>#DIV/0!</v>
      </c>
      <c r="AI60" s="17"/>
      <c r="AJ60" s="17"/>
      <c r="AK60" s="17"/>
      <c r="AL60" s="17"/>
      <c r="AM60" s="17"/>
      <c r="AN60" s="9" t="e">
        <f t="shared" si="10"/>
        <v>#DIV/0!</v>
      </c>
      <c r="AO60" s="17"/>
      <c r="AP60" s="17"/>
      <c r="AQ60" s="17"/>
      <c r="AR60" s="17"/>
      <c r="AS60" s="17"/>
      <c r="AT60" s="9" t="e">
        <f t="shared" si="11"/>
        <v>#DIV/0!</v>
      </c>
      <c r="AU60" s="208"/>
      <c r="AV60" s="209"/>
      <c r="AW60" s="9" t="str">
        <f t="shared" si="12"/>
        <v>0</v>
      </c>
      <c r="AX60" s="7" t="e">
        <f t="shared" si="1"/>
        <v>#DIV/0!</v>
      </c>
      <c r="AY60" s="18" t="e">
        <f t="shared" si="24"/>
        <v>#DIV/0!</v>
      </c>
      <c r="AZ60" s="232"/>
      <c r="BA60" s="4" t="e">
        <f t="shared" si="2"/>
        <v>#DIV/0!</v>
      </c>
      <c r="BB60" s="4" t="e">
        <f t="shared" si="48"/>
        <v>#DIV/0!</v>
      </c>
      <c r="BC60" s="4" t="e">
        <f t="shared" si="14"/>
        <v>#DIV/0!</v>
      </c>
      <c r="BD60" s="4">
        <f t="shared" si="15"/>
        <v>0</v>
      </c>
      <c r="BE60" s="12" t="e">
        <f t="shared" si="49"/>
        <v>#DIV/0!</v>
      </c>
      <c r="BF60" s="4" t="e">
        <f t="shared" si="16"/>
        <v>#DIV/0!</v>
      </c>
      <c r="BG60" s="4" t="e">
        <f t="shared" si="17"/>
        <v>#DIV/0!</v>
      </c>
      <c r="BH60" s="4" t="e">
        <f t="shared" si="18"/>
        <v>#DIV/0!</v>
      </c>
      <c r="BI60" s="4">
        <f t="shared" si="19"/>
        <v>0</v>
      </c>
      <c r="BJ60" s="12" t="e">
        <f t="shared" si="50"/>
        <v>#DIV/0!</v>
      </c>
      <c r="BK60" s="12" t="e">
        <f t="shared" si="5"/>
        <v>#DIV/0!</v>
      </c>
      <c r="BL60" s="12"/>
      <c r="BM60" s="10"/>
      <c r="BN60" s="176"/>
      <c r="BO60" s="12" t="e">
        <f t="shared" si="52"/>
        <v>#DIV/0!</v>
      </c>
      <c r="BP60" s="11"/>
      <c r="BQ60" s="6"/>
      <c r="BR60" s="6"/>
    </row>
    <row r="61" spans="1:70" ht="20.25" customHeight="1">
      <c r="A61" s="326">
        <v>25</v>
      </c>
      <c r="B61" s="328"/>
      <c r="C61" s="329"/>
      <c r="D61" s="225"/>
      <c r="E61" s="24">
        <v>1</v>
      </c>
      <c r="F61" s="17"/>
      <c r="G61" s="17"/>
      <c r="H61" s="17"/>
      <c r="I61" s="17"/>
      <c r="J61" s="17"/>
      <c r="K61" s="8" t="e">
        <f t="shared" si="6"/>
        <v>#DIV/0!</v>
      </c>
      <c r="L61" s="17"/>
      <c r="M61" s="17"/>
      <c r="N61" s="17"/>
      <c r="O61" s="17"/>
      <c r="P61" s="17"/>
      <c r="Q61" s="9" t="e">
        <f t="shared" si="23"/>
        <v>#DIV/0!</v>
      </c>
      <c r="R61" s="17"/>
      <c r="S61" s="17"/>
      <c r="T61" s="17"/>
      <c r="U61" s="17"/>
      <c r="V61" s="17"/>
      <c r="W61" s="9" t="e">
        <f t="shared" si="7"/>
        <v>#DIV/0!</v>
      </c>
      <c r="X61" s="233"/>
      <c r="Y61" s="234"/>
      <c r="Z61" s="9" t="str">
        <f t="shared" si="8"/>
        <v>0</v>
      </c>
      <c r="AA61" s="7" t="e">
        <f t="shared" si="0"/>
        <v>#DIV/0!</v>
      </c>
      <c r="AB61" s="365"/>
      <c r="AC61" s="17"/>
      <c r="AD61" s="17"/>
      <c r="AE61" s="17"/>
      <c r="AF61" s="17"/>
      <c r="AG61" s="17"/>
      <c r="AH61" s="9" t="e">
        <f t="shared" si="9"/>
        <v>#DIV/0!</v>
      </c>
      <c r="AI61" s="17"/>
      <c r="AJ61" s="17"/>
      <c r="AK61" s="17"/>
      <c r="AL61" s="17"/>
      <c r="AM61" s="17"/>
      <c r="AN61" s="9" t="e">
        <f t="shared" si="10"/>
        <v>#DIV/0!</v>
      </c>
      <c r="AO61" s="17"/>
      <c r="AP61" s="17"/>
      <c r="AQ61" s="17"/>
      <c r="AR61" s="17"/>
      <c r="AS61" s="17"/>
      <c r="AT61" s="9" t="e">
        <f t="shared" si="11"/>
        <v>#DIV/0!</v>
      </c>
      <c r="AU61" s="208"/>
      <c r="AV61" s="209"/>
      <c r="AW61" s="9" t="str">
        <f t="shared" si="12"/>
        <v>0</v>
      </c>
      <c r="AX61" s="7" t="e">
        <f t="shared" si="1"/>
        <v>#DIV/0!</v>
      </c>
      <c r="AY61" s="18" t="e">
        <f t="shared" si="24"/>
        <v>#DIV/0!</v>
      </c>
      <c r="AZ61" s="231" t="e">
        <f t="shared" ref="AZ61" si="61">IF(BP61&gt;=4.5, " 5 ", IF(BP61&gt;=3.5," 4 ",IF(BP61&gt;=2.5," 3  ",IF(BP61&gt;=1.5," 2 ",IF(BP61&gt;=1,"1 ",IF(BP61&gt;=0,"0"))))))</f>
        <v>#DIV/0!</v>
      </c>
      <c r="BA61" s="4" t="e">
        <f t="shared" si="2"/>
        <v>#DIV/0!</v>
      </c>
      <c r="BB61" s="4" t="e">
        <f t="shared" si="48"/>
        <v>#DIV/0!</v>
      </c>
      <c r="BC61" s="4" t="e">
        <f t="shared" si="14"/>
        <v>#DIV/0!</v>
      </c>
      <c r="BD61" s="4">
        <f t="shared" si="15"/>
        <v>0</v>
      </c>
      <c r="BE61" s="12" t="e">
        <f t="shared" si="49"/>
        <v>#DIV/0!</v>
      </c>
      <c r="BF61" s="4" t="e">
        <f t="shared" si="16"/>
        <v>#DIV/0!</v>
      </c>
      <c r="BG61" s="4" t="e">
        <f t="shared" si="17"/>
        <v>#DIV/0!</v>
      </c>
      <c r="BH61" s="4" t="e">
        <f t="shared" si="18"/>
        <v>#DIV/0!</v>
      </c>
      <c r="BI61" s="4">
        <f t="shared" si="19"/>
        <v>0</v>
      </c>
      <c r="BJ61" s="12" t="e">
        <f t="shared" si="50"/>
        <v>#DIV/0!</v>
      </c>
      <c r="BK61" s="12" t="e">
        <f t="shared" si="5"/>
        <v>#DIV/0!</v>
      </c>
      <c r="BL61" s="12" t="e">
        <f>(BE61+BJ61)/2</f>
        <v>#DIV/0!</v>
      </c>
      <c r="BM61" s="10" t="e">
        <f t="shared" si="21"/>
        <v>#DIV/0!</v>
      </c>
      <c r="BN61" s="176" t="e">
        <f t="shared" ref="BN61" si="62">ROUND(BO62,)</f>
        <v>#DIV/0!</v>
      </c>
      <c r="BO61" s="12"/>
      <c r="BP61" s="11" t="e">
        <f t="shared" si="26"/>
        <v>#DIV/0!</v>
      </c>
      <c r="BQ61" s="6"/>
      <c r="BR61" s="6"/>
    </row>
    <row r="62" spans="1:70" ht="17.25" customHeight="1" thickBot="1">
      <c r="A62" s="327"/>
      <c r="B62" s="330"/>
      <c r="C62" s="331"/>
      <c r="D62" s="225"/>
      <c r="E62" s="25">
        <v>2</v>
      </c>
      <c r="F62" s="17"/>
      <c r="G62" s="17"/>
      <c r="H62" s="17"/>
      <c r="I62" s="17"/>
      <c r="J62" s="17"/>
      <c r="K62" s="8" t="e">
        <f t="shared" si="6"/>
        <v>#DIV/0!</v>
      </c>
      <c r="L62" s="17"/>
      <c r="M62" s="17"/>
      <c r="N62" s="17"/>
      <c r="O62" s="17"/>
      <c r="P62" s="17"/>
      <c r="Q62" s="9" t="e">
        <f t="shared" si="23"/>
        <v>#DIV/0!</v>
      </c>
      <c r="R62" s="17"/>
      <c r="S62" s="17"/>
      <c r="T62" s="17"/>
      <c r="U62" s="17"/>
      <c r="V62" s="17"/>
      <c r="W62" s="9" t="e">
        <f t="shared" si="7"/>
        <v>#DIV/0!</v>
      </c>
      <c r="X62" s="233"/>
      <c r="Y62" s="234"/>
      <c r="Z62" s="9" t="str">
        <f t="shared" si="8"/>
        <v>0</v>
      </c>
      <c r="AA62" s="7" t="e">
        <f t="shared" si="0"/>
        <v>#DIV/0!</v>
      </c>
      <c r="AB62" s="365"/>
      <c r="AC62" s="17"/>
      <c r="AD62" s="17"/>
      <c r="AE62" s="17"/>
      <c r="AF62" s="17"/>
      <c r="AG62" s="17"/>
      <c r="AH62" s="9" t="e">
        <f t="shared" si="9"/>
        <v>#DIV/0!</v>
      </c>
      <c r="AI62" s="17"/>
      <c r="AJ62" s="17"/>
      <c r="AK62" s="17"/>
      <c r="AL62" s="17"/>
      <c r="AM62" s="17"/>
      <c r="AN62" s="9" t="e">
        <f t="shared" si="10"/>
        <v>#DIV/0!</v>
      </c>
      <c r="AO62" s="17"/>
      <c r="AP62" s="17"/>
      <c r="AQ62" s="17"/>
      <c r="AR62" s="17"/>
      <c r="AS62" s="17"/>
      <c r="AT62" s="9" t="e">
        <f t="shared" si="11"/>
        <v>#DIV/0!</v>
      </c>
      <c r="AU62" s="208"/>
      <c r="AV62" s="209"/>
      <c r="AW62" s="9" t="str">
        <f t="shared" si="12"/>
        <v>0</v>
      </c>
      <c r="AX62" s="7" t="e">
        <f t="shared" si="1"/>
        <v>#DIV/0!</v>
      </c>
      <c r="AY62" s="18" t="e">
        <f t="shared" si="24"/>
        <v>#DIV/0!</v>
      </c>
      <c r="AZ62" s="232"/>
      <c r="BA62" s="4" t="e">
        <f t="shared" si="2"/>
        <v>#DIV/0!</v>
      </c>
      <c r="BB62" s="4" t="e">
        <f t="shared" si="48"/>
        <v>#DIV/0!</v>
      </c>
      <c r="BC62" s="4" t="e">
        <f t="shared" si="14"/>
        <v>#DIV/0!</v>
      </c>
      <c r="BD62" s="4">
        <f t="shared" si="15"/>
        <v>0</v>
      </c>
      <c r="BE62" s="12" t="e">
        <f t="shared" si="49"/>
        <v>#DIV/0!</v>
      </c>
      <c r="BF62" s="4" t="e">
        <f t="shared" si="16"/>
        <v>#DIV/0!</v>
      </c>
      <c r="BG62" s="4" t="e">
        <f t="shared" si="17"/>
        <v>#DIV/0!</v>
      </c>
      <c r="BH62" s="4" t="e">
        <f t="shared" si="18"/>
        <v>#DIV/0!</v>
      </c>
      <c r="BI62" s="4">
        <f t="shared" si="19"/>
        <v>0</v>
      </c>
      <c r="BJ62" s="12" t="e">
        <f t="shared" si="50"/>
        <v>#DIV/0!</v>
      </c>
      <c r="BK62" s="12" t="e">
        <f t="shared" si="5"/>
        <v>#DIV/0!</v>
      </c>
      <c r="BL62" s="12"/>
      <c r="BM62" s="10"/>
      <c r="BN62" s="176"/>
      <c r="BO62" s="12" t="e">
        <f t="shared" si="52"/>
        <v>#DIV/0!</v>
      </c>
      <c r="BP62" s="11"/>
      <c r="BQ62" s="6"/>
      <c r="BR62" s="6"/>
    </row>
    <row r="63" spans="1:70" ht="21" customHeight="1">
      <c r="A63" s="326">
        <v>26</v>
      </c>
      <c r="B63" s="328"/>
      <c r="C63" s="329"/>
      <c r="D63" s="225"/>
      <c r="E63" s="24">
        <v>1</v>
      </c>
      <c r="F63" s="17"/>
      <c r="G63" s="17"/>
      <c r="H63" s="17"/>
      <c r="I63" s="17"/>
      <c r="J63" s="17"/>
      <c r="K63" s="8" t="e">
        <f t="shared" si="6"/>
        <v>#DIV/0!</v>
      </c>
      <c r="L63" s="17"/>
      <c r="M63" s="17"/>
      <c r="N63" s="17"/>
      <c r="O63" s="17"/>
      <c r="P63" s="17"/>
      <c r="Q63" s="9" t="e">
        <f t="shared" si="23"/>
        <v>#DIV/0!</v>
      </c>
      <c r="R63" s="17"/>
      <c r="S63" s="17"/>
      <c r="T63" s="17"/>
      <c r="U63" s="17"/>
      <c r="V63" s="17"/>
      <c r="W63" s="9" t="e">
        <f t="shared" si="7"/>
        <v>#DIV/0!</v>
      </c>
      <c r="X63" s="233"/>
      <c r="Y63" s="234"/>
      <c r="Z63" s="9" t="str">
        <f t="shared" si="8"/>
        <v>0</v>
      </c>
      <c r="AA63" s="7" t="e">
        <f t="shared" si="0"/>
        <v>#DIV/0!</v>
      </c>
      <c r="AB63" s="365"/>
      <c r="AC63" s="17"/>
      <c r="AD63" s="17"/>
      <c r="AE63" s="17"/>
      <c r="AF63" s="17"/>
      <c r="AG63" s="17"/>
      <c r="AH63" s="9" t="e">
        <f t="shared" si="9"/>
        <v>#DIV/0!</v>
      </c>
      <c r="AI63" s="17"/>
      <c r="AJ63" s="17"/>
      <c r="AK63" s="17"/>
      <c r="AL63" s="17"/>
      <c r="AM63" s="17"/>
      <c r="AN63" s="9" t="e">
        <f t="shared" si="10"/>
        <v>#DIV/0!</v>
      </c>
      <c r="AO63" s="17"/>
      <c r="AP63" s="17"/>
      <c r="AQ63" s="17"/>
      <c r="AR63" s="17"/>
      <c r="AS63" s="17"/>
      <c r="AT63" s="9" t="e">
        <f t="shared" si="11"/>
        <v>#DIV/0!</v>
      </c>
      <c r="AU63" s="208"/>
      <c r="AV63" s="209"/>
      <c r="AW63" s="9" t="str">
        <f t="shared" si="12"/>
        <v>0</v>
      </c>
      <c r="AX63" s="7" t="e">
        <f t="shared" si="1"/>
        <v>#DIV/0!</v>
      </c>
      <c r="AY63" s="18" t="e">
        <f t="shared" si="24"/>
        <v>#DIV/0!</v>
      </c>
      <c r="AZ63" s="231" t="e">
        <f t="shared" ref="AZ63" si="63">IF(BP63&gt;=4.5, " 5 ", IF(BP63&gt;=3.5," 4 ",IF(BP63&gt;=2.5," 3  ",IF(BP63&gt;=1.5," 2 ",IF(BP63&gt;=1,"1 ",IF(BP63&gt;=0,"0"))))))</f>
        <v>#DIV/0!</v>
      </c>
      <c r="BA63" s="4" t="e">
        <f t="shared" si="2"/>
        <v>#DIV/0!</v>
      </c>
      <c r="BB63" s="4" t="e">
        <f t="shared" si="48"/>
        <v>#DIV/0!</v>
      </c>
      <c r="BC63" s="4" t="e">
        <f t="shared" si="14"/>
        <v>#DIV/0!</v>
      </c>
      <c r="BD63" s="4">
        <f t="shared" si="15"/>
        <v>0</v>
      </c>
      <c r="BE63" s="12" t="e">
        <f t="shared" si="49"/>
        <v>#DIV/0!</v>
      </c>
      <c r="BF63" s="4" t="e">
        <f t="shared" si="16"/>
        <v>#DIV/0!</v>
      </c>
      <c r="BG63" s="4" t="e">
        <f t="shared" si="17"/>
        <v>#DIV/0!</v>
      </c>
      <c r="BH63" s="4" t="e">
        <f t="shared" si="18"/>
        <v>#DIV/0!</v>
      </c>
      <c r="BI63" s="4">
        <f t="shared" si="19"/>
        <v>0</v>
      </c>
      <c r="BJ63" s="12" t="e">
        <f t="shared" si="50"/>
        <v>#DIV/0!</v>
      </c>
      <c r="BK63" s="12" t="e">
        <f t="shared" si="5"/>
        <v>#DIV/0!</v>
      </c>
      <c r="BL63" s="12" t="e">
        <f>(BE63+BJ63)/2</f>
        <v>#DIV/0!</v>
      </c>
      <c r="BM63" s="10" t="e">
        <f t="shared" si="21"/>
        <v>#DIV/0!</v>
      </c>
      <c r="BN63" s="176" t="e">
        <f t="shared" si="32"/>
        <v>#DIV/0!</v>
      </c>
      <c r="BO63" s="12"/>
      <c r="BP63" s="11" t="e">
        <f t="shared" si="26"/>
        <v>#DIV/0!</v>
      </c>
      <c r="BQ63" s="6"/>
      <c r="BR63" s="6"/>
    </row>
    <row r="64" spans="1:70" ht="18" customHeight="1" thickBot="1">
      <c r="A64" s="327"/>
      <c r="B64" s="330"/>
      <c r="C64" s="331"/>
      <c r="D64" s="225"/>
      <c r="E64" s="25">
        <v>2</v>
      </c>
      <c r="F64" s="17"/>
      <c r="G64" s="17"/>
      <c r="H64" s="17"/>
      <c r="I64" s="17"/>
      <c r="J64" s="17"/>
      <c r="K64" s="8" t="e">
        <f t="shared" si="6"/>
        <v>#DIV/0!</v>
      </c>
      <c r="L64" s="17"/>
      <c r="M64" s="17"/>
      <c r="N64" s="17"/>
      <c r="O64" s="17"/>
      <c r="P64" s="17"/>
      <c r="Q64" s="9" t="e">
        <f t="shared" si="23"/>
        <v>#DIV/0!</v>
      </c>
      <c r="R64" s="17"/>
      <c r="S64" s="17"/>
      <c r="T64" s="17"/>
      <c r="U64" s="17"/>
      <c r="V64" s="17"/>
      <c r="W64" s="9" t="e">
        <f t="shared" si="7"/>
        <v>#DIV/0!</v>
      </c>
      <c r="X64" s="233"/>
      <c r="Y64" s="234"/>
      <c r="Z64" s="9" t="str">
        <f t="shared" si="8"/>
        <v>0</v>
      </c>
      <c r="AA64" s="7" t="e">
        <f t="shared" si="0"/>
        <v>#DIV/0!</v>
      </c>
      <c r="AB64" s="365"/>
      <c r="AC64" s="17"/>
      <c r="AD64" s="17"/>
      <c r="AE64" s="17"/>
      <c r="AF64" s="17"/>
      <c r="AG64" s="17"/>
      <c r="AH64" s="9" t="e">
        <f t="shared" si="9"/>
        <v>#DIV/0!</v>
      </c>
      <c r="AI64" s="17"/>
      <c r="AJ64" s="17"/>
      <c r="AK64" s="17"/>
      <c r="AL64" s="17"/>
      <c r="AM64" s="17"/>
      <c r="AN64" s="9" t="e">
        <f t="shared" si="10"/>
        <v>#DIV/0!</v>
      </c>
      <c r="AO64" s="17"/>
      <c r="AP64" s="17"/>
      <c r="AQ64" s="17"/>
      <c r="AR64" s="17"/>
      <c r="AS64" s="17"/>
      <c r="AT64" s="9" t="e">
        <f t="shared" si="11"/>
        <v>#DIV/0!</v>
      </c>
      <c r="AU64" s="208"/>
      <c r="AV64" s="209"/>
      <c r="AW64" s="9" t="str">
        <f t="shared" si="12"/>
        <v>0</v>
      </c>
      <c r="AX64" s="7" t="e">
        <f t="shared" si="1"/>
        <v>#DIV/0!</v>
      </c>
      <c r="AY64" s="18" t="e">
        <f t="shared" si="24"/>
        <v>#DIV/0!</v>
      </c>
      <c r="AZ64" s="232"/>
      <c r="BA64" s="4" t="e">
        <f t="shared" si="2"/>
        <v>#DIV/0!</v>
      </c>
      <c r="BB64" s="4" t="e">
        <f t="shared" si="48"/>
        <v>#DIV/0!</v>
      </c>
      <c r="BC64" s="4" t="e">
        <f t="shared" si="14"/>
        <v>#DIV/0!</v>
      </c>
      <c r="BD64" s="4">
        <f t="shared" si="15"/>
        <v>0</v>
      </c>
      <c r="BE64" s="12" t="e">
        <f t="shared" si="49"/>
        <v>#DIV/0!</v>
      </c>
      <c r="BF64" s="4" t="e">
        <f t="shared" si="16"/>
        <v>#DIV/0!</v>
      </c>
      <c r="BG64" s="4" t="e">
        <f t="shared" si="17"/>
        <v>#DIV/0!</v>
      </c>
      <c r="BH64" s="4" t="e">
        <f t="shared" si="18"/>
        <v>#DIV/0!</v>
      </c>
      <c r="BI64" s="4">
        <f t="shared" si="19"/>
        <v>0</v>
      </c>
      <c r="BJ64" s="12" t="e">
        <f t="shared" si="50"/>
        <v>#DIV/0!</v>
      </c>
      <c r="BK64" s="12" t="e">
        <f t="shared" si="5"/>
        <v>#DIV/0!</v>
      </c>
      <c r="BL64" s="12"/>
      <c r="BM64" s="10"/>
      <c r="BN64" s="176"/>
      <c r="BO64" s="12" t="e">
        <f t="shared" si="52"/>
        <v>#DIV/0!</v>
      </c>
      <c r="BP64" s="11"/>
      <c r="BQ64" s="6"/>
      <c r="BR64" s="6"/>
    </row>
    <row r="65" spans="1:70" ht="18" customHeight="1">
      <c r="A65" s="326">
        <v>27</v>
      </c>
      <c r="B65" s="328"/>
      <c r="C65" s="329"/>
      <c r="D65" s="225"/>
      <c r="E65" s="24">
        <v>1</v>
      </c>
      <c r="F65" s="17"/>
      <c r="G65" s="17"/>
      <c r="H65" s="17"/>
      <c r="I65" s="17"/>
      <c r="J65" s="17"/>
      <c r="K65" s="8" t="e">
        <f t="shared" si="6"/>
        <v>#DIV/0!</v>
      </c>
      <c r="L65" s="17"/>
      <c r="M65" s="17"/>
      <c r="N65" s="17"/>
      <c r="O65" s="17"/>
      <c r="P65" s="17"/>
      <c r="Q65" s="9" t="e">
        <f t="shared" si="23"/>
        <v>#DIV/0!</v>
      </c>
      <c r="R65" s="17"/>
      <c r="S65" s="17"/>
      <c r="T65" s="17"/>
      <c r="U65" s="17"/>
      <c r="V65" s="17"/>
      <c r="W65" s="9" t="e">
        <f t="shared" si="7"/>
        <v>#DIV/0!</v>
      </c>
      <c r="X65" s="233"/>
      <c r="Y65" s="234"/>
      <c r="Z65" s="9" t="str">
        <f t="shared" si="8"/>
        <v>0</v>
      </c>
      <c r="AA65" s="7" t="e">
        <f t="shared" si="0"/>
        <v>#DIV/0!</v>
      </c>
      <c r="AB65" s="365"/>
      <c r="AC65" s="17"/>
      <c r="AD65" s="17"/>
      <c r="AE65" s="17"/>
      <c r="AF65" s="17"/>
      <c r="AG65" s="17"/>
      <c r="AH65" s="9" t="e">
        <f t="shared" si="9"/>
        <v>#DIV/0!</v>
      </c>
      <c r="AI65" s="17"/>
      <c r="AJ65" s="17"/>
      <c r="AK65" s="17"/>
      <c r="AL65" s="17"/>
      <c r="AM65" s="17"/>
      <c r="AN65" s="9" t="e">
        <f t="shared" si="10"/>
        <v>#DIV/0!</v>
      </c>
      <c r="AO65" s="17"/>
      <c r="AP65" s="17"/>
      <c r="AQ65" s="17"/>
      <c r="AR65" s="17"/>
      <c r="AS65" s="17"/>
      <c r="AT65" s="9" t="e">
        <f t="shared" si="11"/>
        <v>#DIV/0!</v>
      </c>
      <c r="AU65" s="208"/>
      <c r="AV65" s="209"/>
      <c r="AW65" s="9" t="str">
        <f t="shared" si="12"/>
        <v>0</v>
      </c>
      <c r="AX65" s="7" t="e">
        <f t="shared" si="1"/>
        <v>#DIV/0!</v>
      </c>
      <c r="AY65" s="18" t="e">
        <f t="shared" si="24"/>
        <v>#DIV/0!</v>
      </c>
      <c r="AZ65" s="231" t="e">
        <f t="shared" ref="AZ65" si="64">IF(BP65&gt;=4.5, " 5 ", IF(BP65&gt;=3.5," 4 ",IF(BP65&gt;=2.5," 3  ",IF(BP65&gt;=1.5," 2 ",IF(BP65&gt;=1,"1 ",IF(BP65&gt;=0,"0"))))))</f>
        <v>#DIV/0!</v>
      </c>
      <c r="BA65" s="4" t="e">
        <f t="shared" si="2"/>
        <v>#DIV/0!</v>
      </c>
      <c r="BB65" s="4" t="e">
        <f t="shared" si="48"/>
        <v>#DIV/0!</v>
      </c>
      <c r="BC65" s="4" t="e">
        <f t="shared" si="14"/>
        <v>#DIV/0!</v>
      </c>
      <c r="BD65" s="4">
        <f t="shared" si="15"/>
        <v>0</v>
      </c>
      <c r="BE65" s="12" t="e">
        <f t="shared" si="49"/>
        <v>#DIV/0!</v>
      </c>
      <c r="BF65" s="4" t="e">
        <f t="shared" si="16"/>
        <v>#DIV/0!</v>
      </c>
      <c r="BG65" s="4" t="e">
        <f t="shared" si="17"/>
        <v>#DIV/0!</v>
      </c>
      <c r="BH65" s="4" t="e">
        <f t="shared" si="18"/>
        <v>#DIV/0!</v>
      </c>
      <c r="BI65" s="4">
        <f t="shared" si="19"/>
        <v>0</v>
      </c>
      <c r="BJ65" s="12" t="e">
        <f t="shared" si="50"/>
        <v>#DIV/0!</v>
      </c>
      <c r="BK65" s="12" t="e">
        <f t="shared" si="5"/>
        <v>#DIV/0!</v>
      </c>
      <c r="BL65" s="12" t="e">
        <f>(BE65+BJ65)/2</f>
        <v>#DIV/0!</v>
      </c>
      <c r="BM65" s="10" t="e">
        <f t="shared" si="21"/>
        <v>#DIV/0!</v>
      </c>
      <c r="BN65" s="176" t="e">
        <f t="shared" si="34"/>
        <v>#DIV/0!</v>
      </c>
      <c r="BO65" s="12"/>
      <c r="BP65" s="11" t="e">
        <f t="shared" si="26"/>
        <v>#DIV/0!</v>
      </c>
      <c r="BQ65" s="6"/>
      <c r="BR65" s="6"/>
    </row>
    <row r="66" spans="1:70" ht="18" customHeight="1" thickBot="1">
      <c r="A66" s="327"/>
      <c r="B66" s="330"/>
      <c r="C66" s="331"/>
      <c r="D66" s="225"/>
      <c r="E66" s="26">
        <v>2</v>
      </c>
      <c r="F66" s="17"/>
      <c r="G66" s="17"/>
      <c r="H66" s="17"/>
      <c r="I66" s="17"/>
      <c r="J66" s="17"/>
      <c r="K66" s="8" t="e">
        <f t="shared" si="6"/>
        <v>#DIV/0!</v>
      </c>
      <c r="L66" s="17"/>
      <c r="M66" s="17"/>
      <c r="N66" s="17"/>
      <c r="O66" s="17"/>
      <c r="P66" s="17"/>
      <c r="Q66" s="9" t="e">
        <f t="shared" si="23"/>
        <v>#DIV/0!</v>
      </c>
      <c r="R66" s="17"/>
      <c r="S66" s="17"/>
      <c r="T66" s="17"/>
      <c r="U66" s="17"/>
      <c r="V66" s="17"/>
      <c r="W66" s="9" t="e">
        <f t="shared" si="7"/>
        <v>#DIV/0!</v>
      </c>
      <c r="X66" s="233"/>
      <c r="Y66" s="234"/>
      <c r="Z66" s="9" t="str">
        <f t="shared" si="8"/>
        <v>0</v>
      </c>
      <c r="AA66" s="7" t="e">
        <f t="shared" si="0"/>
        <v>#DIV/0!</v>
      </c>
      <c r="AB66" s="365"/>
      <c r="AC66" s="17"/>
      <c r="AD66" s="17"/>
      <c r="AE66" s="17"/>
      <c r="AF66" s="17"/>
      <c r="AG66" s="17"/>
      <c r="AH66" s="9" t="e">
        <f t="shared" si="9"/>
        <v>#DIV/0!</v>
      </c>
      <c r="AI66" s="17"/>
      <c r="AJ66" s="17"/>
      <c r="AK66" s="17"/>
      <c r="AL66" s="17"/>
      <c r="AM66" s="17"/>
      <c r="AN66" s="9" t="e">
        <f t="shared" si="10"/>
        <v>#DIV/0!</v>
      </c>
      <c r="AO66" s="17"/>
      <c r="AP66" s="17"/>
      <c r="AQ66" s="17"/>
      <c r="AR66" s="17"/>
      <c r="AS66" s="17"/>
      <c r="AT66" s="9" t="e">
        <f t="shared" si="11"/>
        <v>#DIV/0!</v>
      </c>
      <c r="AU66" s="208"/>
      <c r="AV66" s="209"/>
      <c r="AW66" s="9" t="str">
        <f t="shared" si="12"/>
        <v>0</v>
      </c>
      <c r="AX66" s="7" t="e">
        <f t="shared" si="1"/>
        <v>#DIV/0!</v>
      </c>
      <c r="AY66" s="18" t="e">
        <f t="shared" si="24"/>
        <v>#DIV/0!</v>
      </c>
      <c r="AZ66" s="232"/>
      <c r="BA66" s="4" t="e">
        <f t="shared" si="2"/>
        <v>#DIV/0!</v>
      </c>
      <c r="BB66" s="4" t="e">
        <f t="shared" si="48"/>
        <v>#DIV/0!</v>
      </c>
      <c r="BC66" s="4" t="e">
        <f t="shared" si="14"/>
        <v>#DIV/0!</v>
      </c>
      <c r="BD66" s="4">
        <f t="shared" si="15"/>
        <v>0</v>
      </c>
      <c r="BE66" s="12" t="e">
        <f t="shared" si="49"/>
        <v>#DIV/0!</v>
      </c>
      <c r="BF66" s="4" t="e">
        <f t="shared" si="16"/>
        <v>#DIV/0!</v>
      </c>
      <c r="BG66" s="4" t="e">
        <f t="shared" si="17"/>
        <v>#DIV/0!</v>
      </c>
      <c r="BH66" s="4" t="e">
        <f t="shared" si="18"/>
        <v>#DIV/0!</v>
      </c>
      <c r="BI66" s="4">
        <f t="shared" si="19"/>
        <v>0</v>
      </c>
      <c r="BJ66" s="12" t="e">
        <f t="shared" si="50"/>
        <v>#DIV/0!</v>
      </c>
      <c r="BK66" s="12" t="e">
        <f t="shared" si="5"/>
        <v>#DIV/0!</v>
      </c>
      <c r="BL66" s="12"/>
      <c r="BM66" s="10"/>
      <c r="BN66" s="176"/>
      <c r="BO66" s="12" t="e">
        <f t="shared" si="52"/>
        <v>#DIV/0!</v>
      </c>
      <c r="BP66" s="11"/>
      <c r="BQ66" s="6"/>
      <c r="BR66" s="6"/>
    </row>
    <row r="67" spans="1:70" ht="18.75" customHeight="1">
      <c r="A67" s="326">
        <v>28</v>
      </c>
      <c r="B67" s="328"/>
      <c r="C67" s="329"/>
      <c r="D67" s="225"/>
      <c r="E67" s="27">
        <v>1</v>
      </c>
      <c r="F67" s="17"/>
      <c r="G67" s="17"/>
      <c r="H67" s="17"/>
      <c r="I67" s="17"/>
      <c r="J67" s="17"/>
      <c r="K67" s="8" t="e">
        <f t="shared" si="6"/>
        <v>#DIV/0!</v>
      </c>
      <c r="L67" s="17"/>
      <c r="M67" s="17"/>
      <c r="N67" s="17"/>
      <c r="O67" s="17"/>
      <c r="P67" s="17"/>
      <c r="Q67" s="9" t="e">
        <f t="shared" si="23"/>
        <v>#DIV/0!</v>
      </c>
      <c r="R67" s="17"/>
      <c r="S67" s="17"/>
      <c r="T67" s="17"/>
      <c r="U67" s="17"/>
      <c r="V67" s="17"/>
      <c r="W67" s="9" t="e">
        <f t="shared" si="7"/>
        <v>#DIV/0!</v>
      </c>
      <c r="X67" s="233"/>
      <c r="Y67" s="234"/>
      <c r="Z67" s="9" t="str">
        <f t="shared" si="8"/>
        <v>0</v>
      </c>
      <c r="AA67" s="7" t="e">
        <f t="shared" si="0"/>
        <v>#DIV/0!</v>
      </c>
      <c r="AB67" s="365"/>
      <c r="AC67" s="17"/>
      <c r="AD67" s="17"/>
      <c r="AE67" s="17"/>
      <c r="AF67" s="17"/>
      <c r="AG67" s="17"/>
      <c r="AH67" s="9" t="e">
        <f t="shared" si="9"/>
        <v>#DIV/0!</v>
      </c>
      <c r="AI67" s="17"/>
      <c r="AJ67" s="17"/>
      <c r="AK67" s="17"/>
      <c r="AL67" s="17"/>
      <c r="AM67" s="17"/>
      <c r="AN67" s="9" t="e">
        <f t="shared" si="10"/>
        <v>#DIV/0!</v>
      </c>
      <c r="AO67" s="17"/>
      <c r="AP67" s="17"/>
      <c r="AQ67" s="17"/>
      <c r="AR67" s="17"/>
      <c r="AS67" s="17"/>
      <c r="AT67" s="9" t="e">
        <f t="shared" si="11"/>
        <v>#DIV/0!</v>
      </c>
      <c r="AU67" s="208"/>
      <c r="AV67" s="209"/>
      <c r="AW67" s="9" t="str">
        <f t="shared" si="12"/>
        <v>0</v>
      </c>
      <c r="AX67" s="7" t="e">
        <f t="shared" si="1"/>
        <v>#DIV/0!</v>
      </c>
      <c r="AY67" s="18" t="e">
        <f t="shared" si="24"/>
        <v>#DIV/0!</v>
      </c>
      <c r="AZ67" s="231" t="e">
        <f t="shared" ref="AZ67" si="65">IF(BP67&gt;=4.5, " 5 ", IF(BP67&gt;=3.5," 4 ",IF(BP67&gt;=2.5," 3  ",IF(BP67&gt;=1.5," 2 ",IF(BP67&gt;=1,"1 ",IF(BP67&gt;=0,"0"))))))</f>
        <v>#DIV/0!</v>
      </c>
      <c r="BA67" s="4" t="e">
        <f t="shared" si="2"/>
        <v>#DIV/0!</v>
      </c>
      <c r="BB67" s="4" t="e">
        <f t="shared" si="48"/>
        <v>#DIV/0!</v>
      </c>
      <c r="BC67" s="4" t="e">
        <f t="shared" si="14"/>
        <v>#DIV/0!</v>
      </c>
      <c r="BD67" s="4">
        <f t="shared" si="15"/>
        <v>0</v>
      </c>
      <c r="BE67" s="12" t="e">
        <f t="shared" si="49"/>
        <v>#DIV/0!</v>
      </c>
      <c r="BF67" s="4" t="e">
        <f t="shared" si="16"/>
        <v>#DIV/0!</v>
      </c>
      <c r="BG67" s="4" t="e">
        <f t="shared" si="17"/>
        <v>#DIV/0!</v>
      </c>
      <c r="BH67" s="4" t="e">
        <f t="shared" si="18"/>
        <v>#DIV/0!</v>
      </c>
      <c r="BI67" s="4">
        <f t="shared" si="19"/>
        <v>0</v>
      </c>
      <c r="BJ67" s="12" t="e">
        <f t="shared" si="50"/>
        <v>#DIV/0!</v>
      </c>
      <c r="BK67" s="12" t="e">
        <f t="shared" si="5"/>
        <v>#DIV/0!</v>
      </c>
      <c r="BL67" s="12" t="e">
        <f>(BE67+BJ67)/2</f>
        <v>#DIV/0!</v>
      </c>
      <c r="BM67" s="10" t="e">
        <f t="shared" si="21"/>
        <v>#DIV/0!</v>
      </c>
      <c r="BN67" s="176" t="e">
        <f t="shared" si="36"/>
        <v>#DIV/0!</v>
      </c>
      <c r="BO67" s="12"/>
      <c r="BP67" s="11" t="e">
        <f t="shared" si="26"/>
        <v>#DIV/0!</v>
      </c>
      <c r="BQ67" s="6"/>
      <c r="BR67" s="6"/>
    </row>
    <row r="68" spans="1:70" ht="19.5" customHeight="1" thickBot="1">
      <c r="A68" s="327"/>
      <c r="B68" s="330"/>
      <c r="C68" s="331"/>
      <c r="D68" s="225"/>
      <c r="E68" s="28">
        <v>2</v>
      </c>
      <c r="F68" s="17"/>
      <c r="G68" s="17"/>
      <c r="H68" s="17"/>
      <c r="I68" s="17"/>
      <c r="J68" s="17"/>
      <c r="K68" s="8" t="e">
        <f t="shared" si="6"/>
        <v>#DIV/0!</v>
      </c>
      <c r="L68" s="17"/>
      <c r="M68" s="17"/>
      <c r="N68" s="17"/>
      <c r="O68" s="17"/>
      <c r="P68" s="17"/>
      <c r="Q68" s="9" t="e">
        <f t="shared" si="23"/>
        <v>#DIV/0!</v>
      </c>
      <c r="R68" s="17"/>
      <c r="S68" s="17"/>
      <c r="T68" s="17"/>
      <c r="U68" s="17"/>
      <c r="V68" s="17"/>
      <c r="W68" s="9" t="e">
        <f t="shared" si="7"/>
        <v>#DIV/0!</v>
      </c>
      <c r="X68" s="233"/>
      <c r="Y68" s="234"/>
      <c r="Z68" s="9" t="str">
        <f t="shared" si="8"/>
        <v>0</v>
      </c>
      <c r="AA68" s="7" t="e">
        <f t="shared" si="0"/>
        <v>#DIV/0!</v>
      </c>
      <c r="AB68" s="365"/>
      <c r="AC68" s="17"/>
      <c r="AD68" s="17"/>
      <c r="AE68" s="17"/>
      <c r="AF68" s="17"/>
      <c r="AG68" s="17"/>
      <c r="AH68" s="9" t="e">
        <f t="shared" si="9"/>
        <v>#DIV/0!</v>
      </c>
      <c r="AI68" s="17"/>
      <c r="AJ68" s="17"/>
      <c r="AK68" s="17"/>
      <c r="AL68" s="17"/>
      <c r="AM68" s="17"/>
      <c r="AN68" s="9" t="e">
        <f t="shared" si="10"/>
        <v>#DIV/0!</v>
      </c>
      <c r="AO68" s="17"/>
      <c r="AP68" s="17"/>
      <c r="AQ68" s="17"/>
      <c r="AR68" s="17"/>
      <c r="AS68" s="17"/>
      <c r="AT68" s="9" t="e">
        <f t="shared" si="11"/>
        <v>#DIV/0!</v>
      </c>
      <c r="AU68" s="208"/>
      <c r="AV68" s="209"/>
      <c r="AW68" s="9" t="str">
        <f t="shared" si="12"/>
        <v>0</v>
      </c>
      <c r="AX68" s="7" t="e">
        <f t="shared" si="1"/>
        <v>#DIV/0!</v>
      </c>
      <c r="AY68" s="18" t="e">
        <f t="shared" si="24"/>
        <v>#DIV/0!</v>
      </c>
      <c r="AZ68" s="232"/>
      <c r="BA68" s="4" t="e">
        <f t="shared" si="2"/>
        <v>#DIV/0!</v>
      </c>
      <c r="BB68" s="4" t="e">
        <f t="shared" si="48"/>
        <v>#DIV/0!</v>
      </c>
      <c r="BC68" s="4" t="e">
        <f t="shared" si="14"/>
        <v>#DIV/0!</v>
      </c>
      <c r="BD68" s="4">
        <f t="shared" si="15"/>
        <v>0</v>
      </c>
      <c r="BE68" s="12" t="e">
        <f t="shared" si="49"/>
        <v>#DIV/0!</v>
      </c>
      <c r="BF68" s="4" t="e">
        <f t="shared" si="16"/>
        <v>#DIV/0!</v>
      </c>
      <c r="BG68" s="4" t="e">
        <f t="shared" si="17"/>
        <v>#DIV/0!</v>
      </c>
      <c r="BH68" s="4" t="e">
        <f t="shared" si="18"/>
        <v>#DIV/0!</v>
      </c>
      <c r="BI68" s="4">
        <f t="shared" si="19"/>
        <v>0</v>
      </c>
      <c r="BJ68" s="12" t="e">
        <f t="shared" si="50"/>
        <v>#DIV/0!</v>
      </c>
      <c r="BK68" s="12" t="e">
        <f t="shared" si="5"/>
        <v>#DIV/0!</v>
      </c>
      <c r="BL68" s="12"/>
      <c r="BM68" s="10"/>
      <c r="BN68" s="176"/>
      <c r="BO68" s="12" t="e">
        <f t="shared" si="52"/>
        <v>#DIV/0!</v>
      </c>
      <c r="BP68" s="11"/>
      <c r="BQ68" s="6"/>
      <c r="BR68" s="6"/>
    </row>
    <row r="69" spans="1:70" ht="18.75" customHeight="1">
      <c r="A69" s="326">
        <v>29</v>
      </c>
      <c r="B69" s="328"/>
      <c r="C69" s="329"/>
      <c r="D69" s="225"/>
      <c r="E69" s="27">
        <v>1</v>
      </c>
      <c r="F69" s="17"/>
      <c r="G69" s="17"/>
      <c r="H69" s="17"/>
      <c r="I69" s="17"/>
      <c r="J69" s="17"/>
      <c r="K69" s="8" t="e">
        <f t="shared" si="6"/>
        <v>#DIV/0!</v>
      </c>
      <c r="L69" s="17"/>
      <c r="M69" s="17"/>
      <c r="N69" s="17"/>
      <c r="O69" s="17"/>
      <c r="P69" s="17"/>
      <c r="Q69" s="9" t="e">
        <f t="shared" si="23"/>
        <v>#DIV/0!</v>
      </c>
      <c r="R69" s="17"/>
      <c r="S69" s="17"/>
      <c r="T69" s="17"/>
      <c r="U69" s="17"/>
      <c r="V69" s="17"/>
      <c r="W69" s="9" t="e">
        <f t="shared" si="7"/>
        <v>#DIV/0!</v>
      </c>
      <c r="X69" s="233"/>
      <c r="Y69" s="234"/>
      <c r="Z69" s="9" t="str">
        <f t="shared" si="8"/>
        <v>0</v>
      </c>
      <c r="AA69" s="7" t="e">
        <f t="shared" si="0"/>
        <v>#DIV/0!</v>
      </c>
      <c r="AB69" s="365"/>
      <c r="AC69" s="17"/>
      <c r="AD69" s="17"/>
      <c r="AE69" s="17"/>
      <c r="AF69" s="17"/>
      <c r="AG69" s="17"/>
      <c r="AH69" s="9" t="e">
        <f t="shared" si="9"/>
        <v>#DIV/0!</v>
      </c>
      <c r="AI69" s="17"/>
      <c r="AJ69" s="17"/>
      <c r="AK69" s="17"/>
      <c r="AL69" s="17"/>
      <c r="AM69" s="17"/>
      <c r="AN69" s="9" t="e">
        <f t="shared" si="10"/>
        <v>#DIV/0!</v>
      </c>
      <c r="AO69" s="17"/>
      <c r="AP69" s="17"/>
      <c r="AQ69" s="17"/>
      <c r="AR69" s="17"/>
      <c r="AS69" s="17"/>
      <c r="AT69" s="9" t="e">
        <f t="shared" si="11"/>
        <v>#DIV/0!</v>
      </c>
      <c r="AU69" s="208"/>
      <c r="AV69" s="209"/>
      <c r="AW69" s="9" t="str">
        <f t="shared" si="12"/>
        <v>0</v>
      </c>
      <c r="AX69" s="7" t="e">
        <f t="shared" si="1"/>
        <v>#DIV/0!</v>
      </c>
      <c r="AY69" s="18" t="e">
        <f t="shared" si="24"/>
        <v>#DIV/0!</v>
      </c>
      <c r="AZ69" s="231" t="e">
        <f t="shared" ref="AZ69" si="66">IF(BP69&gt;=4.5, " 5 ", IF(BP69&gt;=3.5," 4 ",IF(BP69&gt;=2.5," 3  ",IF(BP69&gt;=1.5," 2 ",IF(BP69&gt;=1,"1 ",IF(BP69&gt;=0,"0"))))))</f>
        <v>#DIV/0!</v>
      </c>
      <c r="BA69" s="4" t="e">
        <f t="shared" si="2"/>
        <v>#DIV/0!</v>
      </c>
      <c r="BB69" s="4" t="e">
        <f t="shared" si="48"/>
        <v>#DIV/0!</v>
      </c>
      <c r="BC69" s="4" t="e">
        <f t="shared" si="14"/>
        <v>#DIV/0!</v>
      </c>
      <c r="BD69" s="4">
        <f t="shared" si="15"/>
        <v>0</v>
      </c>
      <c r="BE69" s="12" t="e">
        <f t="shared" si="49"/>
        <v>#DIV/0!</v>
      </c>
      <c r="BF69" s="4" t="e">
        <f t="shared" si="16"/>
        <v>#DIV/0!</v>
      </c>
      <c r="BG69" s="4" t="e">
        <f t="shared" si="17"/>
        <v>#DIV/0!</v>
      </c>
      <c r="BH69" s="4" t="e">
        <f t="shared" si="18"/>
        <v>#DIV/0!</v>
      </c>
      <c r="BI69" s="4">
        <f t="shared" si="19"/>
        <v>0</v>
      </c>
      <c r="BJ69" s="12" t="e">
        <f t="shared" si="50"/>
        <v>#DIV/0!</v>
      </c>
      <c r="BK69" s="12" t="e">
        <f t="shared" si="5"/>
        <v>#DIV/0!</v>
      </c>
      <c r="BL69" s="12" t="e">
        <f>(BE69+BJ69)/2</f>
        <v>#DIV/0!</v>
      </c>
      <c r="BM69" s="10" t="e">
        <f t="shared" si="21"/>
        <v>#DIV/0!</v>
      </c>
      <c r="BN69" s="176" t="e">
        <f t="shared" ref="BN69" si="67">ROUND(BO70,)</f>
        <v>#DIV/0!</v>
      </c>
      <c r="BO69" s="12"/>
      <c r="BP69" s="11" t="e">
        <f t="shared" si="26"/>
        <v>#DIV/0!</v>
      </c>
      <c r="BQ69" s="6"/>
      <c r="BR69" s="6"/>
    </row>
    <row r="70" spans="1:70" ht="17.25" customHeight="1" thickBot="1">
      <c r="A70" s="327"/>
      <c r="B70" s="330"/>
      <c r="C70" s="331"/>
      <c r="D70" s="225"/>
      <c r="E70" s="29">
        <v>2</v>
      </c>
      <c r="F70" s="17"/>
      <c r="G70" s="17"/>
      <c r="H70" s="17"/>
      <c r="I70" s="17"/>
      <c r="J70" s="17"/>
      <c r="K70" s="8" t="e">
        <f t="shared" si="6"/>
        <v>#DIV/0!</v>
      </c>
      <c r="L70" s="17"/>
      <c r="M70" s="17"/>
      <c r="N70" s="17"/>
      <c r="O70" s="17"/>
      <c r="P70" s="17"/>
      <c r="Q70" s="9" t="e">
        <f t="shared" si="23"/>
        <v>#DIV/0!</v>
      </c>
      <c r="R70" s="17"/>
      <c r="S70" s="17"/>
      <c r="T70" s="17"/>
      <c r="U70" s="17"/>
      <c r="V70" s="17"/>
      <c r="W70" s="9" t="e">
        <f t="shared" si="7"/>
        <v>#DIV/0!</v>
      </c>
      <c r="X70" s="233"/>
      <c r="Y70" s="234"/>
      <c r="Z70" s="9" t="str">
        <f t="shared" si="8"/>
        <v>0</v>
      </c>
      <c r="AA70" s="7" t="e">
        <f t="shared" si="0"/>
        <v>#DIV/0!</v>
      </c>
      <c r="AB70" s="365"/>
      <c r="AC70" s="17"/>
      <c r="AD70" s="17"/>
      <c r="AE70" s="17"/>
      <c r="AF70" s="17"/>
      <c r="AG70" s="17"/>
      <c r="AH70" s="9" t="e">
        <f t="shared" si="9"/>
        <v>#DIV/0!</v>
      </c>
      <c r="AI70" s="17"/>
      <c r="AJ70" s="17"/>
      <c r="AK70" s="17"/>
      <c r="AL70" s="17"/>
      <c r="AM70" s="17"/>
      <c r="AN70" s="9" t="e">
        <f t="shared" si="10"/>
        <v>#DIV/0!</v>
      </c>
      <c r="AO70" s="17"/>
      <c r="AP70" s="17"/>
      <c r="AQ70" s="17"/>
      <c r="AR70" s="17"/>
      <c r="AS70" s="17"/>
      <c r="AT70" s="9" t="e">
        <f t="shared" si="11"/>
        <v>#DIV/0!</v>
      </c>
      <c r="AU70" s="208"/>
      <c r="AV70" s="209"/>
      <c r="AW70" s="9" t="str">
        <f t="shared" si="12"/>
        <v>0</v>
      </c>
      <c r="AX70" s="7" t="e">
        <f t="shared" si="1"/>
        <v>#DIV/0!</v>
      </c>
      <c r="AY70" s="18" t="e">
        <f t="shared" si="24"/>
        <v>#DIV/0!</v>
      </c>
      <c r="AZ70" s="232"/>
      <c r="BA70" s="4" t="e">
        <f t="shared" si="2"/>
        <v>#DIV/0!</v>
      </c>
      <c r="BB70" s="4" t="e">
        <f t="shared" si="48"/>
        <v>#DIV/0!</v>
      </c>
      <c r="BC70" s="4" t="e">
        <f t="shared" si="14"/>
        <v>#DIV/0!</v>
      </c>
      <c r="BD70" s="4">
        <f t="shared" si="15"/>
        <v>0</v>
      </c>
      <c r="BE70" s="12" t="e">
        <f t="shared" si="49"/>
        <v>#DIV/0!</v>
      </c>
      <c r="BF70" s="4" t="e">
        <f t="shared" si="16"/>
        <v>#DIV/0!</v>
      </c>
      <c r="BG70" s="4" t="e">
        <f t="shared" si="17"/>
        <v>#DIV/0!</v>
      </c>
      <c r="BH70" s="4" t="e">
        <f t="shared" si="18"/>
        <v>#DIV/0!</v>
      </c>
      <c r="BI70" s="4">
        <f t="shared" si="19"/>
        <v>0</v>
      </c>
      <c r="BJ70" s="12" t="e">
        <f t="shared" si="50"/>
        <v>#DIV/0!</v>
      </c>
      <c r="BK70" s="12" t="e">
        <f t="shared" si="5"/>
        <v>#DIV/0!</v>
      </c>
      <c r="BL70" s="12"/>
      <c r="BM70" s="10"/>
      <c r="BN70" s="176"/>
      <c r="BO70" s="12" t="e">
        <f t="shared" si="52"/>
        <v>#DIV/0!</v>
      </c>
      <c r="BP70" s="11"/>
      <c r="BQ70" s="6"/>
      <c r="BR70" s="6"/>
    </row>
    <row r="71" spans="1:70" ht="17.25" customHeight="1">
      <c r="A71" s="326">
        <v>30</v>
      </c>
      <c r="B71" s="328"/>
      <c r="C71" s="329"/>
      <c r="D71" s="225"/>
      <c r="E71" s="24">
        <v>1</v>
      </c>
      <c r="F71" s="17"/>
      <c r="G71" s="17"/>
      <c r="H71" s="17"/>
      <c r="I71" s="17"/>
      <c r="J71" s="17"/>
      <c r="K71" s="8" t="e">
        <f t="shared" si="6"/>
        <v>#DIV/0!</v>
      </c>
      <c r="L71" s="17"/>
      <c r="M71" s="17"/>
      <c r="N71" s="17"/>
      <c r="O71" s="17"/>
      <c r="P71" s="17"/>
      <c r="Q71" s="9" t="e">
        <f t="shared" si="23"/>
        <v>#DIV/0!</v>
      </c>
      <c r="R71" s="17"/>
      <c r="S71" s="17"/>
      <c r="T71" s="17"/>
      <c r="U71" s="17"/>
      <c r="V71" s="17"/>
      <c r="W71" s="9" t="e">
        <f t="shared" si="7"/>
        <v>#DIV/0!</v>
      </c>
      <c r="X71" s="233"/>
      <c r="Y71" s="234"/>
      <c r="Z71" s="9" t="str">
        <f t="shared" si="8"/>
        <v>0</v>
      </c>
      <c r="AA71" s="7" t="e">
        <f t="shared" si="0"/>
        <v>#DIV/0!</v>
      </c>
      <c r="AB71" s="365"/>
      <c r="AC71" s="17"/>
      <c r="AD71" s="17"/>
      <c r="AE71" s="17"/>
      <c r="AF71" s="17"/>
      <c r="AG71" s="17"/>
      <c r="AH71" s="9" t="e">
        <f t="shared" si="9"/>
        <v>#DIV/0!</v>
      </c>
      <c r="AI71" s="17"/>
      <c r="AJ71" s="17"/>
      <c r="AK71" s="17"/>
      <c r="AL71" s="17"/>
      <c r="AM71" s="17"/>
      <c r="AN71" s="9" t="e">
        <f t="shared" si="10"/>
        <v>#DIV/0!</v>
      </c>
      <c r="AO71" s="17"/>
      <c r="AP71" s="17"/>
      <c r="AQ71" s="17"/>
      <c r="AR71" s="17"/>
      <c r="AS71" s="17"/>
      <c r="AT71" s="9" t="e">
        <f t="shared" si="11"/>
        <v>#DIV/0!</v>
      </c>
      <c r="AU71" s="208"/>
      <c r="AV71" s="209"/>
      <c r="AW71" s="9" t="str">
        <f t="shared" si="12"/>
        <v>0</v>
      </c>
      <c r="AX71" s="7" t="e">
        <f t="shared" si="1"/>
        <v>#DIV/0!</v>
      </c>
      <c r="AY71" s="18" t="e">
        <f t="shared" si="24"/>
        <v>#DIV/0!</v>
      </c>
      <c r="AZ71" s="231" t="e">
        <f t="shared" ref="AZ71" si="68">IF(BP71&gt;=4.5, " 5 ", IF(BP71&gt;=3.5," 4 ",IF(BP71&gt;=2.5," 3  ",IF(BP71&gt;=1.5," 2 ",IF(BP71&gt;=1,"1 ",IF(BP71&gt;=0,"0"))))))</f>
        <v>#DIV/0!</v>
      </c>
      <c r="BA71" s="4" t="e">
        <f t="shared" si="2"/>
        <v>#DIV/0!</v>
      </c>
      <c r="BB71" s="4" t="e">
        <f t="shared" si="48"/>
        <v>#DIV/0!</v>
      </c>
      <c r="BC71" s="4" t="e">
        <f t="shared" si="14"/>
        <v>#DIV/0!</v>
      </c>
      <c r="BD71" s="4">
        <f t="shared" si="15"/>
        <v>0</v>
      </c>
      <c r="BE71" s="12" t="e">
        <f t="shared" si="49"/>
        <v>#DIV/0!</v>
      </c>
      <c r="BF71" s="4" t="e">
        <f t="shared" si="16"/>
        <v>#DIV/0!</v>
      </c>
      <c r="BG71" s="4" t="e">
        <f t="shared" si="17"/>
        <v>#DIV/0!</v>
      </c>
      <c r="BH71" s="4" t="e">
        <f t="shared" si="18"/>
        <v>#DIV/0!</v>
      </c>
      <c r="BI71" s="4">
        <f t="shared" si="19"/>
        <v>0</v>
      </c>
      <c r="BJ71" s="12" t="e">
        <f t="shared" si="50"/>
        <v>#DIV/0!</v>
      </c>
      <c r="BK71" s="12" t="e">
        <f t="shared" si="5"/>
        <v>#DIV/0!</v>
      </c>
      <c r="BL71" s="12" t="e">
        <f>(BE71+BJ71)/2</f>
        <v>#DIV/0!</v>
      </c>
      <c r="BM71" s="10" t="e">
        <f t="shared" si="21"/>
        <v>#DIV/0!</v>
      </c>
      <c r="BN71" s="176" t="e">
        <f t="shared" si="32"/>
        <v>#DIV/0!</v>
      </c>
      <c r="BO71" s="12"/>
      <c r="BP71" s="11" t="e">
        <f t="shared" si="26"/>
        <v>#DIV/0!</v>
      </c>
      <c r="BQ71" s="6"/>
      <c r="BR71" s="6"/>
    </row>
    <row r="72" spans="1:70" ht="17.25" customHeight="1" thickBot="1">
      <c r="A72" s="327"/>
      <c r="B72" s="330"/>
      <c r="C72" s="331"/>
      <c r="D72" s="225"/>
      <c r="E72" s="25">
        <v>2</v>
      </c>
      <c r="F72" s="17"/>
      <c r="G72" s="17"/>
      <c r="H72" s="17"/>
      <c r="I72" s="17"/>
      <c r="J72" s="17"/>
      <c r="K72" s="8" t="e">
        <f t="shared" si="6"/>
        <v>#DIV/0!</v>
      </c>
      <c r="L72" s="17"/>
      <c r="M72" s="17"/>
      <c r="N72" s="17"/>
      <c r="O72" s="17"/>
      <c r="P72" s="17"/>
      <c r="Q72" s="9" t="e">
        <f t="shared" si="23"/>
        <v>#DIV/0!</v>
      </c>
      <c r="R72" s="17"/>
      <c r="S72" s="17"/>
      <c r="T72" s="17"/>
      <c r="U72" s="17"/>
      <c r="V72" s="17"/>
      <c r="W72" s="9" t="e">
        <f>AVERAGE(R72:V72)</f>
        <v>#DIV/0!</v>
      </c>
      <c r="X72" s="233"/>
      <c r="Y72" s="234"/>
      <c r="Z72" s="9" t="str">
        <f t="shared" si="8"/>
        <v>0</v>
      </c>
      <c r="AA72" s="7" t="e">
        <f t="shared" si="0"/>
        <v>#DIV/0!</v>
      </c>
      <c r="AB72" s="366"/>
      <c r="AC72" s="17"/>
      <c r="AD72" s="17"/>
      <c r="AE72" s="17"/>
      <c r="AF72" s="17"/>
      <c r="AG72" s="17"/>
      <c r="AH72" s="9" t="e">
        <f t="shared" si="9"/>
        <v>#DIV/0!</v>
      </c>
      <c r="AI72" s="17"/>
      <c r="AJ72" s="17"/>
      <c r="AK72" s="17"/>
      <c r="AL72" s="17"/>
      <c r="AM72" s="17"/>
      <c r="AN72" s="9" t="e">
        <f t="shared" si="10"/>
        <v>#DIV/0!</v>
      </c>
      <c r="AO72" s="17"/>
      <c r="AP72" s="17"/>
      <c r="AQ72" s="17"/>
      <c r="AR72" s="17"/>
      <c r="AS72" s="17"/>
      <c r="AT72" s="9" t="e">
        <f t="shared" si="11"/>
        <v>#DIV/0!</v>
      </c>
      <c r="AU72" s="208"/>
      <c r="AV72" s="209"/>
      <c r="AW72" s="9" t="str">
        <f t="shared" si="12"/>
        <v>0</v>
      </c>
      <c r="AX72" s="7" t="e">
        <f t="shared" si="1"/>
        <v>#DIV/0!</v>
      </c>
      <c r="AY72" s="18" t="e">
        <f t="shared" si="24"/>
        <v>#DIV/0!</v>
      </c>
      <c r="AZ72" s="232"/>
      <c r="BA72" s="4" t="e">
        <f t="shared" si="2"/>
        <v>#DIV/0!</v>
      </c>
      <c r="BB72" s="4" t="e">
        <f t="shared" si="48"/>
        <v>#DIV/0!</v>
      </c>
      <c r="BC72" s="4" t="e">
        <f t="shared" si="14"/>
        <v>#DIV/0!</v>
      </c>
      <c r="BD72" s="4">
        <f t="shared" si="15"/>
        <v>0</v>
      </c>
      <c r="BE72" s="12" t="e">
        <f t="shared" si="49"/>
        <v>#DIV/0!</v>
      </c>
      <c r="BF72" s="4" t="e">
        <f t="shared" si="16"/>
        <v>#DIV/0!</v>
      </c>
      <c r="BG72" s="4" t="e">
        <f t="shared" si="17"/>
        <v>#DIV/0!</v>
      </c>
      <c r="BH72" s="4" t="e">
        <f t="shared" si="18"/>
        <v>#DIV/0!</v>
      </c>
      <c r="BI72" s="4">
        <f t="shared" si="19"/>
        <v>0</v>
      </c>
      <c r="BJ72" s="12" t="e">
        <f t="shared" si="50"/>
        <v>#DIV/0!</v>
      </c>
      <c r="BK72" s="12" t="e">
        <f t="shared" si="5"/>
        <v>#DIV/0!</v>
      </c>
      <c r="BL72" s="12"/>
      <c r="BM72" s="10"/>
      <c r="BN72" s="176"/>
      <c r="BO72" s="12" t="e">
        <f t="shared" si="52"/>
        <v>#DIV/0!</v>
      </c>
      <c r="BP72" s="11"/>
      <c r="BQ72" s="6"/>
      <c r="BR72" s="6"/>
    </row>
  </sheetData>
  <sheetProtection sheet="1" selectLockedCells="1"/>
  <mergeCells count="414">
    <mergeCell ref="BP2:BP12"/>
    <mergeCell ref="AZ27:AZ28"/>
    <mergeCell ref="AZ69:AZ70"/>
    <mergeCell ref="AZ71:AZ72"/>
    <mergeCell ref="AU71:AV71"/>
    <mergeCell ref="AU72:AV72"/>
    <mergeCell ref="AU69:AV69"/>
    <mergeCell ref="AU70:AV70"/>
    <mergeCell ref="AZ21:AZ22"/>
    <mergeCell ref="AZ23:AZ24"/>
    <mergeCell ref="AZ25:AZ26"/>
    <mergeCell ref="AZ29:AZ30"/>
    <mergeCell ref="AZ31:AZ32"/>
    <mergeCell ref="AZ33:AZ34"/>
    <mergeCell ref="AZ35:AZ36"/>
    <mergeCell ref="AZ37:AZ38"/>
    <mergeCell ref="AZ39:AZ40"/>
    <mergeCell ref="AZ41:AZ42"/>
    <mergeCell ref="AZ43:AZ44"/>
    <mergeCell ref="AU50:AV50"/>
    <mergeCell ref="AU51:AV51"/>
    <mergeCell ref="AU52:AV52"/>
    <mergeCell ref="AU35:AV35"/>
    <mergeCell ref="BO2:BO12"/>
    <mergeCell ref="D53:D54"/>
    <mergeCell ref="AU54:AV54"/>
    <mergeCell ref="AO12:AS12"/>
    <mergeCell ref="AU12:AV12"/>
    <mergeCell ref="AA9:AA11"/>
    <mergeCell ref="D13:D14"/>
    <mergeCell ref="AZ9:AZ12"/>
    <mergeCell ref="AU17:AV17"/>
    <mergeCell ref="AU18:AV18"/>
    <mergeCell ref="AU19:AV19"/>
    <mergeCell ref="AZ13:AZ14"/>
    <mergeCell ref="AU13:AV13"/>
    <mergeCell ref="AU21:AV21"/>
    <mergeCell ref="AU22:AV22"/>
    <mergeCell ref="AU23:AV23"/>
    <mergeCell ref="AU24:AV24"/>
    <mergeCell ref="AU25:AV25"/>
    <mergeCell ref="AU26:AV26"/>
    <mergeCell ref="AU20:AV20"/>
    <mergeCell ref="AB9:AB72"/>
    <mergeCell ref="Z9:Z12"/>
    <mergeCell ref="X15:Y15"/>
    <mergeCell ref="D57:D58"/>
    <mergeCell ref="D59:D60"/>
    <mergeCell ref="BM2:BM12"/>
    <mergeCell ref="B35:C36"/>
    <mergeCell ref="B37:C38"/>
    <mergeCell ref="B39:C40"/>
    <mergeCell ref="B41:C42"/>
    <mergeCell ref="B43:C44"/>
    <mergeCell ref="B45:C46"/>
    <mergeCell ref="B47:C48"/>
    <mergeCell ref="D55:D56"/>
    <mergeCell ref="AC9:AG11"/>
    <mergeCell ref="AC12:AG12"/>
    <mergeCell ref="AI12:AM12"/>
    <mergeCell ref="D9:D12"/>
    <mergeCell ref="B11:C12"/>
    <mergeCell ref="D15:D16"/>
    <mergeCell ref="D17:D18"/>
    <mergeCell ref="D19:D20"/>
    <mergeCell ref="D21:D22"/>
    <mergeCell ref="D23:D24"/>
    <mergeCell ref="B33:C34"/>
    <mergeCell ref="D37:D38"/>
    <mergeCell ref="D39:D40"/>
    <mergeCell ref="D41:D42"/>
    <mergeCell ref="D43:D44"/>
    <mergeCell ref="X54:Y54"/>
    <mergeCell ref="AU49:AV49"/>
    <mergeCell ref="AU53:AV53"/>
    <mergeCell ref="D51:D52"/>
    <mergeCell ref="AZ63:AZ64"/>
    <mergeCell ref="AU44:AV44"/>
    <mergeCell ref="AU45:AV45"/>
    <mergeCell ref="AU46:AV46"/>
    <mergeCell ref="AU47:AV47"/>
    <mergeCell ref="AU48:AV48"/>
    <mergeCell ref="AZ51:AZ52"/>
    <mergeCell ref="AZ53:AZ54"/>
    <mergeCell ref="AZ55:AZ56"/>
    <mergeCell ref="AZ57:AZ58"/>
    <mergeCell ref="AZ59:AZ60"/>
    <mergeCell ref="AZ61:AZ62"/>
    <mergeCell ref="X60:Y60"/>
    <mergeCell ref="X49:Y49"/>
    <mergeCell ref="X44:Y44"/>
    <mergeCell ref="X45:Y45"/>
    <mergeCell ref="X52:Y52"/>
    <mergeCell ref="D45:D46"/>
    <mergeCell ref="D47:D48"/>
    <mergeCell ref="D49:D50"/>
    <mergeCell ref="AU29:AV29"/>
    <mergeCell ref="AU30:AV30"/>
    <mergeCell ref="AU31:AV31"/>
    <mergeCell ref="AU32:AV32"/>
    <mergeCell ref="AU33:AV33"/>
    <mergeCell ref="AU37:AV37"/>
    <mergeCell ref="AZ45:AZ46"/>
    <mergeCell ref="AZ47:AZ48"/>
    <mergeCell ref="AZ49:AZ50"/>
    <mergeCell ref="AU38:AV38"/>
    <mergeCell ref="AU36:AV36"/>
    <mergeCell ref="AU34:AV34"/>
    <mergeCell ref="AU39:AV39"/>
    <mergeCell ref="AU40:AV40"/>
    <mergeCell ref="AU41:AV41"/>
    <mergeCell ref="AU42:AV42"/>
    <mergeCell ref="AU43:AV43"/>
    <mergeCell ref="A55:A56"/>
    <mergeCell ref="A57:A58"/>
    <mergeCell ref="A59:A60"/>
    <mergeCell ref="A61:A62"/>
    <mergeCell ref="A63:A64"/>
    <mergeCell ref="A65:A66"/>
    <mergeCell ref="A67:A68"/>
    <mergeCell ref="B53:C54"/>
    <mergeCell ref="B55:C56"/>
    <mergeCell ref="B57:C58"/>
    <mergeCell ref="B59:C60"/>
    <mergeCell ref="B61:C62"/>
    <mergeCell ref="B63:C64"/>
    <mergeCell ref="B65:C66"/>
    <mergeCell ref="A31:A32"/>
    <mergeCell ref="A33:A34"/>
    <mergeCell ref="A53:A5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11:A12"/>
    <mergeCell ref="A13:A14"/>
    <mergeCell ref="B13:C14"/>
    <mergeCell ref="F9:J11"/>
    <mergeCell ref="L9:P11"/>
    <mergeCell ref="R9:V11"/>
    <mergeCell ref="X9:Y11"/>
    <mergeCell ref="F12:J12"/>
    <mergeCell ref="L12:P12"/>
    <mergeCell ref="A9:C10"/>
    <mergeCell ref="R12:V12"/>
    <mergeCell ref="X12:Y12"/>
    <mergeCell ref="X13:Y13"/>
    <mergeCell ref="K9:K12"/>
    <mergeCell ref="Q9:Q12"/>
    <mergeCell ref="W9:W12"/>
    <mergeCell ref="X14:Y14"/>
    <mergeCell ref="A15:A16"/>
    <mergeCell ref="B17:C18"/>
    <mergeCell ref="B19:C20"/>
    <mergeCell ref="B15:C16"/>
    <mergeCell ref="B21:C22"/>
    <mergeCell ref="B23:C24"/>
    <mergeCell ref="B25:C26"/>
    <mergeCell ref="B27:C28"/>
    <mergeCell ref="B29:C30"/>
    <mergeCell ref="A17:A18"/>
    <mergeCell ref="A19:A20"/>
    <mergeCell ref="A21:A22"/>
    <mergeCell ref="A23:A24"/>
    <mergeCell ref="A25:A26"/>
    <mergeCell ref="A27:A28"/>
    <mergeCell ref="A29:A30"/>
    <mergeCell ref="X16:Y16"/>
    <mergeCell ref="X17:Y17"/>
    <mergeCell ref="X18:Y18"/>
    <mergeCell ref="X41:Y41"/>
    <mergeCell ref="X19:Y19"/>
    <mergeCell ref="X20:Y20"/>
    <mergeCell ref="X21:Y21"/>
    <mergeCell ref="X38:Y38"/>
    <mergeCell ref="X53:Y53"/>
    <mergeCell ref="X22:Y22"/>
    <mergeCell ref="X23:Y23"/>
    <mergeCell ref="X24:Y24"/>
    <mergeCell ref="X25:Y25"/>
    <mergeCell ref="X26:Y26"/>
    <mergeCell ref="X42:Y42"/>
    <mergeCell ref="X43:Y43"/>
    <mergeCell ref="X40:Y40"/>
    <mergeCell ref="X46:Y46"/>
    <mergeCell ref="X47:Y47"/>
    <mergeCell ref="X48:Y48"/>
    <mergeCell ref="AZ17:AZ18"/>
    <mergeCell ref="AZ19:AZ20"/>
    <mergeCell ref="A71:A72"/>
    <mergeCell ref="X62:Y62"/>
    <mergeCell ref="X63:Y63"/>
    <mergeCell ref="X64:Y64"/>
    <mergeCell ref="X65:Y65"/>
    <mergeCell ref="X66:Y66"/>
    <mergeCell ref="X67:Y67"/>
    <mergeCell ref="X68:Y68"/>
    <mergeCell ref="X69:Y69"/>
    <mergeCell ref="B67:C68"/>
    <mergeCell ref="B69:C70"/>
    <mergeCell ref="B71:C72"/>
    <mergeCell ref="A69:A70"/>
    <mergeCell ref="X70:Y70"/>
    <mergeCell ref="X71:Y71"/>
    <mergeCell ref="X72:Y72"/>
    <mergeCell ref="D71:D72"/>
    <mergeCell ref="D61:D62"/>
    <mergeCell ref="D69:D70"/>
    <mergeCell ref="AU27:AV27"/>
    <mergeCell ref="AU28:AV28"/>
    <mergeCell ref="X39:Y39"/>
    <mergeCell ref="B31:C32"/>
    <mergeCell ref="X31:Y31"/>
    <mergeCell ref="X36:Y36"/>
    <mergeCell ref="X37:Y37"/>
    <mergeCell ref="X50:Y50"/>
    <mergeCell ref="X51:Y51"/>
    <mergeCell ref="X29:Y29"/>
    <mergeCell ref="D27:D28"/>
    <mergeCell ref="D29:D30"/>
    <mergeCell ref="D31:D32"/>
    <mergeCell ref="D33:D34"/>
    <mergeCell ref="D35:D36"/>
    <mergeCell ref="X30:Y30"/>
    <mergeCell ref="X27:Y27"/>
    <mergeCell ref="X28:Y28"/>
    <mergeCell ref="B49:C50"/>
    <mergeCell ref="B51:C52"/>
    <mergeCell ref="P2:R3"/>
    <mergeCell ref="I2:L3"/>
    <mergeCell ref="AR5:AS5"/>
    <mergeCell ref="AR6:AS6"/>
    <mergeCell ref="AR7:AS7"/>
    <mergeCell ref="AT2:AU2"/>
    <mergeCell ref="AT3:AU3"/>
    <mergeCell ref="AT4:AU4"/>
    <mergeCell ref="AT5:AU5"/>
    <mergeCell ref="AT6:AU6"/>
    <mergeCell ref="AT7:AU7"/>
    <mergeCell ref="AG4:AH4"/>
    <mergeCell ref="AG5:AH5"/>
    <mergeCell ref="AG6:AH6"/>
    <mergeCell ref="AG7:AH7"/>
    <mergeCell ref="AD7:AF7"/>
    <mergeCell ref="AD5:AF5"/>
    <mergeCell ref="AD6:AF6"/>
    <mergeCell ref="AH9:AH12"/>
    <mergeCell ref="AW9:AW12"/>
    <mergeCell ref="AU14:AV14"/>
    <mergeCell ref="AU15:AV15"/>
    <mergeCell ref="AU16:AV16"/>
    <mergeCell ref="AI9:AM11"/>
    <mergeCell ref="AR3:AS3"/>
    <mergeCell ref="AR4:AS4"/>
    <mergeCell ref="BJ2:BJ12"/>
    <mergeCell ref="BE2:BE12"/>
    <mergeCell ref="AI3:AJ3"/>
    <mergeCell ref="AI4:AJ4"/>
    <mergeCell ref="AI5:AJ5"/>
    <mergeCell ref="AI6:AJ6"/>
    <mergeCell ref="AX9:AX11"/>
    <mergeCell ref="AZ15:AZ16"/>
    <mergeCell ref="AY9:AY12"/>
    <mergeCell ref="AT9:AT12"/>
    <mergeCell ref="AN9:AN12"/>
    <mergeCell ref="B1:R1"/>
    <mergeCell ref="AM3:AN3"/>
    <mergeCell ref="AM4:AN4"/>
    <mergeCell ref="AM5:AN5"/>
    <mergeCell ref="AM6:AN6"/>
    <mergeCell ref="AM7:AN7"/>
    <mergeCell ref="D2:H3"/>
    <mergeCell ref="D4:R4"/>
    <mergeCell ref="D5:R5"/>
    <mergeCell ref="X7:Y7"/>
    <mergeCell ref="AK2:AL2"/>
    <mergeCell ref="AK3:AL3"/>
    <mergeCell ref="AK4:AL4"/>
    <mergeCell ref="AK5:AL5"/>
    <mergeCell ref="AK6:AL6"/>
    <mergeCell ref="AK7:AL7"/>
    <mergeCell ref="AD2:AF2"/>
    <mergeCell ref="AD3:AF3"/>
    <mergeCell ref="AD4:AF4"/>
    <mergeCell ref="S2:W2"/>
    <mergeCell ref="AI7:AJ7"/>
    <mergeCell ref="AG2:AH2"/>
    <mergeCell ref="AI2:AJ2"/>
    <mergeCell ref="AG3:AH3"/>
    <mergeCell ref="A6:C7"/>
    <mergeCell ref="D6:R7"/>
    <mergeCell ref="A1:A3"/>
    <mergeCell ref="A8:C8"/>
    <mergeCell ref="A4:C5"/>
    <mergeCell ref="B2:C3"/>
    <mergeCell ref="AD8:AF8"/>
    <mergeCell ref="Z2:AA2"/>
    <mergeCell ref="Z3:AA3"/>
    <mergeCell ref="Z4:AA4"/>
    <mergeCell ref="Z5:AA5"/>
    <mergeCell ref="Z6:AA6"/>
    <mergeCell ref="Z7:AA7"/>
    <mergeCell ref="S3:W3"/>
    <mergeCell ref="S4:W4"/>
    <mergeCell ref="S5:W5"/>
    <mergeCell ref="S6:W6"/>
    <mergeCell ref="S7:W7"/>
    <mergeCell ref="X2:Y2"/>
    <mergeCell ref="X3:Y3"/>
    <mergeCell ref="X4:Y4"/>
    <mergeCell ref="X5:Y5"/>
    <mergeCell ref="X6:Y6"/>
    <mergeCell ref="M2:O3"/>
    <mergeCell ref="D25:D26"/>
    <mergeCell ref="E9:E12"/>
    <mergeCell ref="D8:R8"/>
    <mergeCell ref="BN39:BN40"/>
    <mergeCell ref="BN41:BN42"/>
    <mergeCell ref="BN43:BN44"/>
    <mergeCell ref="BN45:BN46"/>
    <mergeCell ref="BN47:BN48"/>
    <mergeCell ref="BN13:BN14"/>
    <mergeCell ref="BN15:BN16"/>
    <mergeCell ref="BN17:BN18"/>
    <mergeCell ref="BN19:BN20"/>
    <mergeCell ref="BN21:BN22"/>
    <mergeCell ref="BN23:BN24"/>
    <mergeCell ref="BN25:BN26"/>
    <mergeCell ref="BN27:BN28"/>
    <mergeCell ref="BN29:BN30"/>
    <mergeCell ref="BK2:BK12"/>
    <mergeCell ref="BL2:BL12"/>
    <mergeCell ref="BN2:BN12"/>
    <mergeCell ref="X32:Y32"/>
    <mergeCell ref="X33:Y33"/>
    <mergeCell ref="X34:Y34"/>
    <mergeCell ref="X35:Y35"/>
    <mergeCell ref="BN55:BN56"/>
    <mergeCell ref="D63:D64"/>
    <mergeCell ref="D65:D66"/>
    <mergeCell ref="D67:D68"/>
    <mergeCell ref="AZ65:AZ66"/>
    <mergeCell ref="AU62:AV62"/>
    <mergeCell ref="AU63:AV63"/>
    <mergeCell ref="AU64:AV64"/>
    <mergeCell ref="AU65:AV65"/>
    <mergeCell ref="AU66:AV66"/>
    <mergeCell ref="AZ67:AZ68"/>
    <mergeCell ref="AU57:AV57"/>
    <mergeCell ref="AU58:AV58"/>
    <mergeCell ref="AU59:AV59"/>
    <mergeCell ref="AU60:AV60"/>
    <mergeCell ref="AU61:AV61"/>
    <mergeCell ref="X55:Y55"/>
    <mergeCell ref="X56:Y56"/>
    <mergeCell ref="X57:Y57"/>
    <mergeCell ref="X58:Y58"/>
    <mergeCell ref="X61:Y61"/>
    <mergeCell ref="AU67:AV67"/>
    <mergeCell ref="AU68:AV68"/>
    <mergeCell ref="X59:Y59"/>
    <mergeCell ref="S1:X1"/>
    <mergeCell ref="BN69:BN70"/>
    <mergeCell ref="BN57:BN58"/>
    <mergeCell ref="BN59:BN60"/>
    <mergeCell ref="BN61:BN62"/>
    <mergeCell ref="BN63:BN64"/>
    <mergeCell ref="BN65:BN66"/>
    <mergeCell ref="BN67:BN68"/>
    <mergeCell ref="AO3:AQ3"/>
    <mergeCell ref="AO4:AQ4"/>
    <mergeCell ref="AO5:AQ5"/>
    <mergeCell ref="AO6:AQ6"/>
    <mergeCell ref="AO7:AQ7"/>
    <mergeCell ref="AM2:AN2"/>
    <mergeCell ref="AO2:AQ2"/>
    <mergeCell ref="AO9:AS11"/>
    <mergeCell ref="AU9:AV11"/>
    <mergeCell ref="AO8:AQ8"/>
    <mergeCell ref="AR2:AS2"/>
    <mergeCell ref="BN49:BN50"/>
    <mergeCell ref="BN31:BN32"/>
    <mergeCell ref="BN33:BN34"/>
    <mergeCell ref="BN35:BN36"/>
    <mergeCell ref="BN37:BN38"/>
    <mergeCell ref="BN71:BN72"/>
    <mergeCell ref="Y1:AF1"/>
    <mergeCell ref="AG1:AQ1"/>
    <mergeCell ref="AR1:AZ1"/>
    <mergeCell ref="S8:AC8"/>
    <mergeCell ref="AG8:AN8"/>
    <mergeCell ref="AY8:AZ8"/>
    <mergeCell ref="AR8:AX8"/>
    <mergeCell ref="AY2:AZ2"/>
    <mergeCell ref="AY3:AZ3"/>
    <mergeCell ref="AY4:AZ4"/>
    <mergeCell ref="AY5:AZ5"/>
    <mergeCell ref="AY6:AZ6"/>
    <mergeCell ref="AY7:AZ7"/>
    <mergeCell ref="AW2:AX2"/>
    <mergeCell ref="AW3:AX3"/>
    <mergeCell ref="AW4:AX4"/>
    <mergeCell ref="AW5:AX5"/>
    <mergeCell ref="AW6:AX6"/>
    <mergeCell ref="AW7:AX7"/>
    <mergeCell ref="BN51:BN52"/>
    <mergeCell ref="BN53:BN54"/>
    <mergeCell ref="AU55:AV55"/>
    <mergeCell ref="AU56:AV56"/>
  </mergeCells>
  <phoneticPr fontId="40" type="noConversion"/>
  <pageMargins left="0.21030092592592592" right="4.5717592592592594E-2" top="0.37037037037037035" bottom="0.25" header="7.9166666666666673E-3" footer="0"/>
  <pageSetup scale="80" fitToWidth="0" fitToHeight="0" orientation="landscape" r:id="rId1"/>
  <headerFooter>
    <oddHeader>&amp;L                                                                                                                         &amp;18     DITARI PERSONAL I MËSIMDHËNËSIT-ES</oddHeader>
  </headerFooter>
  <rowBreaks count="1" manualBreakCount="1">
    <brk id="36" max="5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7C86-F4DD-4A94-BDE2-EE8E070B9657}">
  <sheetPr>
    <tabColor rgb="FF00B050"/>
  </sheetPr>
  <dimension ref="A1:BR72"/>
  <sheetViews>
    <sheetView view="pageLayout" zoomScale="90" zoomScaleNormal="80" zoomScalePageLayoutView="90" workbookViewId="0">
      <selection activeCell="D5" sqref="D5:R5"/>
    </sheetView>
  </sheetViews>
  <sheetFormatPr defaultColWidth="3" defaultRowHeight="20.25" customHeight="1"/>
  <cols>
    <col min="1" max="1" width="4.5" customWidth="1"/>
    <col min="2" max="2" width="1.1640625" hidden="1" customWidth="1"/>
    <col min="3" max="3" width="22.1640625" customWidth="1"/>
    <col min="4" max="4" width="3.6640625" style="11" customWidth="1"/>
    <col min="5" max="5" width="3" customWidth="1"/>
    <col min="11" max="11" width="3.5" bestFit="1" customWidth="1"/>
    <col min="17" max="17" width="3.5" bestFit="1" customWidth="1"/>
    <col min="25" max="25" width="3.6640625" customWidth="1"/>
    <col min="27" max="27" width="4.83203125" customWidth="1"/>
    <col min="28" max="29" width="4" customWidth="1"/>
    <col min="37" max="37" width="2.33203125" customWidth="1"/>
    <col min="48" max="48" width="4.6640625" customWidth="1"/>
    <col min="49" max="49" width="3" customWidth="1"/>
    <col min="50" max="50" width="5.1640625" customWidth="1"/>
    <col min="51" max="51" width="4.33203125" customWidth="1"/>
    <col min="52" max="52" width="7.1640625" customWidth="1"/>
    <col min="53" max="53" width="7.1640625" style="4" hidden="1" customWidth="1"/>
    <col min="54" max="54" width="6.83203125" style="4" hidden="1" customWidth="1"/>
    <col min="55" max="56" width="5.6640625" style="4" hidden="1" customWidth="1"/>
    <col min="57" max="57" width="8.1640625" style="10" hidden="1" customWidth="1"/>
    <col min="58" max="58" width="6.1640625" style="4" hidden="1" customWidth="1"/>
    <col min="59" max="59" width="9.1640625" style="4" hidden="1" customWidth="1"/>
    <col min="60" max="60" width="6.33203125" style="4" hidden="1" customWidth="1"/>
    <col min="61" max="61" width="5.6640625" style="4" hidden="1" customWidth="1"/>
    <col min="62" max="62" width="6.5" style="11" hidden="1" customWidth="1"/>
    <col min="63" max="63" width="8.33203125" hidden="1" customWidth="1"/>
    <col min="64" max="64" width="8.6640625" hidden="1" customWidth="1"/>
    <col min="65" max="65" width="6.5" hidden="1" customWidth="1"/>
    <col min="66" max="66" width="5.1640625" hidden="1" customWidth="1"/>
    <col min="67" max="67" width="6.6640625" hidden="1" customWidth="1"/>
    <col min="68" max="68" width="6.1640625" hidden="1" customWidth="1"/>
    <col min="70" max="70" width="7" customWidth="1"/>
  </cols>
  <sheetData>
    <row r="1" spans="1:70" ht="20.25" customHeight="1">
      <c r="A1" s="248" t="s">
        <v>30</v>
      </c>
      <c r="B1" s="268" t="s">
        <v>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210" t="s">
        <v>7</v>
      </c>
      <c r="T1" s="211"/>
      <c r="U1" s="211"/>
      <c r="V1" s="211"/>
      <c r="W1" s="211"/>
      <c r="X1" s="212"/>
      <c r="Y1" s="177" t="s">
        <v>46</v>
      </c>
      <c r="Z1" s="177"/>
      <c r="AA1" s="177"/>
      <c r="AB1" s="177"/>
      <c r="AC1" s="177"/>
      <c r="AD1" s="177"/>
      <c r="AE1" s="177"/>
      <c r="AF1" s="178"/>
      <c r="AG1" s="179" t="s">
        <v>47</v>
      </c>
      <c r="AH1" s="180"/>
      <c r="AI1" s="180"/>
      <c r="AJ1" s="180"/>
      <c r="AK1" s="180"/>
      <c r="AL1" s="180"/>
      <c r="AM1" s="180"/>
      <c r="AN1" s="180"/>
      <c r="AO1" s="180"/>
      <c r="AP1" s="180"/>
      <c r="AQ1" s="181"/>
      <c r="AR1" s="182" t="s">
        <v>23</v>
      </c>
      <c r="AS1" s="183"/>
      <c r="AT1" s="183"/>
      <c r="AU1" s="183"/>
      <c r="AV1" s="183"/>
      <c r="AW1" s="183"/>
      <c r="AX1" s="183"/>
      <c r="AY1" s="183"/>
      <c r="AZ1" s="184"/>
    </row>
    <row r="2" spans="1:70" ht="20.25" customHeight="1">
      <c r="A2" s="248"/>
      <c r="B2" s="250"/>
      <c r="C2" s="250"/>
      <c r="D2" s="271" t="s">
        <v>9</v>
      </c>
      <c r="E2" s="272"/>
      <c r="F2" s="272"/>
      <c r="G2" s="272"/>
      <c r="H2" s="273"/>
      <c r="I2" s="225" t="s">
        <v>51</v>
      </c>
      <c r="J2" s="225"/>
      <c r="K2" s="225"/>
      <c r="L2" s="225"/>
      <c r="M2" s="267" t="s">
        <v>6</v>
      </c>
      <c r="N2" s="267"/>
      <c r="O2" s="267"/>
      <c r="P2" s="268" t="s">
        <v>135</v>
      </c>
      <c r="Q2" s="268"/>
      <c r="R2" s="269"/>
      <c r="S2" s="291" t="s">
        <v>43</v>
      </c>
      <c r="T2" s="292"/>
      <c r="U2" s="292"/>
      <c r="V2" s="292"/>
      <c r="W2" s="293"/>
      <c r="X2" s="264" t="s">
        <v>44</v>
      </c>
      <c r="Y2" s="254"/>
      <c r="Z2" s="254" t="s">
        <v>45</v>
      </c>
      <c r="AA2" s="254"/>
      <c r="AB2" s="30" t="s">
        <v>53</v>
      </c>
      <c r="AC2" s="30" t="s">
        <v>52</v>
      </c>
      <c r="AD2" s="285" t="s">
        <v>15</v>
      </c>
      <c r="AE2" s="285"/>
      <c r="AF2" s="286"/>
      <c r="AG2" s="295" t="s">
        <v>44</v>
      </c>
      <c r="AH2" s="296"/>
      <c r="AI2" s="296" t="s">
        <v>45</v>
      </c>
      <c r="AJ2" s="296"/>
      <c r="AK2" s="221" t="s">
        <v>53</v>
      </c>
      <c r="AL2" s="221"/>
      <c r="AM2" s="221" t="s">
        <v>52</v>
      </c>
      <c r="AN2" s="221"/>
      <c r="AO2" s="222" t="s">
        <v>15</v>
      </c>
      <c r="AP2" s="222"/>
      <c r="AQ2" s="223"/>
      <c r="AR2" s="229" t="s">
        <v>44</v>
      </c>
      <c r="AS2" s="230"/>
      <c r="AT2" s="312" t="s">
        <v>45</v>
      </c>
      <c r="AU2" s="312"/>
      <c r="AV2" s="31" t="s">
        <v>53</v>
      </c>
      <c r="AW2" s="206" t="s">
        <v>52</v>
      </c>
      <c r="AX2" s="206"/>
      <c r="AY2" s="196" t="s">
        <v>57</v>
      </c>
      <c r="AZ2" s="197"/>
      <c r="BA2" s="13"/>
      <c r="BE2" s="240" t="s">
        <v>40</v>
      </c>
      <c r="BJ2" s="240" t="s">
        <v>39</v>
      </c>
      <c r="BK2" s="240" t="s">
        <v>38</v>
      </c>
      <c r="BL2" s="240" t="s">
        <v>41</v>
      </c>
      <c r="BM2" s="240" t="s">
        <v>41</v>
      </c>
      <c r="BN2" s="240" t="s">
        <v>42</v>
      </c>
      <c r="BO2" s="240" t="s">
        <v>42</v>
      </c>
      <c r="BP2" s="240" t="s">
        <v>50</v>
      </c>
    </row>
    <row r="3" spans="1:70" ht="20.25" customHeight="1">
      <c r="A3" s="248"/>
      <c r="B3" s="250"/>
      <c r="C3" s="250"/>
      <c r="D3" s="274"/>
      <c r="E3" s="275"/>
      <c r="F3" s="275"/>
      <c r="G3" s="275"/>
      <c r="H3" s="276"/>
      <c r="I3" s="225"/>
      <c r="J3" s="225"/>
      <c r="K3" s="225"/>
      <c r="L3" s="225"/>
      <c r="M3" s="267"/>
      <c r="N3" s="267"/>
      <c r="O3" s="267"/>
      <c r="P3" s="268"/>
      <c r="Q3" s="268"/>
      <c r="R3" s="269"/>
      <c r="S3" s="258" t="s">
        <v>11</v>
      </c>
      <c r="T3" s="259"/>
      <c r="U3" s="259"/>
      <c r="V3" s="259"/>
      <c r="W3" s="260"/>
      <c r="X3" s="265">
        <f>COUNTIF($BM$13:$BM$72,"5")</f>
        <v>0</v>
      </c>
      <c r="Y3" s="266"/>
      <c r="Z3" s="255" t="e">
        <f>X3/$AD$3</f>
        <v>#DIV/0!</v>
      </c>
      <c r="AA3" s="255"/>
      <c r="AB3" s="30">
        <f>COUNTIFS($BM$13:$BM$72,"5",$D$13:$D$72,"M")</f>
        <v>0</v>
      </c>
      <c r="AC3" s="30">
        <f>COUNTIFS($BM$13:$BM$72,"5",$D$13:$D$72,"F")</f>
        <v>0</v>
      </c>
      <c r="AD3" s="287">
        <f>SUM(X3:Y7)</f>
        <v>0</v>
      </c>
      <c r="AE3" s="287"/>
      <c r="AF3" s="288"/>
      <c r="AG3" s="370">
        <f>COUNTIF($BN$13:$BN$71,"5")</f>
        <v>0</v>
      </c>
      <c r="AH3" s="371"/>
      <c r="AI3" s="305" t="e">
        <f>AG3/$AO$3</f>
        <v>#DIV/0!</v>
      </c>
      <c r="AJ3" s="305"/>
      <c r="AK3" s="221">
        <f>COUNTIFS($BN$13:$BN$72,"5",$D$13:$D$72,"M")</f>
        <v>0</v>
      </c>
      <c r="AL3" s="221"/>
      <c r="AM3" s="221">
        <f>COUNTIFS($BN$13:$BN$72,"5",$D$13:$D$72,"F")</f>
        <v>0</v>
      </c>
      <c r="AN3" s="221"/>
      <c r="AO3" s="213">
        <f>SUM(AG3:AH7)</f>
        <v>0</v>
      </c>
      <c r="AP3" s="213"/>
      <c r="AQ3" s="214"/>
      <c r="AR3" s="367">
        <f>COUNTIF($AZ$13:$AZ$72,"5")</f>
        <v>0</v>
      </c>
      <c r="AS3" s="368"/>
      <c r="AT3" s="313" t="e">
        <f>AR3/$AY$3</f>
        <v>#DIV/0!</v>
      </c>
      <c r="AU3" s="313"/>
      <c r="AV3" s="35">
        <f>COUNTIFS($AZ$13:$AZ$72,"5",$D$13:$D$72,"M")</f>
        <v>0</v>
      </c>
      <c r="AW3" s="369">
        <f>COUNTIFS($AZ$13:$AZ$72,"5",$D$13:$D$72,"f")</f>
        <v>0</v>
      </c>
      <c r="AX3" s="369"/>
      <c r="AY3" s="198">
        <f>SUM(AR3:AS7)</f>
        <v>0</v>
      </c>
      <c r="AZ3" s="199"/>
      <c r="BA3" s="16"/>
      <c r="BE3" s="240"/>
      <c r="BJ3" s="240"/>
      <c r="BK3" s="240"/>
      <c r="BL3" s="240"/>
      <c r="BM3" s="240"/>
      <c r="BN3" s="240"/>
      <c r="BO3" s="240"/>
      <c r="BP3" s="240"/>
    </row>
    <row r="4" spans="1:70" ht="18" customHeight="1">
      <c r="A4" s="248"/>
      <c r="B4" s="248"/>
      <c r="C4" s="248"/>
      <c r="D4" s="277" t="s">
        <v>29</v>
      </c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9"/>
      <c r="S4" s="258" t="s">
        <v>12</v>
      </c>
      <c r="T4" s="259"/>
      <c r="U4" s="259"/>
      <c r="V4" s="259"/>
      <c r="W4" s="260"/>
      <c r="X4" s="265">
        <f>COUNTIF($BM$13:$BM$72,"4")</f>
        <v>0</v>
      </c>
      <c r="Y4" s="266"/>
      <c r="Z4" s="256" t="e">
        <f>X4/$AD$3</f>
        <v>#DIV/0!</v>
      </c>
      <c r="AA4" s="256"/>
      <c r="AB4" s="30">
        <f>COUNTIFS($BM$13:$BM$72,"4",$D$13:$D$72,"M")</f>
        <v>0</v>
      </c>
      <c r="AC4" s="30">
        <f>COUNTIFS($BM$13:$BM$72,"4",$D$13:$D$72,"F")</f>
        <v>0</v>
      </c>
      <c r="AD4" s="289" t="s">
        <v>48</v>
      </c>
      <c r="AE4" s="289"/>
      <c r="AF4" s="290"/>
      <c r="AG4" s="370">
        <f>COUNTIF($BN$13:$BN$71,"4")</f>
        <v>0</v>
      </c>
      <c r="AH4" s="371"/>
      <c r="AI4" s="305" t="e">
        <f>AG4/$AO$3</f>
        <v>#DIV/0!</v>
      </c>
      <c r="AJ4" s="305"/>
      <c r="AK4" s="221">
        <f>COUNTIFS($BN$13:$BN$72,"4",$D$13:$D$72,"M")</f>
        <v>0</v>
      </c>
      <c r="AL4" s="221"/>
      <c r="AM4" s="221">
        <f>COUNTIFS($BN$13:$BN$72,"4",$D$13:$D$72,"F")</f>
        <v>0</v>
      </c>
      <c r="AN4" s="221"/>
      <c r="AO4" s="215" t="s">
        <v>48</v>
      </c>
      <c r="AP4" s="215"/>
      <c r="AQ4" s="216"/>
      <c r="AR4" s="367">
        <f>COUNTIF($AZ$13:$AZ$72,"4")</f>
        <v>0</v>
      </c>
      <c r="AS4" s="368"/>
      <c r="AT4" s="313" t="e">
        <f>AR4/$AY$3</f>
        <v>#DIV/0!</v>
      </c>
      <c r="AU4" s="313"/>
      <c r="AV4" s="35">
        <f>COUNTIFS($AZ$13:$AZ$72,"4",$D$13:$D$72,"M")</f>
        <v>0</v>
      </c>
      <c r="AW4" s="369">
        <f>COUNTIFS($AZ$13:$AZ$72,"4",$D$13:$D$72,"F")</f>
        <v>0</v>
      </c>
      <c r="AX4" s="369"/>
      <c r="AY4" s="200" t="s">
        <v>48</v>
      </c>
      <c r="AZ4" s="201"/>
      <c r="BA4" s="15"/>
      <c r="BE4" s="240"/>
      <c r="BJ4" s="240"/>
      <c r="BK4" s="240"/>
      <c r="BL4" s="240"/>
      <c r="BM4" s="240"/>
      <c r="BN4" s="240"/>
      <c r="BO4" s="240"/>
      <c r="BP4" s="240"/>
    </row>
    <row r="5" spans="1:70" ht="19.5" customHeight="1">
      <c r="A5" s="248"/>
      <c r="B5" s="248"/>
      <c r="C5" s="248"/>
      <c r="D5" s="280" t="s">
        <v>2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2"/>
      <c r="S5" s="258" t="s">
        <v>13</v>
      </c>
      <c r="T5" s="259"/>
      <c r="U5" s="259"/>
      <c r="V5" s="259"/>
      <c r="W5" s="260"/>
      <c r="X5" s="265">
        <f>COUNTIF($BM$13:$BM$72,"3")</f>
        <v>0</v>
      </c>
      <c r="Y5" s="266"/>
      <c r="Z5" s="256" t="e">
        <f>X5/$AD$3</f>
        <v>#DIV/0!</v>
      </c>
      <c r="AA5" s="256"/>
      <c r="AB5" s="30">
        <f>COUNTIFS($BM$13:$BM$72,"3",$D$13:$D$72,"M")</f>
        <v>0</v>
      </c>
      <c r="AC5" s="30">
        <f>COUNTIFS($BM$13:$BM$72,"3",$D$13:$D$72,"F")</f>
        <v>0</v>
      </c>
      <c r="AD5" s="319">
        <f>SUM(X3:Y6)</f>
        <v>0</v>
      </c>
      <c r="AE5" s="319"/>
      <c r="AF5" s="320"/>
      <c r="AG5" s="370">
        <f>COUNTIF($BN$13:$BN$71,"3")</f>
        <v>0</v>
      </c>
      <c r="AH5" s="371"/>
      <c r="AI5" s="305" t="e">
        <f>AG5/$AO$3</f>
        <v>#DIV/0!</v>
      </c>
      <c r="AJ5" s="305"/>
      <c r="AK5" s="221">
        <f>COUNTIFS($BN$13:$BN$72,"3",$D$13:$D$72,"M")</f>
        <v>0</v>
      </c>
      <c r="AL5" s="221"/>
      <c r="AM5" s="221">
        <f>COUNTIFS($BN$13:$BN$72,"3",$D$13:$D$72,"F")</f>
        <v>0</v>
      </c>
      <c r="AN5" s="221"/>
      <c r="AO5" s="217">
        <f>SUM(AG3:AH6)</f>
        <v>0</v>
      </c>
      <c r="AP5" s="217"/>
      <c r="AQ5" s="218"/>
      <c r="AR5" s="367">
        <f>COUNTIF($AZ$13:$AZ$72,"3")</f>
        <v>0</v>
      </c>
      <c r="AS5" s="368"/>
      <c r="AT5" s="313" t="e">
        <f>AR5/$AY$3</f>
        <v>#DIV/0!</v>
      </c>
      <c r="AU5" s="313"/>
      <c r="AV5" s="35">
        <f>COUNTIFS($AZ$13:$AZ$72,"3",$D$13:$D$72,"M")</f>
        <v>0</v>
      </c>
      <c r="AW5" s="369">
        <f>COUNTIFS($AZ$13:$AZ$72,"3",$D$13:$D$72,"F")</f>
        <v>0</v>
      </c>
      <c r="AX5" s="369"/>
      <c r="AY5" s="202">
        <f>SUM(AQ3:AR6)</f>
        <v>0</v>
      </c>
      <c r="AZ5" s="203"/>
      <c r="BA5" s="14"/>
      <c r="BE5" s="240"/>
      <c r="BJ5" s="240"/>
      <c r="BK5" s="240"/>
      <c r="BL5" s="240"/>
      <c r="BM5" s="240"/>
      <c r="BN5" s="240"/>
      <c r="BO5" s="240"/>
      <c r="BP5" s="240"/>
    </row>
    <row r="6" spans="1:70" ht="17.25" customHeight="1">
      <c r="A6" s="241" t="s">
        <v>3</v>
      </c>
      <c r="B6" s="241"/>
      <c r="C6" s="241"/>
      <c r="D6" s="242" t="s">
        <v>4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58" t="s">
        <v>14</v>
      </c>
      <c r="T6" s="259"/>
      <c r="U6" s="259"/>
      <c r="V6" s="259"/>
      <c r="W6" s="260"/>
      <c r="X6" s="265">
        <f>COUNTIF($BM$13:$BM$72,"2")</f>
        <v>0</v>
      </c>
      <c r="Y6" s="266"/>
      <c r="Z6" s="255" t="e">
        <f>X6/$AD$3</f>
        <v>#DIV/0!</v>
      </c>
      <c r="AA6" s="255"/>
      <c r="AB6" s="30">
        <f>COUNTIFS($BM$13:$BM$72,"2",$D$13:$D$72,"M")</f>
        <v>0</v>
      </c>
      <c r="AC6" s="30">
        <f>COUNTIFS($BM$13:$BM$72,"2",$D$13:$D$72,"F")</f>
        <v>0</v>
      </c>
      <c r="AD6" s="289" t="s">
        <v>49</v>
      </c>
      <c r="AE6" s="289"/>
      <c r="AF6" s="290"/>
      <c r="AG6" s="370">
        <f>COUNTIF($BN$13:$BN$71,"2")</f>
        <v>0</v>
      </c>
      <c r="AH6" s="371"/>
      <c r="AI6" s="305" t="e">
        <f>AG6/$AO$3</f>
        <v>#DIV/0!</v>
      </c>
      <c r="AJ6" s="305"/>
      <c r="AK6" s="221">
        <f>COUNTIFS($BN$13:$BN$72,"2",$D$13:$D$72,"M")</f>
        <v>0</v>
      </c>
      <c r="AL6" s="221"/>
      <c r="AM6" s="221">
        <f>COUNTIFS($BN$13:$BN$72,"2",$D$13:$D$72,"F")</f>
        <v>0</v>
      </c>
      <c r="AN6" s="221"/>
      <c r="AO6" s="215" t="s">
        <v>49</v>
      </c>
      <c r="AP6" s="215"/>
      <c r="AQ6" s="216"/>
      <c r="AR6" s="367">
        <f>COUNTIF($AZ$13:$AZ$72,"2")</f>
        <v>0</v>
      </c>
      <c r="AS6" s="368"/>
      <c r="AT6" s="313" t="e">
        <f>AR6/$AY$3</f>
        <v>#DIV/0!</v>
      </c>
      <c r="AU6" s="313"/>
      <c r="AV6" s="35">
        <f>COUNTIFS($AZ$13:$AZ$72,"2",$D$13:$D$72,"M")</f>
        <v>0</v>
      </c>
      <c r="AW6" s="369">
        <f>COUNTIFS($AZ$13:$AZ$72,"2",$D$13:$D$72,"F")</f>
        <v>0</v>
      </c>
      <c r="AX6" s="369"/>
      <c r="AY6" s="200" t="s">
        <v>49</v>
      </c>
      <c r="AZ6" s="201"/>
      <c r="BA6" s="15"/>
      <c r="BE6" s="240"/>
      <c r="BJ6" s="240"/>
      <c r="BK6" s="240"/>
      <c r="BL6" s="240"/>
      <c r="BM6" s="240"/>
      <c r="BN6" s="240"/>
      <c r="BO6" s="240"/>
      <c r="BP6" s="240"/>
    </row>
    <row r="7" spans="1:70" ht="16.5" customHeight="1" thickBot="1">
      <c r="A7" s="241"/>
      <c r="B7" s="241"/>
      <c r="C7" s="241"/>
      <c r="D7" s="245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  <c r="S7" s="261" t="s">
        <v>21</v>
      </c>
      <c r="T7" s="262"/>
      <c r="U7" s="262"/>
      <c r="V7" s="262"/>
      <c r="W7" s="263"/>
      <c r="X7" s="283">
        <f>COUNTIF($BM$13:$BM$72,"1")</f>
        <v>0</v>
      </c>
      <c r="Y7" s="284"/>
      <c r="Z7" s="257" t="e">
        <f>X7/$AD$3</f>
        <v>#DIV/0!</v>
      </c>
      <c r="AA7" s="257"/>
      <c r="AB7" s="30">
        <f>COUNTIFS($BM$13:$BM$72,"1",$D$13:$D$72,"M")</f>
        <v>0</v>
      </c>
      <c r="AC7" s="30">
        <f>COUNTIFS($BM$13:$BM$72,"1",$D$13:$D$72,"F")</f>
        <v>0</v>
      </c>
      <c r="AD7" s="317">
        <f>X7</f>
        <v>0</v>
      </c>
      <c r="AE7" s="317"/>
      <c r="AF7" s="318"/>
      <c r="AG7" s="373">
        <f>COUNTIF($BN$13:$BN$71,"1")</f>
        <v>0</v>
      </c>
      <c r="AH7" s="374"/>
      <c r="AI7" s="294" t="e">
        <f>AG7/$AO$3</f>
        <v>#DIV/0!</v>
      </c>
      <c r="AJ7" s="294"/>
      <c r="AK7" s="270">
        <f>COUNTIFS($BN$13:$BN$72,"1",$D$13:$D$72,"M")</f>
        <v>0</v>
      </c>
      <c r="AL7" s="270"/>
      <c r="AM7" s="270">
        <f>COUNTIFS($BN$13:$BN$72,"1",$D$13:$D$72,"F")</f>
        <v>0</v>
      </c>
      <c r="AN7" s="270"/>
      <c r="AO7" s="219">
        <f>AG7</f>
        <v>0</v>
      </c>
      <c r="AP7" s="219"/>
      <c r="AQ7" s="220"/>
      <c r="AR7" s="375">
        <f>COUNTIF($AZ$13:$AZ$72,"1")</f>
        <v>0</v>
      </c>
      <c r="AS7" s="376"/>
      <c r="AT7" s="314" t="e">
        <f>AR7/$AY$3</f>
        <v>#DIV/0!</v>
      </c>
      <c r="AU7" s="314"/>
      <c r="AV7" s="36">
        <f>COUNTIFS($AZ$13:$AZ$72,"1",$D$13:$D$72,"M")</f>
        <v>0</v>
      </c>
      <c r="AW7" s="372">
        <f>COUNTIFS($AZ$13:$AZ$72,"1",$D$13:$D$72,"F")</f>
        <v>0</v>
      </c>
      <c r="AX7" s="372"/>
      <c r="AY7" s="204">
        <f>AR7</f>
        <v>0</v>
      </c>
      <c r="AZ7" s="205"/>
      <c r="BA7" s="14"/>
      <c r="BE7" s="240"/>
      <c r="BJ7" s="240"/>
      <c r="BK7" s="240"/>
      <c r="BL7" s="240"/>
      <c r="BM7" s="240"/>
      <c r="BN7" s="240"/>
      <c r="BO7" s="240"/>
      <c r="BP7" s="240"/>
    </row>
    <row r="8" spans="1:70" ht="17.25" customHeight="1" thickBot="1">
      <c r="A8" s="249" t="s">
        <v>22</v>
      </c>
      <c r="B8" s="249"/>
      <c r="C8" s="249"/>
      <c r="D8" s="237" t="s">
        <v>5</v>
      </c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185" t="s">
        <v>55</v>
      </c>
      <c r="T8" s="186"/>
      <c r="U8" s="186"/>
      <c r="V8" s="186"/>
      <c r="W8" s="186"/>
      <c r="X8" s="186"/>
      <c r="Y8" s="186"/>
      <c r="Z8" s="186"/>
      <c r="AA8" s="186"/>
      <c r="AB8" s="186"/>
      <c r="AC8" s="187"/>
      <c r="AD8" s="251" t="e">
        <f>AVERAGEIF(BL13:BL72,"&gt;=1")</f>
        <v>#DIV/0!</v>
      </c>
      <c r="AE8" s="252"/>
      <c r="AF8" s="253"/>
      <c r="AG8" s="188" t="s">
        <v>54</v>
      </c>
      <c r="AH8" s="189"/>
      <c r="AI8" s="189"/>
      <c r="AJ8" s="189"/>
      <c r="AK8" s="189"/>
      <c r="AL8" s="189"/>
      <c r="AM8" s="189"/>
      <c r="AN8" s="190"/>
      <c r="AO8" s="226" t="e">
        <f>AVERAGEIF(BN13:BN72,"&gt;=1")</f>
        <v>#DIV/0!</v>
      </c>
      <c r="AP8" s="227"/>
      <c r="AQ8" s="228"/>
      <c r="AR8" s="193" t="s">
        <v>24</v>
      </c>
      <c r="AS8" s="194"/>
      <c r="AT8" s="194"/>
      <c r="AU8" s="194"/>
      <c r="AV8" s="194"/>
      <c r="AW8" s="194"/>
      <c r="AX8" s="195"/>
      <c r="AY8" s="191" t="e">
        <f>AVERAGEIF(BK13:BK72,"&gt;=1")</f>
        <v>#DIV/0!</v>
      </c>
      <c r="AZ8" s="192"/>
      <c r="BA8" s="14"/>
      <c r="BE8" s="240"/>
      <c r="BJ8" s="240"/>
      <c r="BK8" s="240"/>
      <c r="BL8" s="240"/>
      <c r="BM8" s="240"/>
      <c r="BN8" s="240"/>
      <c r="BO8" s="240"/>
      <c r="BP8" s="240"/>
    </row>
    <row r="9" spans="1:70" ht="15.75" customHeight="1">
      <c r="A9" s="347" t="s">
        <v>28</v>
      </c>
      <c r="B9" s="347"/>
      <c r="C9" s="348"/>
      <c r="D9" s="378" t="s">
        <v>56</v>
      </c>
      <c r="E9" s="235" t="s">
        <v>7</v>
      </c>
      <c r="F9" s="301" t="s">
        <v>27</v>
      </c>
      <c r="G9" s="301"/>
      <c r="H9" s="301"/>
      <c r="I9" s="301"/>
      <c r="J9" s="301"/>
      <c r="K9" s="352" t="s">
        <v>1</v>
      </c>
      <c r="L9" s="340" t="s">
        <v>26</v>
      </c>
      <c r="M9" s="341"/>
      <c r="N9" s="341"/>
      <c r="O9" s="341"/>
      <c r="P9" s="342"/>
      <c r="Q9" s="352" t="s">
        <v>1</v>
      </c>
      <c r="R9" s="224" t="s">
        <v>25</v>
      </c>
      <c r="S9" s="224"/>
      <c r="T9" s="224"/>
      <c r="U9" s="224"/>
      <c r="V9" s="224"/>
      <c r="W9" s="352" t="s">
        <v>1</v>
      </c>
      <c r="X9" s="224" t="s">
        <v>10</v>
      </c>
      <c r="Y9" s="224"/>
      <c r="Z9" s="352" t="s">
        <v>1</v>
      </c>
      <c r="AA9" s="306" t="s">
        <v>34</v>
      </c>
      <c r="AB9" s="365" t="s">
        <v>37</v>
      </c>
      <c r="AC9" s="301" t="s">
        <v>27</v>
      </c>
      <c r="AD9" s="301"/>
      <c r="AE9" s="301"/>
      <c r="AF9" s="301"/>
      <c r="AG9" s="301"/>
      <c r="AH9" s="299" t="s">
        <v>1</v>
      </c>
      <c r="AI9" s="301" t="s">
        <v>26</v>
      </c>
      <c r="AJ9" s="301"/>
      <c r="AK9" s="301"/>
      <c r="AL9" s="301"/>
      <c r="AM9" s="301"/>
      <c r="AN9" s="299" t="s">
        <v>1</v>
      </c>
      <c r="AO9" s="224" t="s">
        <v>25</v>
      </c>
      <c r="AP9" s="224"/>
      <c r="AQ9" s="224"/>
      <c r="AR9" s="224"/>
      <c r="AS9" s="224"/>
      <c r="AT9" s="299" t="s">
        <v>1</v>
      </c>
      <c r="AU9" s="224" t="s">
        <v>10</v>
      </c>
      <c r="AV9" s="224"/>
      <c r="AW9" s="299" t="s">
        <v>1</v>
      </c>
      <c r="AX9" s="306" t="s">
        <v>33</v>
      </c>
      <c r="AY9" s="308" t="s">
        <v>32</v>
      </c>
      <c r="AZ9" s="363" t="s">
        <v>36</v>
      </c>
      <c r="BE9" s="240"/>
      <c r="BJ9" s="240"/>
      <c r="BK9" s="240"/>
      <c r="BL9" s="240"/>
      <c r="BM9" s="240"/>
      <c r="BN9" s="240"/>
      <c r="BO9" s="240"/>
      <c r="BP9" s="240"/>
    </row>
    <row r="10" spans="1:70" ht="18" customHeight="1">
      <c r="A10" s="349"/>
      <c r="B10" s="349"/>
      <c r="C10" s="350"/>
      <c r="D10" s="379"/>
      <c r="E10" s="235"/>
      <c r="F10" s="302"/>
      <c r="G10" s="302"/>
      <c r="H10" s="302"/>
      <c r="I10" s="302"/>
      <c r="J10" s="302"/>
      <c r="K10" s="352"/>
      <c r="L10" s="340"/>
      <c r="M10" s="341"/>
      <c r="N10" s="341"/>
      <c r="O10" s="341"/>
      <c r="P10" s="342"/>
      <c r="Q10" s="352"/>
      <c r="R10" s="225"/>
      <c r="S10" s="225"/>
      <c r="T10" s="225"/>
      <c r="U10" s="225"/>
      <c r="V10" s="225"/>
      <c r="W10" s="352"/>
      <c r="X10" s="225"/>
      <c r="Y10" s="225"/>
      <c r="Z10" s="352"/>
      <c r="AA10" s="307"/>
      <c r="AB10" s="365"/>
      <c r="AC10" s="302"/>
      <c r="AD10" s="302"/>
      <c r="AE10" s="302"/>
      <c r="AF10" s="302"/>
      <c r="AG10" s="302"/>
      <c r="AH10" s="300"/>
      <c r="AI10" s="302"/>
      <c r="AJ10" s="302"/>
      <c r="AK10" s="302"/>
      <c r="AL10" s="302"/>
      <c r="AM10" s="302"/>
      <c r="AN10" s="300"/>
      <c r="AO10" s="225"/>
      <c r="AP10" s="225"/>
      <c r="AQ10" s="225"/>
      <c r="AR10" s="225"/>
      <c r="AS10" s="225"/>
      <c r="AT10" s="300"/>
      <c r="AU10" s="225"/>
      <c r="AV10" s="225"/>
      <c r="AW10" s="300"/>
      <c r="AX10" s="307"/>
      <c r="AY10" s="309"/>
      <c r="AZ10" s="363"/>
      <c r="BE10" s="240"/>
      <c r="BJ10" s="240"/>
      <c r="BK10" s="240"/>
      <c r="BL10" s="240"/>
      <c r="BM10" s="240"/>
      <c r="BN10" s="240"/>
      <c r="BO10" s="240"/>
      <c r="BP10" s="240"/>
    </row>
    <row r="11" spans="1:70" ht="18" customHeight="1">
      <c r="A11" s="334" t="s">
        <v>8</v>
      </c>
      <c r="B11" s="359" t="s">
        <v>35</v>
      </c>
      <c r="C11" s="360"/>
      <c r="D11" s="379"/>
      <c r="E11" s="235"/>
      <c r="F11" s="302"/>
      <c r="G11" s="302"/>
      <c r="H11" s="302"/>
      <c r="I11" s="302"/>
      <c r="J11" s="302"/>
      <c r="K11" s="352"/>
      <c r="L11" s="343"/>
      <c r="M11" s="344"/>
      <c r="N11" s="344"/>
      <c r="O11" s="344"/>
      <c r="P11" s="345"/>
      <c r="Q11" s="352"/>
      <c r="R11" s="225"/>
      <c r="S11" s="225"/>
      <c r="T11" s="225"/>
      <c r="U11" s="225"/>
      <c r="V11" s="225"/>
      <c r="W11" s="352"/>
      <c r="X11" s="225"/>
      <c r="Y11" s="225"/>
      <c r="Z11" s="352"/>
      <c r="AA11" s="307"/>
      <c r="AB11" s="365"/>
      <c r="AC11" s="302"/>
      <c r="AD11" s="302"/>
      <c r="AE11" s="302"/>
      <c r="AF11" s="302"/>
      <c r="AG11" s="302"/>
      <c r="AH11" s="300"/>
      <c r="AI11" s="302"/>
      <c r="AJ11" s="302"/>
      <c r="AK11" s="302"/>
      <c r="AL11" s="302"/>
      <c r="AM11" s="302"/>
      <c r="AN11" s="300"/>
      <c r="AO11" s="225"/>
      <c r="AP11" s="225"/>
      <c r="AQ11" s="225"/>
      <c r="AR11" s="225"/>
      <c r="AS11" s="225"/>
      <c r="AT11" s="300"/>
      <c r="AU11" s="225"/>
      <c r="AV11" s="225"/>
      <c r="AW11" s="300"/>
      <c r="AX11" s="307"/>
      <c r="AY11" s="309"/>
      <c r="AZ11" s="363"/>
      <c r="BE11" s="240"/>
      <c r="BJ11" s="240"/>
      <c r="BK11" s="240"/>
      <c r="BL11" s="240"/>
      <c r="BM11" s="240"/>
      <c r="BN11" s="240"/>
      <c r="BO11" s="240"/>
      <c r="BP11" s="240"/>
    </row>
    <row r="12" spans="1:70" ht="24.75" customHeight="1">
      <c r="A12" s="335"/>
      <c r="B12" s="361"/>
      <c r="C12" s="362"/>
      <c r="D12" s="380"/>
      <c r="E12" s="236"/>
      <c r="F12" s="346">
        <v>0.25</v>
      </c>
      <c r="G12" s="346"/>
      <c r="H12" s="346"/>
      <c r="I12" s="346"/>
      <c r="J12" s="346"/>
      <c r="K12" s="299"/>
      <c r="L12" s="346">
        <v>0.15</v>
      </c>
      <c r="M12" s="346"/>
      <c r="N12" s="346"/>
      <c r="O12" s="346"/>
      <c r="P12" s="346"/>
      <c r="Q12" s="299"/>
      <c r="R12" s="346">
        <v>0.3</v>
      </c>
      <c r="S12" s="346"/>
      <c r="T12" s="346"/>
      <c r="U12" s="346"/>
      <c r="V12" s="346"/>
      <c r="W12" s="299"/>
      <c r="X12" s="351">
        <v>0.3</v>
      </c>
      <c r="Y12" s="351"/>
      <c r="Z12" s="299"/>
      <c r="AA12" s="32">
        <f>F12+L12+R12+X12</f>
        <v>1</v>
      </c>
      <c r="AB12" s="365"/>
      <c r="AC12" s="346">
        <v>0.25</v>
      </c>
      <c r="AD12" s="346"/>
      <c r="AE12" s="346"/>
      <c r="AF12" s="346"/>
      <c r="AG12" s="346"/>
      <c r="AH12" s="300"/>
      <c r="AI12" s="346">
        <v>0.15</v>
      </c>
      <c r="AJ12" s="346"/>
      <c r="AK12" s="346"/>
      <c r="AL12" s="346"/>
      <c r="AM12" s="346"/>
      <c r="AN12" s="300"/>
      <c r="AO12" s="346">
        <v>0.3</v>
      </c>
      <c r="AP12" s="346"/>
      <c r="AQ12" s="346"/>
      <c r="AR12" s="346"/>
      <c r="AS12" s="346"/>
      <c r="AT12" s="300"/>
      <c r="AU12" s="351">
        <v>0.3</v>
      </c>
      <c r="AV12" s="351"/>
      <c r="AW12" s="300"/>
      <c r="AX12" s="34">
        <f>AC12+AI12+AO12+AU12</f>
        <v>1</v>
      </c>
      <c r="AY12" s="309"/>
      <c r="AZ12" s="364"/>
      <c r="BE12" s="240"/>
      <c r="BJ12" s="240"/>
      <c r="BK12" s="240"/>
      <c r="BL12" s="240"/>
      <c r="BM12" s="240"/>
      <c r="BN12" s="240"/>
      <c r="BO12" s="240"/>
      <c r="BP12" s="240"/>
    </row>
    <row r="13" spans="1:70" ht="18.75" customHeight="1">
      <c r="A13" s="336">
        <v>1</v>
      </c>
      <c r="B13" s="338"/>
      <c r="C13" s="338"/>
      <c r="D13" s="225"/>
      <c r="E13" s="19">
        <v>1</v>
      </c>
      <c r="F13" s="17"/>
      <c r="G13" s="17"/>
      <c r="H13" s="17"/>
      <c r="I13" s="17"/>
      <c r="J13" s="17"/>
      <c r="K13" s="8" t="e">
        <f>AVERAGE(F13:J13)</f>
        <v>#DIV/0!</v>
      </c>
      <c r="L13" s="17"/>
      <c r="M13" s="17"/>
      <c r="N13" s="17"/>
      <c r="O13" s="17"/>
      <c r="P13" s="17"/>
      <c r="Q13" s="9" t="e">
        <f>AVERAGE(L13:P13)</f>
        <v>#DIV/0!</v>
      </c>
      <c r="R13" s="17"/>
      <c r="S13" s="17"/>
      <c r="T13" s="17"/>
      <c r="U13" s="17"/>
      <c r="V13" s="17"/>
      <c r="W13" s="9" t="e">
        <f>AVERAGE(R13:V13)</f>
        <v>#DIV/0!</v>
      </c>
      <c r="X13" s="233"/>
      <c r="Y13" s="234"/>
      <c r="Z13" s="9" t="str">
        <f>IF(X13&gt;=85,"5",IF(X13&gt;=65,"4",IF(X13&gt;=55,"3",IF(X13&gt;=40,"2",IF(X13&gt;=1,"1",IF(X13&gt;="","0"))))))</f>
        <v>0</v>
      </c>
      <c r="AA13" s="7" t="e">
        <f t="shared" ref="AA13:AA72" si="0">IF(BE13&gt;=4.5, " 5 ", IF(BE13&gt;=3.5," 4 ",IF(BE13&gt;=2.5," 3  ",IF(BE13&gt;=1.5," 2 ",IF(BE13&gt;=1,"1 ",IF(BE13&gt;=0,"0"))))))</f>
        <v>#DIV/0!</v>
      </c>
      <c r="AB13" s="365"/>
      <c r="AC13" s="17"/>
      <c r="AD13" s="17"/>
      <c r="AE13" s="17"/>
      <c r="AF13" s="17"/>
      <c r="AG13" s="17"/>
      <c r="AH13" s="9" t="e">
        <f>AVERAGE(AC13:AG13)</f>
        <v>#DIV/0!</v>
      </c>
      <c r="AI13" s="17"/>
      <c r="AJ13" s="17"/>
      <c r="AK13" s="17"/>
      <c r="AL13" s="17"/>
      <c r="AM13" s="17"/>
      <c r="AN13" s="9" t="e">
        <f>AVERAGE(AI13:AM13)</f>
        <v>#DIV/0!</v>
      </c>
      <c r="AO13" s="17"/>
      <c r="AP13" s="17"/>
      <c r="AQ13" s="17"/>
      <c r="AR13" s="17"/>
      <c r="AS13" s="17"/>
      <c r="AT13" s="9" t="e">
        <f>AVERAGE(AO13:AS13)</f>
        <v>#DIV/0!</v>
      </c>
      <c r="AU13" s="208"/>
      <c r="AV13" s="209"/>
      <c r="AW13" s="9" t="str">
        <f>IF(AU13&gt;=85,"5",IF(AU13&gt;=65,"4",IF(AU13&gt;=55,"3",IF(AU13&gt;=40,"2",IF(AU13&gt;=1,"1",IF(AU13&gt;="","0"))))))</f>
        <v>0</v>
      </c>
      <c r="AX13" s="7" t="e">
        <f t="shared" ref="AX13:AY72" si="1">IF(BJ13&gt;=4.5, " 5 ", IF(BJ13&gt;=3.5," 4 ",IF(BJ13&gt;=2.5," 3  ",IF(BJ13&gt;=1.5," 2 ",IF(BJ13&gt;=1,"1 ",IF(BJ13&gt;=0,"0"))))))</f>
        <v>#DIV/0!</v>
      </c>
      <c r="AY13" s="18" t="e">
        <f>IF(BK13&gt;=4.5, " 5 ", IF(BK13&gt;=3.5," 4 ",IF(BK13&gt;=2.5," 3  ",IF(BK13&gt;=1.5," 2 ",IF(BK13&gt;=1,"1 ",IF(BK13&gt;=0,"0"))))))</f>
        <v>#DIV/0!</v>
      </c>
      <c r="AZ13" s="231" t="e">
        <f>IF(BP13&gt;=4.5, " 5 ", IF(BP13&gt;=3.5," 4 ",IF(BP13&gt;=2.5," 3  ",IF(BP13&gt;=1.5," 2 ",IF(BP13&gt;=1,"1 ",IF(BP13&gt;=0,"0"))))))</f>
        <v>#DIV/0!</v>
      </c>
      <c r="BA13" s="4" t="e">
        <f t="shared" ref="BA13:BA72" si="2">$K13*$F$12</f>
        <v>#DIV/0!</v>
      </c>
      <c r="BB13" s="4" t="e">
        <f>Q13*L12</f>
        <v>#DIV/0!</v>
      </c>
      <c r="BC13" s="4" t="e">
        <f>$W13*$R$12</f>
        <v>#DIV/0!</v>
      </c>
      <c r="BD13" s="4">
        <f>$Z13*$X$12</f>
        <v>0</v>
      </c>
      <c r="BE13" s="12" t="e">
        <f t="shared" ref="BE13:BE72" si="3">BA13+BB13+BC13+BD13</f>
        <v>#DIV/0!</v>
      </c>
      <c r="BF13" s="4" t="e">
        <f>$AH13*$AC$12</f>
        <v>#DIV/0!</v>
      </c>
      <c r="BG13" s="4" t="e">
        <f>$AN13*$AI$12</f>
        <v>#DIV/0!</v>
      </c>
      <c r="BH13" s="4" t="e">
        <f>$AT13*$AO$12</f>
        <v>#DIV/0!</v>
      </c>
      <c r="BI13" s="4">
        <f>$AW13*$AU$12</f>
        <v>0</v>
      </c>
      <c r="BJ13" s="12" t="e">
        <f t="shared" ref="BJ13:BJ72" si="4">(BF13+BG13+BH13+BI13)</f>
        <v>#DIV/0!</v>
      </c>
      <c r="BK13" s="12" t="e">
        <f t="shared" ref="BK13:BK72" si="5">(BE13+BJ13)/2</f>
        <v>#DIV/0!</v>
      </c>
      <c r="BL13" s="12" t="e">
        <f>(BE13+BJ13)/2</f>
        <v>#DIV/0!</v>
      </c>
      <c r="BM13" s="10" t="e">
        <f>ROUND(BL13,)</f>
        <v>#DIV/0!</v>
      </c>
      <c r="BN13" s="176" t="e">
        <f>ROUND(BO14,)</f>
        <v>#DIV/0!</v>
      </c>
      <c r="BO13" s="12" t="e">
        <f t="shared" ref="BO13:BO72" si="6">(BE13+BJ13)/2</f>
        <v>#DIV/0!</v>
      </c>
      <c r="BP13" s="11" t="e">
        <f>(AY13+AY14)/2</f>
        <v>#DIV/0!</v>
      </c>
      <c r="BQ13" s="6"/>
      <c r="BR13" s="6"/>
    </row>
    <row r="14" spans="1:70" ht="17.25" customHeight="1" thickBot="1">
      <c r="A14" s="337"/>
      <c r="B14" s="321"/>
      <c r="C14" s="321"/>
      <c r="D14" s="225"/>
      <c r="E14" s="20">
        <v>2</v>
      </c>
      <c r="F14" s="17"/>
      <c r="G14" s="17"/>
      <c r="H14" s="17"/>
      <c r="I14" s="17"/>
      <c r="J14" s="17"/>
      <c r="K14" s="8" t="e">
        <f t="shared" ref="K14:K72" si="7">AVERAGE(F14:J14)</f>
        <v>#DIV/0!</v>
      </c>
      <c r="L14" s="17"/>
      <c r="M14" s="17"/>
      <c r="N14" s="17"/>
      <c r="O14" s="17"/>
      <c r="P14" s="17"/>
      <c r="Q14" s="9" t="e">
        <f>AVERAGE(L14:P14)</f>
        <v>#DIV/0!</v>
      </c>
      <c r="R14" s="17"/>
      <c r="S14" s="17"/>
      <c r="T14" s="17"/>
      <c r="U14" s="17"/>
      <c r="V14" s="17"/>
      <c r="W14" s="9" t="e">
        <f t="shared" ref="W14:W71" si="8">AVERAGE(R14:V14)</f>
        <v>#DIV/0!</v>
      </c>
      <c r="X14" s="233"/>
      <c r="Y14" s="234"/>
      <c r="Z14" s="9" t="str">
        <f t="shared" ref="Z14:Z72" si="9">IF(X14&gt;=85,"5",IF(X14&gt;=65,"4",IF(X14&gt;=55,"3",IF(X14&gt;=40,"2",IF(X14&gt;=1,"1",IF(X14&gt;="","0"))))))</f>
        <v>0</v>
      </c>
      <c r="AA14" s="7" t="e">
        <f t="shared" si="0"/>
        <v>#DIV/0!</v>
      </c>
      <c r="AB14" s="365"/>
      <c r="AC14" s="17"/>
      <c r="AD14" s="17"/>
      <c r="AE14" s="17"/>
      <c r="AF14" s="17"/>
      <c r="AG14" s="17"/>
      <c r="AH14" s="9" t="e">
        <f t="shared" ref="AH14:AH72" si="10">AVERAGE(AC14:AG14)</f>
        <v>#DIV/0!</v>
      </c>
      <c r="AI14" s="17"/>
      <c r="AJ14" s="17"/>
      <c r="AK14" s="17"/>
      <c r="AL14" s="17"/>
      <c r="AM14" s="17"/>
      <c r="AN14" s="9" t="e">
        <f t="shared" ref="AN14:AN72" si="11">AVERAGE(AI14:AM14)</f>
        <v>#DIV/0!</v>
      </c>
      <c r="AO14" s="17"/>
      <c r="AP14" s="17"/>
      <c r="AQ14" s="17"/>
      <c r="AR14" s="17"/>
      <c r="AS14" s="17"/>
      <c r="AT14" s="9" t="e">
        <f t="shared" ref="AT14:AT72" si="12">AVERAGE(AO14:AS14)</f>
        <v>#DIV/0!</v>
      </c>
      <c r="AU14" s="208"/>
      <c r="AV14" s="209"/>
      <c r="AW14" s="9" t="str">
        <f t="shared" ref="AW14:AW72" si="13">IF(AU14&gt;=85,"5",IF(AU14&gt;=65,"4",IF(AU14&gt;=55,"3",IF(AU14&gt;=40,"2",IF(AU14&gt;=1,"1",IF(AU14&gt;="","0"))))))</f>
        <v>0</v>
      </c>
      <c r="AX14" s="7" t="e">
        <f t="shared" si="1"/>
        <v>#DIV/0!</v>
      </c>
      <c r="AY14" s="18" t="e">
        <f>IF(BK14&gt;=4.5, " 5 ", IF(BK14&gt;=3.5," 4 ",IF(BK14&gt;=2.5," 3  ",IF(BK14&gt;=1.5," 2 ",IF(BK14&gt;=1,"1 ",IF(BK14&gt;=0,"0"))))))</f>
        <v>#DIV/0!</v>
      </c>
      <c r="AZ14" s="232"/>
      <c r="BA14" s="4" t="e">
        <f t="shared" si="2"/>
        <v>#DIV/0!</v>
      </c>
      <c r="BB14" s="4" t="e">
        <f t="shared" ref="BB14:BB72" si="14">$Q14*$L$12</f>
        <v>#DIV/0!</v>
      </c>
      <c r="BC14" s="4" t="e">
        <f t="shared" ref="BC14:BC72" si="15">$W14*$R$12</f>
        <v>#DIV/0!</v>
      </c>
      <c r="BD14" s="4">
        <f t="shared" ref="BD14:BD72" si="16">$Z14*$X$12</f>
        <v>0</v>
      </c>
      <c r="BE14" s="12" t="e">
        <f t="shared" si="3"/>
        <v>#DIV/0!</v>
      </c>
      <c r="BF14" s="4" t="e">
        <f t="shared" ref="BF14:BF72" si="17">$AH14*$AC$12</f>
        <v>#DIV/0!</v>
      </c>
      <c r="BG14" s="4" t="e">
        <f t="shared" ref="BG14:BG72" si="18">$AN14*$AI$12</f>
        <v>#DIV/0!</v>
      </c>
      <c r="BH14" s="4" t="e">
        <f t="shared" ref="BH14:BH72" si="19">$AT14*$AO$12</f>
        <v>#DIV/0!</v>
      </c>
      <c r="BI14" s="4">
        <f t="shared" ref="BI14:BI72" si="20">$AW14*$AU$12</f>
        <v>0</v>
      </c>
      <c r="BJ14" s="12" t="e">
        <f t="shared" si="4"/>
        <v>#DIV/0!</v>
      </c>
      <c r="BK14" s="12" t="e">
        <f t="shared" si="5"/>
        <v>#DIV/0!</v>
      </c>
      <c r="BL14" s="12"/>
      <c r="BM14" s="10"/>
      <c r="BN14" s="176"/>
      <c r="BO14" s="12" t="e">
        <f t="shared" si="6"/>
        <v>#DIV/0!</v>
      </c>
      <c r="BP14" s="11"/>
      <c r="BQ14" s="6"/>
      <c r="BR14" s="6"/>
    </row>
    <row r="15" spans="1:70" ht="20.25" customHeight="1">
      <c r="A15" s="332">
        <v>2</v>
      </c>
      <c r="B15" s="321"/>
      <c r="C15" s="321"/>
      <c r="D15" s="225"/>
      <c r="E15" s="21">
        <v>1</v>
      </c>
      <c r="F15" s="17"/>
      <c r="G15" s="17"/>
      <c r="H15" s="17"/>
      <c r="I15" s="17"/>
      <c r="J15" s="17"/>
      <c r="K15" s="8" t="e">
        <f t="shared" si="7"/>
        <v>#DIV/0!</v>
      </c>
      <c r="L15" s="17"/>
      <c r="M15" s="17"/>
      <c r="N15" s="17"/>
      <c r="O15" s="17"/>
      <c r="P15" s="17"/>
      <c r="Q15" s="9" t="e">
        <f>AVERAGE(L15:P15)</f>
        <v>#DIV/0!</v>
      </c>
      <c r="R15" s="17"/>
      <c r="S15" s="17"/>
      <c r="T15" s="17"/>
      <c r="U15" s="17"/>
      <c r="V15" s="17"/>
      <c r="W15" s="9" t="e">
        <f t="shared" si="8"/>
        <v>#DIV/0!</v>
      </c>
      <c r="X15" s="233"/>
      <c r="Y15" s="234"/>
      <c r="Z15" s="9" t="str">
        <f t="shared" si="9"/>
        <v>0</v>
      </c>
      <c r="AA15" s="7" t="e">
        <f t="shared" si="0"/>
        <v>#DIV/0!</v>
      </c>
      <c r="AB15" s="365"/>
      <c r="AC15" s="17"/>
      <c r="AD15" s="17"/>
      <c r="AE15" s="17"/>
      <c r="AF15" s="17"/>
      <c r="AG15" s="17"/>
      <c r="AH15" s="9" t="e">
        <f t="shared" si="10"/>
        <v>#DIV/0!</v>
      </c>
      <c r="AI15" s="17"/>
      <c r="AJ15" s="17"/>
      <c r="AK15" s="17"/>
      <c r="AL15" s="17"/>
      <c r="AM15" s="17"/>
      <c r="AN15" s="9" t="e">
        <f t="shared" si="11"/>
        <v>#DIV/0!</v>
      </c>
      <c r="AO15" s="17"/>
      <c r="AP15" s="17"/>
      <c r="AQ15" s="17"/>
      <c r="AR15" s="17"/>
      <c r="AS15" s="17"/>
      <c r="AT15" s="9" t="e">
        <f t="shared" si="12"/>
        <v>#DIV/0!</v>
      </c>
      <c r="AU15" s="208"/>
      <c r="AV15" s="209"/>
      <c r="AW15" s="9" t="str">
        <f t="shared" si="13"/>
        <v>0</v>
      </c>
      <c r="AX15" s="7" t="e">
        <f t="shared" si="1"/>
        <v>#DIV/0!</v>
      </c>
      <c r="AY15" s="18" t="e">
        <f>IF(BK15&gt;=4.5, " 5 ", IF(BK15&gt;=3.5," 4 ",IF(BK15&gt;=2.5," 3  ",IF(BK15&gt;=1.5," 2 ",IF(BK15&gt;=1,"1 ",IF(BK15&gt;=0,"0"))))))</f>
        <v>#DIV/0!</v>
      </c>
      <c r="AZ15" s="231" t="e">
        <f>IF(BP15&gt;=4.5, " 5 ", IF(BP15&gt;=3.5," 4 ",IF(BP15&gt;=2.5," 3  ",IF(BP15&gt;=1.5," 2 ",IF(BP15&gt;=1,"1 ",IF(BP15&gt;=0,"0"))))))</f>
        <v>#DIV/0!</v>
      </c>
      <c r="BA15" s="4" t="e">
        <f t="shared" si="2"/>
        <v>#DIV/0!</v>
      </c>
      <c r="BB15" s="4" t="e">
        <f t="shared" si="14"/>
        <v>#DIV/0!</v>
      </c>
      <c r="BC15" s="4" t="e">
        <f t="shared" si="15"/>
        <v>#DIV/0!</v>
      </c>
      <c r="BD15" s="4">
        <f t="shared" si="16"/>
        <v>0</v>
      </c>
      <c r="BE15" s="12" t="e">
        <f t="shared" si="3"/>
        <v>#DIV/0!</v>
      </c>
      <c r="BF15" s="4" t="e">
        <f t="shared" si="17"/>
        <v>#DIV/0!</v>
      </c>
      <c r="BG15" s="4" t="e">
        <f t="shared" si="18"/>
        <v>#DIV/0!</v>
      </c>
      <c r="BH15" s="4" t="e">
        <f t="shared" si="19"/>
        <v>#DIV/0!</v>
      </c>
      <c r="BI15" s="4">
        <f t="shared" si="20"/>
        <v>0</v>
      </c>
      <c r="BJ15" s="12" t="e">
        <f t="shared" si="4"/>
        <v>#DIV/0!</v>
      </c>
      <c r="BK15" s="12" t="e">
        <f t="shared" si="5"/>
        <v>#DIV/0!</v>
      </c>
      <c r="BL15" s="12" t="e">
        <f>(BE15+BJ15)/2</f>
        <v>#DIV/0!</v>
      </c>
      <c r="BM15" s="10" t="e">
        <f t="shared" ref="BM15:BM71" si="21">ROUND(BL15,)</f>
        <v>#DIV/0!</v>
      </c>
      <c r="BN15" s="176" t="e">
        <f t="shared" ref="BN15" si="22">ROUND(BO16,)</f>
        <v>#DIV/0!</v>
      </c>
      <c r="BO15" s="12" t="e">
        <f t="shared" si="6"/>
        <v>#DIV/0!</v>
      </c>
      <c r="BP15" s="11" t="e">
        <f>(AY15+AY16)/2</f>
        <v>#DIV/0!</v>
      </c>
      <c r="BQ15" s="6"/>
      <c r="BR15" s="6"/>
    </row>
    <row r="16" spans="1:70" ht="20.25" customHeight="1" thickBot="1">
      <c r="A16" s="333"/>
      <c r="B16" s="321"/>
      <c r="C16" s="321"/>
      <c r="D16" s="225"/>
      <c r="E16" s="20">
        <v>2</v>
      </c>
      <c r="F16" s="17"/>
      <c r="G16" s="17"/>
      <c r="H16" s="17"/>
      <c r="I16" s="17"/>
      <c r="J16" s="17"/>
      <c r="K16" s="8" t="e">
        <f t="shared" si="7"/>
        <v>#DIV/0!</v>
      </c>
      <c r="L16" s="17"/>
      <c r="M16" s="17"/>
      <c r="N16" s="17"/>
      <c r="O16" s="17"/>
      <c r="P16" s="17"/>
      <c r="Q16" s="9" t="e">
        <f>AVERAGE(L16:P16)</f>
        <v>#DIV/0!</v>
      </c>
      <c r="R16" s="17"/>
      <c r="S16" s="17"/>
      <c r="T16" s="17"/>
      <c r="U16" s="17"/>
      <c r="V16" s="17"/>
      <c r="W16" s="9" t="e">
        <f t="shared" si="8"/>
        <v>#DIV/0!</v>
      </c>
      <c r="X16" s="233"/>
      <c r="Y16" s="234"/>
      <c r="Z16" s="9" t="str">
        <f t="shared" si="9"/>
        <v>0</v>
      </c>
      <c r="AA16" s="7" t="e">
        <f t="shared" si="0"/>
        <v>#DIV/0!</v>
      </c>
      <c r="AB16" s="365"/>
      <c r="AC16" s="17"/>
      <c r="AD16" s="17"/>
      <c r="AE16" s="17"/>
      <c r="AF16" s="17"/>
      <c r="AG16" s="17"/>
      <c r="AH16" s="9" t="e">
        <f t="shared" si="10"/>
        <v>#DIV/0!</v>
      </c>
      <c r="AI16" s="17"/>
      <c r="AJ16" s="17"/>
      <c r="AK16" s="17"/>
      <c r="AL16" s="17"/>
      <c r="AM16" s="17"/>
      <c r="AN16" s="9" t="e">
        <f t="shared" si="11"/>
        <v>#DIV/0!</v>
      </c>
      <c r="AO16" s="17"/>
      <c r="AP16" s="17"/>
      <c r="AQ16" s="17"/>
      <c r="AR16" s="17"/>
      <c r="AS16" s="17"/>
      <c r="AT16" s="9" t="e">
        <f t="shared" si="12"/>
        <v>#DIV/0!</v>
      </c>
      <c r="AU16" s="208"/>
      <c r="AV16" s="209"/>
      <c r="AW16" s="9" t="str">
        <f t="shared" si="13"/>
        <v>0</v>
      </c>
      <c r="AX16" s="7" t="e">
        <f t="shared" si="1"/>
        <v>#DIV/0!</v>
      </c>
      <c r="AY16" s="18" t="e">
        <f>IF(BK16&gt;=4.5, " 5 ", IF(BK16&gt;=3.5," 4 ",IF(BK16&gt;=2.5," 3  ",IF(BK16&gt;=1.5," 2 ",IF(BK16&gt;=1,"1 ",IF(BK16&gt;=0,"0"))))))</f>
        <v>#DIV/0!</v>
      </c>
      <c r="AZ16" s="232"/>
      <c r="BA16" s="4" t="e">
        <f t="shared" si="2"/>
        <v>#DIV/0!</v>
      </c>
      <c r="BB16" s="4" t="e">
        <f t="shared" si="14"/>
        <v>#DIV/0!</v>
      </c>
      <c r="BC16" s="4" t="e">
        <f t="shared" si="15"/>
        <v>#DIV/0!</v>
      </c>
      <c r="BD16" s="4">
        <f t="shared" si="16"/>
        <v>0</v>
      </c>
      <c r="BE16" s="12" t="e">
        <f t="shared" si="3"/>
        <v>#DIV/0!</v>
      </c>
      <c r="BF16" s="4" t="e">
        <f t="shared" si="17"/>
        <v>#DIV/0!</v>
      </c>
      <c r="BG16" s="4" t="e">
        <f t="shared" si="18"/>
        <v>#DIV/0!</v>
      </c>
      <c r="BH16" s="4" t="e">
        <f t="shared" si="19"/>
        <v>#DIV/0!</v>
      </c>
      <c r="BI16" s="4">
        <f t="shared" si="20"/>
        <v>0</v>
      </c>
      <c r="BJ16" s="12" t="e">
        <f t="shared" si="4"/>
        <v>#DIV/0!</v>
      </c>
      <c r="BK16" s="12" t="e">
        <f t="shared" si="5"/>
        <v>#DIV/0!</v>
      </c>
      <c r="BL16" s="12"/>
      <c r="BM16" s="10"/>
      <c r="BN16" s="176"/>
      <c r="BO16" s="12" t="e">
        <f t="shared" si="6"/>
        <v>#DIV/0!</v>
      </c>
      <c r="BP16" s="11"/>
      <c r="BQ16" s="6"/>
      <c r="BR16" s="6"/>
    </row>
    <row r="17" spans="1:70" ht="20.25" customHeight="1">
      <c r="A17" s="332">
        <v>3</v>
      </c>
      <c r="B17" s="321"/>
      <c r="C17" s="321"/>
      <c r="D17" s="225"/>
      <c r="E17" s="21">
        <v>1</v>
      </c>
      <c r="F17" s="17"/>
      <c r="G17" s="17"/>
      <c r="H17" s="17"/>
      <c r="I17" s="17"/>
      <c r="J17" s="17"/>
      <c r="K17" s="8" t="e">
        <f t="shared" si="7"/>
        <v>#DIV/0!</v>
      </c>
      <c r="L17" s="17"/>
      <c r="M17" s="17"/>
      <c r="N17" s="17"/>
      <c r="O17" s="17"/>
      <c r="P17" s="17"/>
      <c r="Q17" s="9" t="e">
        <f t="shared" ref="Q17:Q72" si="23">AVERAGE(L17:P17)</f>
        <v>#DIV/0!</v>
      </c>
      <c r="R17" s="17"/>
      <c r="S17" s="17"/>
      <c r="T17" s="17"/>
      <c r="U17" s="17"/>
      <c r="V17" s="17"/>
      <c r="W17" s="9" t="e">
        <f t="shared" si="8"/>
        <v>#DIV/0!</v>
      </c>
      <c r="X17" s="233"/>
      <c r="Y17" s="234"/>
      <c r="Z17" s="9" t="str">
        <f t="shared" si="9"/>
        <v>0</v>
      </c>
      <c r="AA17" s="7" t="e">
        <f t="shared" si="0"/>
        <v>#DIV/0!</v>
      </c>
      <c r="AB17" s="365"/>
      <c r="AC17" s="17"/>
      <c r="AD17" s="17"/>
      <c r="AE17" s="17"/>
      <c r="AF17" s="17"/>
      <c r="AG17" s="17"/>
      <c r="AH17" s="9" t="e">
        <f t="shared" si="10"/>
        <v>#DIV/0!</v>
      </c>
      <c r="AI17" s="17"/>
      <c r="AJ17" s="17"/>
      <c r="AK17" s="17"/>
      <c r="AL17" s="17"/>
      <c r="AM17" s="17"/>
      <c r="AN17" s="9" t="e">
        <f t="shared" si="11"/>
        <v>#DIV/0!</v>
      </c>
      <c r="AO17" s="17"/>
      <c r="AP17" s="17"/>
      <c r="AQ17" s="17"/>
      <c r="AR17" s="17"/>
      <c r="AS17" s="17"/>
      <c r="AT17" s="9" t="e">
        <f t="shared" si="12"/>
        <v>#DIV/0!</v>
      </c>
      <c r="AU17" s="208"/>
      <c r="AV17" s="209"/>
      <c r="AW17" s="9" t="str">
        <f t="shared" si="13"/>
        <v>0</v>
      </c>
      <c r="AX17" s="7" t="e">
        <f t="shared" si="1"/>
        <v>#DIV/0!</v>
      </c>
      <c r="AY17" s="18" t="e">
        <f t="shared" si="1"/>
        <v>#DIV/0!</v>
      </c>
      <c r="AZ17" s="231" t="e">
        <f>IF(BP17&gt;=4.5, " 5 ", IF(BP17&gt;=3.5," 4 ",IF(BP17&gt;=2.5," 3  ",IF(BP17&gt;=1.5," 2 ",IF(BP17&gt;=1,"1 ",IF(BP17&gt;=0,"0"))))))</f>
        <v>#DIV/0!</v>
      </c>
      <c r="BA17" s="4" t="e">
        <f t="shared" si="2"/>
        <v>#DIV/0!</v>
      </c>
      <c r="BB17" s="4" t="e">
        <f t="shared" si="14"/>
        <v>#DIV/0!</v>
      </c>
      <c r="BC17" s="4" t="e">
        <f t="shared" si="15"/>
        <v>#DIV/0!</v>
      </c>
      <c r="BD17" s="4">
        <f t="shared" si="16"/>
        <v>0</v>
      </c>
      <c r="BE17" s="12" t="e">
        <f t="shared" si="3"/>
        <v>#DIV/0!</v>
      </c>
      <c r="BF17" s="4" t="e">
        <f t="shared" si="17"/>
        <v>#DIV/0!</v>
      </c>
      <c r="BG17" s="4" t="e">
        <f t="shared" si="18"/>
        <v>#DIV/0!</v>
      </c>
      <c r="BH17" s="4" t="e">
        <f t="shared" si="19"/>
        <v>#DIV/0!</v>
      </c>
      <c r="BI17" s="4">
        <f t="shared" si="20"/>
        <v>0</v>
      </c>
      <c r="BJ17" s="12" t="e">
        <f t="shared" si="4"/>
        <v>#DIV/0!</v>
      </c>
      <c r="BK17" s="12" t="e">
        <f t="shared" si="5"/>
        <v>#DIV/0!</v>
      </c>
      <c r="BL17" s="12" t="e">
        <f>(BE17+BJ17)/2</f>
        <v>#DIV/0!</v>
      </c>
      <c r="BM17" s="10" t="e">
        <f t="shared" si="21"/>
        <v>#DIV/0!</v>
      </c>
      <c r="BN17" s="176" t="e">
        <f t="shared" ref="BN17" si="24">ROUND(BO18,)</f>
        <v>#DIV/0!</v>
      </c>
      <c r="BO17" s="12" t="e">
        <f t="shared" si="6"/>
        <v>#DIV/0!</v>
      </c>
      <c r="BP17" s="11" t="e">
        <f t="shared" ref="BP17:BP71" si="25">(AY17+AY18)/2</f>
        <v>#DIV/0!</v>
      </c>
      <c r="BQ17" s="6"/>
      <c r="BR17" s="6"/>
    </row>
    <row r="18" spans="1:70" ht="20.25" customHeight="1" thickBot="1">
      <c r="A18" s="333"/>
      <c r="B18" s="321"/>
      <c r="C18" s="321"/>
      <c r="D18" s="225"/>
      <c r="E18" s="20">
        <v>2</v>
      </c>
      <c r="F18" s="17"/>
      <c r="G18" s="17"/>
      <c r="H18" s="17"/>
      <c r="I18" s="17"/>
      <c r="J18" s="17"/>
      <c r="K18" s="8" t="e">
        <f t="shared" si="7"/>
        <v>#DIV/0!</v>
      </c>
      <c r="L18" s="17"/>
      <c r="M18" s="17"/>
      <c r="N18" s="17"/>
      <c r="O18" s="17"/>
      <c r="P18" s="17"/>
      <c r="Q18" s="9" t="e">
        <f t="shared" si="23"/>
        <v>#DIV/0!</v>
      </c>
      <c r="R18" s="17"/>
      <c r="S18" s="17"/>
      <c r="T18" s="17"/>
      <c r="U18" s="17"/>
      <c r="V18" s="17"/>
      <c r="W18" s="9" t="e">
        <f t="shared" si="8"/>
        <v>#DIV/0!</v>
      </c>
      <c r="X18" s="233"/>
      <c r="Y18" s="234"/>
      <c r="Z18" s="9" t="str">
        <f t="shared" si="9"/>
        <v>0</v>
      </c>
      <c r="AA18" s="7" t="e">
        <f t="shared" si="0"/>
        <v>#DIV/0!</v>
      </c>
      <c r="AB18" s="365"/>
      <c r="AC18" s="17"/>
      <c r="AD18" s="17"/>
      <c r="AE18" s="17"/>
      <c r="AF18" s="17"/>
      <c r="AG18" s="17"/>
      <c r="AH18" s="9" t="e">
        <f t="shared" si="10"/>
        <v>#DIV/0!</v>
      </c>
      <c r="AI18" s="17"/>
      <c r="AJ18" s="17"/>
      <c r="AK18" s="17"/>
      <c r="AL18" s="17"/>
      <c r="AM18" s="17"/>
      <c r="AN18" s="9" t="e">
        <f t="shared" si="11"/>
        <v>#DIV/0!</v>
      </c>
      <c r="AO18" s="17"/>
      <c r="AP18" s="17"/>
      <c r="AQ18" s="17"/>
      <c r="AR18" s="17"/>
      <c r="AS18" s="17"/>
      <c r="AT18" s="9" t="e">
        <f t="shared" si="12"/>
        <v>#DIV/0!</v>
      </c>
      <c r="AU18" s="208"/>
      <c r="AV18" s="209"/>
      <c r="AW18" s="9" t="str">
        <f t="shared" si="13"/>
        <v>0</v>
      </c>
      <c r="AX18" s="7" t="e">
        <f t="shared" si="1"/>
        <v>#DIV/0!</v>
      </c>
      <c r="AY18" s="18" t="e">
        <f t="shared" si="1"/>
        <v>#DIV/0!</v>
      </c>
      <c r="AZ18" s="232"/>
      <c r="BA18" s="4" t="e">
        <f t="shared" si="2"/>
        <v>#DIV/0!</v>
      </c>
      <c r="BB18" s="4" t="e">
        <f t="shared" si="14"/>
        <v>#DIV/0!</v>
      </c>
      <c r="BC18" s="4" t="e">
        <f t="shared" si="15"/>
        <v>#DIV/0!</v>
      </c>
      <c r="BD18" s="4">
        <f t="shared" si="16"/>
        <v>0</v>
      </c>
      <c r="BE18" s="12" t="e">
        <f t="shared" si="3"/>
        <v>#DIV/0!</v>
      </c>
      <c r="BF18" s="4" t="e">
        <f t="shared" si="17"/>
        <v>#DIV/0!</v>
      </c>
      <c r="BG18" s="4" t="e">
        <f t="shared" si="18"/>
        <v>#DIV/0!</v>
      </c>
      <c r="BH18" s="4" t="e">
        <f t="shared" si="19"/>
        <v>#DIV/0!</v>
      </c>
      <c r="BI18" s="4">
        <f t="shared" si="20"/>
        <v>0</v>
      </c>
      <c r="BJ18" s="12" t="e">
        <f t="shared" si="4"/>
        <v>#DIV/0!</v>
      </c>
      <c r="BK18" s="12" t="e">
        <f t="shared" si="5"/>
        <v>#DIV/0!</v>
      </c>
      <c r="BL18" s="12"/>
      <c r="BM18" s="10"/>
      <c r="BN18" s="176"/>
      <c r="BO18" s="12" t="e">
        <f t="shared" si="6"/>
        <v>#DIV/0!</v>
      </c>
      <c r="BP18" s="11"/>
      <c r="BQ18" s="6"/>
      <c r="BR18" s="6"/>
    </row>
    <row r="19" spans="1:70" ht="17.25" customHeight="1">
      <c r="A19" s="332">
        <v>4</v>
      </c>
      <c r="B19" s="321"/>
      <c r="C19" s="321"/>
      <c r="D19" s="225"/>
      <c r="E19" s="21">
        <v>1</v>
      </c>
      <c r="F19" s="17"/>
      <c r="G19" s="17"/>
      <c r="H19" s="17"/>
      <c r="I19" s="17"/>
      <c r="J19" s="17"/>
      <c r="K19" s="8" t="e">
        <f t="shared" si="7"/>
        <v>#DIV/0!</v>
      </c>
      <c r="L19" s="17"/>
      <c r="M19" s="17"/>
      <c r="N19" s="17"/>
      <c r="O19" s="17"/>
      <c r="P19" s="17"/>
      <c r="Q19" s="9" t="e">
        <f t="shared" si="23"/>
        <v>#DIV/0!</v>
      </c>
      <c r="R19" s="17"/>
      <c r="S19" s="17"/>
      <c r="T19" s="17"/>
      <c r="U19" s="17"/>
      <c r="V19" s="17"/>
      <c r="W19" s="9" t="e">
        <f t="shared" si="8"/>
        <v>#DIV/0!</v>
      </c>
      <c r="X19" s="233"/>
      <c r="Y19" s="234"/>
      <c r="Z19" s="9" t="str">
        <f t="shared" si="9"/>
        <v>0</v>
      </c>
      <c r="AA19" s="7" t="e">
        <f t="shared" si="0"/>
        <v>#DIV/0!</v>
      </c>
      <c r="AB19" s="365"/>
      <c r="AC19" s="17"/>
      <c r="AD19" s="17"/>
      <c r="AE19" s="17"/>
      <c r="AF19" s="17"/>
      <c r="AG19" s="17"/>
      <c r="AH19" s="9" t="e">
        <f t="shared" si="10"/>
        <v>#DIV/0!</v>
      </c>
      <c r="AI19" s="17"/>
      <c r="AJ19" s="17"/>
      <c r="AK19" s="17"/>
      <c r="AL19" s="17"/>
      <c r="AM19" s="17"/>
      <c r="AN19" s="9" t="e">
        <f t="shared" si="11"/>
        <v>#DIV/0!</v>
      </c>
      <c r="AO19" s="17"/>
      <c r="AP19" s="17"/>
      <c r="AQ19" s="17"/>
      <c r="AR19" s="17"/>
      <c r="AS19" s="17"/>
      <c r="AT19" s="9" t="e">
        <f t="shared" si="12"/>
        <v>#DIV/0!</v>
      </c>
      <c r="AU19" s="208"/>
      <c r="AV19" s="209"/>
      <c r="AW19" s="9" t="str">
        <f t="shared" si="13"/>
        <v>0</v>
      </c>
      <c r="AX19" s="7" t="e">
        <f t="shared" si="1"/>
        <v>#DIV/0!</v>
      </c>
      <c r="AY19" s="18" t="e">
        <f t="shared" si="1"/>
        <v>#DIV/0!</v>
      </c>
      <c r="AZ19" s="231" t="e">
        <f t="shared" ref="AZ19" si="26">IF(BP19&gt;=4.5, " 5 ", IF(BP19&gt;=3.5," 4 ",IF(BP19&gt;=2.5," 3  ",IF(BP19&gt;=1.5," 2 ",IF(BP19&gt;=1,"1 ",IF(BP19&gt;=0,"0"))))))</f>
        <v>#DIV/0!</v>
      </c>
      <c r="BA19" s="4" t="e">
        <f t="shared" si="2"/>
        <v>#DIV/0!</v>
      </c>
      <c r="BB19" s="4" t="e">
        <f t="shared" si="14"/>
        <v>#DIV/0!</v>
      </c>
      <c r="BC19" s="4" t="e">
        <f t="shared" si="15"/>
        <v>#DIV/0!</v>
      </c>
      <c r="BD19" s="4">
        <f t="shared" si="16"/>
        <v>0</v>
      </c>
      <c r="BE19" s="12" t="e">
        <f t="shared" si="3"/>
        <v>#DIV/0!</v>
      </c>
      <c r="BF19" s="4" t="e">
        <f t="shared" si="17"/>
        <v>#DIV/0!</v>
      </c>
      <c r="BG19" s="4" t="e">
        <f t="shared" si="18"/>
        <v>#DIV/0!</v>
      </c>
      <c r="BH19" s="4" t="e">
        <f t="shared" si="19"/>
        <v>#DIV/0!</v>
      </c>
      <c r="BI19" s="4">
        <f t="shared" si="20"/>
        <v>0</v>
      </c>
      <c r="BJ19" s="12" t="e">
        <f t="shared" si="4"/>
        <v>#DIV/0!</v>
      </c>
      <c r="BK19" s="12" t="e">
        <f t="shared" si="5"/>
        <v>#DIV/0!</v>
      </c>
      <c r="BL19" s="12" t="e">
        <f>(BE19+BJ19)/2</f>
        <v>#DIV/0!</v>
      </c>
      <c r="BM19" s="10" t="e">
        <f t="shared" si="21"/>
        <v>#DIV/0!</v>
      </c>
      <c r="BN19" s="176" t="e">
        <f t="shared" ref="BN19" si="27">ROUND(BO20,)</f>
        <v>#DIV/0!</v>
      </c>
      <c r="BO19" s="12" t="e">
        <f t="shared" si="6"/>
        <v>#DIV/0!</v>
      </c>
      <c r="BP19" s="11" t="e">
        <f t="shared" si="25"/>
        <v>#DIV/0!</v>
      </c>
      <c r="BQ19" s="6"/>
      <c r="BR19" s="6"/>
    </row>
    <row r="20" spans="1:70" ht="17.25" customHeight="1" thickBot="1">
      <c r="A20" s="333"/>
      <c r="B20" s="321"/>
      <c r="C20" s="321"/>
      <c r="D20" s="225"/>
      <c r="E20" s="20">
        <v>2</v>
      </c>
      <c r="F20" s="17"/>
      <c r="G20" s="17"/>
      <c r="H20" s="17"/>
      <c r="I20" s="17"/>
      <c r="J20" s="17"/>
      <c r="K20" s="8" t="e">
        <f t="shared" si="7"/>
        <v>#DIV/0!</v>
      </c>
      <c r="L20" s="17"/>
      <c r="M20" s="17"/>
      <c r="N20" s="17"/>
      <c r="O20" s="17"/>
      <c r="P20" s="17"/>
      <c r="Q20" s="9" t="e">
        <f t="shared" si="23"/>
        <v>#DIV/0!</v>
      </c>
      <c r="R20" s="17"/>
      <c r="S20" s="17"/>
      <c r="T20" s="17"/>
      <c r="U20" s="17"/>
      <c r="V20" s="17"/>
      <c r="W20" s="9" t="e">
        <f t="shared" si="8"/>
        <v>#DIV/0!</v>
      </c>
      <c r="X20" s="233"/>
      <c r="Y20" s="234"/>
      <c r="Z20" s="9" t="str">
        <f t="shared" si="9"/>
        <v>0</v>
      </c>
      <c r="AA20" s="7" t="e">
        <f t="shared" si="0"/>
        <v>#DIV/0!</v>
      </c>
      <c r="AB20" s="365"/>
      <c r="AC20" s="17"/>
      <c r="AD20" s="17"/>
      <c r="AE20" s="17"/>
      <c r="AF20" s="17"/>
      <c r="AG20" s="17"/>
      <c r="AH20" s="9" t="e">
        <f t="shared" si="10"/>
        <v>#DIV/0!</v>
      </c>
      <c r="AI20" s="17"/>
      <c r="AJ20" s="17"/>
      <c r="AK20" s="17"/>
      <c r="AL20" s="17"/>
      <c r="AM20" s="17"/>
      <c r="AN20" s="9" t="e">
        <f t="shared" si="11"/>
        <v>#DIV/0!</v>
      </c>
      <c r="AO20" s="17"/>
      <c r="AP20" s="17"/>
      <c r="AQ20" s="17"/>
      <c r="AR20" s="17"/>
      <c r="AS20" s="17"/>
      <c r="AT20" s="9" t="e">
        <f t="shared" si="12"/>
        <v>#DIV/0!</v>
      </c>
      <c r="AU20" s="208"/>
      <c r="AV20" s="209"/>
      <c r="AW20" s="9" t="str">
        <f t="shared" si="13"/>
        <v>0</v>
      </c>
      <c r="AX20" s="7" t="e">
        <f t="shared" si="1"/>
        <v>#DIV/0!</v>
      </c>
      <c r="AY20" s="18" t="e">
        <f t="shared" si="1"/>
        <v>#DIV/0!</v>
      </c>
      <c r="AZ20" s="232"/>
      <c r="BA20" s="4" t="e">
        <f t="shared" si="2"/>
        <v>#DIV/0!</v>
      </c>
      <c r="BB20" s="4" t="e">
        <f t="shared" si="14"/>
        <v>#DIV/0!</v>
      </c>
      <c r="BC20" s="4" t="e">
        <f t="shared" si="15"/>
        <v>#DIV/0!</v>
      </c>
      <c r="BD20" s="4">
        <f t="shared" si="16"/>
        <v>0</v>
      </c>
      <c r="BE20" s="12" t="e">
        <f t="shared" si="3"/>
        <v>#DIV/0!</v>
      </c>
      <c r="BF20" s="4" t="e">
        <f t="shared" si="17"/>
        <v>#DIV/0!</v>
      </c>
      <c r="BG20" s="4" t="e">
        <f t="shared" si="18"/>
        <v>#DIV/0!</v>
      </c>
      <c r="BH20" s="4" t="e">
        <f t="shared" si="19"/>
        <v>#DIV/0!</v>
      </c>
      <c r="BI20" s="4">
        <f t="shared" si="20"/>
        <v>0</v>
      </c>
      <c r="BJ20" s="12" t="e">
        <f t="shared" si="4"/>
        <v>#DIV/0!</v>
      </c>
      <c r="BK20" s="12" t="e">
        <f t="shared" si="5"/>
        <v>#DIV/0!</v>
      </c>
      <c r="BL20" s="12"/>
      <c r="BM20" s="10"/>
      <c r="BN20" s="176"/>
      <c r="BO20" s="12" t="e">
        <f t="shared" si="6"/>
        <v>#DIV/0!</v>
      </c>
      <c r="BP20" s="11"/>
      <c r="BQ20" s="6"/>
      <c r="BR20" s="6"/>
    </row>
    <row r="21" spans="1:70" ht="20.25" customHeight="1">
      <c r="A21" s="332">
        <v>5</v>
      </c>
      <c r="B21" s="321"/>
      <c r="C21" s="321"/>
      <c r="D21" s="225"/>
      <c r="E21" s="21">
        <v>1</v>
      </c>
      <c r="F21" s="17"/>
      <c r="G21" s="17"/>
      <c r="H21" s="17"/>
      <c r="I21" s="17"/>
      <c r="J21" s="17"/>
      <c r="K21" s="8" t="e">
        <f t="shared" si="7"/>
        <v>#DIV/0!</v>
      </c>
      <c r="L21" s="17"/>
      <c r="M21" s="17"/>
      <c r="N21" s="17"/>
      <c r="O21" s="17"/>
      <c r="P21" s="17"/>
      <c r="Q21" s="9" t="e">
        <f t="shared" si="23"/>
        <v>#DIV/0!</v>
      </c>
      <c r="R21" s="17"/>
      <c r="S21" s="17"/>
      <c r="T21" s="17"/>
      <c r="U21" s="17"/>
      <c r="V21" s="17"/>
      <c r="W21" s="9" t="e">
        <f t="shared" si="8"/>
        <v>#DIV/0!</v>
      </c>
      <c r="X21" s="233"/>
      <c r="Y21" s="234"/>
      <c r="Z21" s="9" t="str">
        <f t="shared" si="9"/>
        <v>0</v>
      </c>
      <c r="AA21" s="7" t="e">
        <f t="shared" si="0"/>
        <v>#DIV/0!</v>
      </c>
      <c r="AB21" s="365"/>
      <c r="AC21" s="17"/>
      <c r="AD21" s="17"/>
      <c r="AE21" s="17"/>
      <c r="AF21" s="17"/>
      <c r="AG21" s="17"/>
      <c r="AH21" s="9" t="e">
        <f t="shared" si="10"/>
        <v>#DIV/0!</v>
      </c>
      <c r="AI21" s="17"/>
      <c r="AJ21" s="17"/>
      <c r="AK21" s="17"/>
      <c r="AL21" s="17"/>
      <c r="AM21" s="17"/>
      <c r="AN21" s="9" t="e">
        <f t="shared" si="11"/>
        <v>#DIV/0!</v>
      </c>
      <c r="AO21" s="17"/>
      <c r="AP21" s="17"/>
      <c r="AQ21" s="17"/>
      <c r="AR21" s="17"/>
      <c r="AS21" s="17"/>
      <c r="AT21" s="9" t="e">
        <f t="shared" si="12"/>
        <v>#DIV/0!</v>
      </c>
      <c r="AU21" s="208"/>
      <c r="AV21" s="209"/>
      <c r="AW21" s="9" t="str">
        <f t="shared" si="13"/>
        <v>0</v>
      </c>
      <c r="AX21" s="7" t="e">
        <f t="shared" si="1"/>
        <v>#DIV/0!</v>
      </c>
      <c r="AY21" s="18" t="e">
        <f t="shared" si="1"/>
        <v>#DIV/0!</v>
      </c>
      <c r="AZ21" s="231" t="e">
        <f t="shared" ref="AZ21" si="28">IF(BP21&gt;=4.5, " 5 ", IF(BP21&gt;=3.5," 4 ",IF(BP21&gt;=2.5," 3  ",IF(BP21&gt;=1.5," 2 ",IF(BP21&gt;=1,"1 ",IF(BP21&gt;=0,"0"))))))</f>
        <v>#DIV/0!</v>
      </c>
      <c r="BA21" s="4" t="e">
        <f t="shared" si="2"/>
        <v>#DIV/0!</v>
      </c>
      <c r="BB21" s="4" t="e">
        <f t="shared" si="14"/>
        <v>#DIV/0!</v>
      </c>
      <c r="BC21" s="4" t="e">
        <f t="shared" si="15"/>
        <v>#DIV/0!</v>
      </c>
      <c r="BD21" s="4">
        <f t="shared" si="16"/>
        <v>0</v>
      </c>
      <c r="BE21" s="12" t="e">
        <f t="shared" si="3"/>
        <v>#DIV/0!</v>
      </c>
      <c r="BF21" s="4" t="e">
        <f t="shared" si="17"/>
        <v>#DIV/0!</v>
      </c>
      <c r="BG21" s="4" t="e">
        <f t="shared" si="18"/>
        <v>#DIV/0!</v>
      </c>
      <c r="BH21" s="4" t="e">
        <f t="shared" si="19"/>
        <v>#DIV/0!</v>
      </c>
      <c r="BI21" s="4">
        <f t="shared" si="20"/>
        <v>0</v>
      </c>
      <c r="BJ21" s="12" t="e">
        <f t="shared" si="4"/>
        <v>#DIV/0!</v>
      </c>
      <c r="BK21" s="12" t="e">
        <f t="shared" si="5"/>
        <v>#DIV/0!</v>
      </c>
      <c r="BL21" s="12" t="e">
        <f>(BE21+BJ21)/2</f>
        <v>#DIV/0!</v>
      </c>
      <c r="BM21" s="10" t="e">
        <f t="shared" si="21"/>
        <v>#DIV/0!</v>
      </c>
      <c r="BN21" s="176" t="e">
        <f t="shared" ref="BN21" si="29">ROUND(BO22,)</f>
        <v>#DIV/0!</v>
      </c>
      <c r="BO21" s="12" t="e">
        <f t="shared" si="6"/>
        <v>#DIV/0!</v>
      </c>
      <c r="BP21" s="11" t="e">
        <f t="shared" si="25"/>
        <v>#DIV/0!</v>
      </c>
      <c r="BQ21" s="6"/>
      <c r="BR21" s="6"/>
    </row>
    <row r="22" spans="1:70" ht="18" customHeight="1" thickBot="1">
      <c r="A22" s="333"/>
      <c r="B22" s="321"/>
      <c r="C22" s="321"/>
      <c r="D22" s="225"/>
      <c r="E22" s="20">
        <v>2</v>
      </c>
      <c r="F22" s="17"/>
      <c r="G22" s="17"/>
      <c r="H22" s="17"/>
      <c r="I22" s="17"/>
      <c r="J22" s="17"/>
      <c r="K22" s="8" t="e">
        <f t="shared" si="7"/>
        <v>#DIV/0!</v>
      </c>
      <c r="L22" s="17"/>
      <c r="M22" s="17"/>
      <c r="N22" s="17"/>
      <c r="O22" s="17"/>
      <c r="P22" s="17"/>
      <c r="Q22" s="9" t="e">
        <f t="shared" si="23"/>
        <v>#DIV/0!</v>
      </c>
      <c r="R22" s="17"/>
      <c r="S22" s="17"/>
      <c r="T22" s="17"/>
      <c r="U22" s="17"/>
      <c r="V22" s="17"/>
      <c r="W22" s="9" t="e">
        <f t="shared" si="8"/>
        <v>#DIV/0!</v>
      </c>
      <c r="X22" s="233"/>
      <c r="Y22" s="234"/>
      <c r="Z22" s="9" t="str">
        <f>IF(X22&gt;=85,"5",IF(X22&gt;=65,"4",IF(X22&gt;=55,"3",IF(X22&gt;=40,"2",IF(X22&gt;=1,"1",IF(X22&gt;="","0"))))))</f>
        <v>0</v>
      </c>
      <c r="AA22" s="7" t="e">
        <f t="shared" si="0"/>
        <v>#DIV/0!</v>
      </c>
      <c r="AB22" s="365"/>
      <c r="AC22" s="17"/>
      <c r="AD22" s="17"/>
      <c r="AE22" s="17"/>
      <c r="AF22" s="17"/>
      <c r="AG22" s="17"/>
      <c r="AH22" s="9" t="e">
        <f t="shared" si="10"/>
        <v>#DIV/0!</v>
      </c>
      <c r="AI22" s="17"/>
      <c r="AJ22" s="17"/>
      <c r="AK22" s="17"/>
      <c r="AL22" s="17"/>
      <c r="AM22" s="17"/>
      <c r="AN22" s="9" t="e">
        <f t="shared" si="11"/>
        <v>#DIV/0!</v>
      </c>
      <c r="AO22" s="17"/>
      <c r="AP22" s="17"/>
      <c r="AQ22" s="17"/>
      <c r="AR22" s="17"/>
      <c r="AS22" s="17"/>
      <c r="AT22" s="9" t="e">
        <f t="shared" si="12"/>
        <v>#DIV/0!</v>
      </c>
      <c r="AU22" s="208"/>
      <c r="AV22" s="209"/>
      <c r="AW22" s="9" t="str">
        <f t="shared" si="13"/>
        <v>0</v>
      </c>
      <c r="AX22" s="7" t="e">
        <f t="shared" si="1"/>
        <v>#DIV/0!</v>
      </c>
      <c r="AY22" s="18" t="e">
        <f t="shared" si="1"/>
        <v>#DIV/0!</v>
      </c>
      <c r="AZ22" s="232"/>
      <c r="BA22" s="4" t="e">
        <f t="shared" si="2"/>
        <v>#DIV/0!</v>
      </c>
      <c r="BB22" s="4" t="e">
        <f t="shared" si="14"/>
        <v>#DIV/0!</v>
      </c>
      <c r="BC22" s="4" t="e">
        <f t="shared" si="15"/>
        <v>#DIV/0!</v>
      </c>
      <c r="BD22" s="4">
        <f t="shared" si="16"/>
        <v>0</v>
      </c>
      <c r="BE22" s="12" t="e">
        <f t="shared" si="3"/>
        <v>#DIV/0!</v>
      </c>
      <c r="BF22" s="4" t="e">
        <f t="shared" si="17"/>
        <v>#DIV/0!</v>
      </c>
      <c r="BG22" s="4" t="e">
        <f t="shared" si="18"/>
        <v>#DIV/0!</v>
      </c>
      <c r="BH22" s="4" t="e">
        <f t="shared" si="19"/>
        <v>#DIV/0!</v>
      </c>
      <c r="BI22" s="4">
        <f t="shared" si="20"/>
        <v>0</v>
      </c>
      <c r="BJ22" s="12" t="e">
        <f t="shared" si="4"/>
        <v>#DIV/0!</v>
      </c>
      <c r="BK22" s="12" t="e">
        <f t="shared" si="5"/>
        <v>#DIV/0!</v>
      </c>
      <c r="BL22" s="12"/>
      <c r="BM22" s="10"/>
      <c r="BN22" s="176"/>
      <c r="BO22" s="12" t="e">
        <f t="shared" si="6"/>
        <v>#DIV/0!</v>
      </c>
      <c r="BP22" s="11"/>
      <c r="BQ22" s="6"/>
      <c r="BR22" s="6"/>
    </row>
    <row r="23" spans="1:70" ht="20.25" customHeight="1">
      <c r="A23" s="332">
        <v>6</v>
      </c>
      <c r="B23" s="321"/>
      <c r="C23" s="321"/>
      <c r="D23" s="225"/>
      <c r="E23" s="21">
        <v>1</v>
      </c>
      <c r="F23" s="17"/>
      <c r="G23" s="17"/>
      <c r="H23" s="17"/>
      <c r="I23" s="17"/>
      <c r="J23" s="17"/>
      <c r="K23" s="8" t="e">
        <f t="shared" si="7"/>
        <v>#DIV/0!</v>
      </c>
      <c r="L23" s="17"/>
      <c r="M23" s="17"/>
      <c r="N23" s="17"/>
      <c r="O23" s="17"/>
      <c r="P23" s="17"/>
      <c r="Q23" s="9" t="e">
        <f t="shared" si="23"/>
        <v>#DIV/0!</v>
      </c>
      <c r="R23" s="17"/>
      <c r="S23" s="17"/>
      <c r="T23" s="17"/>
      <c r="U23" s="17"/>
      <c r="V23" s="17"/>
      <c r="W23" s="9" t="e">
        <f t="shared" si="8"/>
        <v>#DIV/0!</v>
      </c>
      <c r="X23" s="233"/>
      <c r="Y23" s="234"/>
      <c r="Z23" s="9" t="str">
        <f>IF(X23&gt;=85,"5",IF(X23&gt;=65,"4",IF(X23&gt;=55,"3",IF(X23&gt;=40,"2",IF(X23&gt;=1,"1",IF(X23&gt;="","0"))))))</f>
        <v>0</v>
      </c>
      <c r="AA23" s="7" t="e">
        <f t="shared" si="0"/>
        <v>#DIV/0!</v>
      </c>
      <c r="AB23" s="365"/>
      <c r="AC23" s="17"/>
      <c r="AD23" s="17"/>
      <c r="AE23" s="17"/>
      <c r="AF23" s="17"/>
      <c r="AG23" s="17"/>
      <c r="AH23" s="9" t="e">
        <f t="shared" si="10"/>
        <v>#DIV/0!</v>
      </c>
      <c r="AI23" s="17"/>
      <c r="AJ23" s="17"/>
      <c r="AK23" s="17"/>
      <c r="AL23" s="17"/>
      <c r="AM23" s="17"/>
      <c r="AN23" s="9" t="e">
        <f t="shared" si="11"/>
        <v>#DIV/0!</v>
      </c>
      <c r="AO23" s="17"/>
      <c r="AP23" s="17"/>
      <c r="AQ23" s="17"/>
      <c r="AR23" s="17"/>
      <c r="AS23" s="17"/>
      <c r="AT23" s="9" t="e">
        <f t="shared" si="12"/>
        <v>#DIV/0!</v>
      </c>
      <c r="AU23" s="208"/>
      <c r="AV23" s="209"/>
      <c r="AW23" s="9" t="str">
        <f t="shared" si="13"/>
        <v>0</v>
      </c>
      <c r="AX23" s="7" t="e">
        <f t="shared" si="1"/>
        <v>#DIV/0!</v>
      </c>
      <c r="AY23" s="18" t="e">
        <f t="shared" si="1"/>
        <v>#DIV/0!</v>
      </c>
      <c r="AZ23" s="231" t="e">
        <f t="shared" ref="AZ23" si="30">IF(BP23&gt;=4.5, " 5 ", IF(BP23&gt;=3.5," 4 ",IF(BP23&gt;=2.5," 3  ",IF(BP23&gt;=1.5," 2 ",IF(BP23&gt;=1,"1 ",IF(BP23&gt;=0,"0"))))))</f>
        <v>#DIV/0!</v>
      </c>
      <c r="BA23" s="4" t="e">
        <f t="shared" si="2"/>
        <v>#DIV/0!</v>
      </c>
      <c r="BB23" s="4" t="e">
        <f t="shared" si="14"/>
        <v>#DIV/0!</v>
      </c>
      <c r="BC23" s="4" t="e">
        <f t="shared" si="15"/>
        <v>#DIV/0!</v>
      </c>
      <c r="BD23" s="4">
        <f t="shared" si="16"/>
        <v>0</v>
      </c>
      <c r="BE23" s="12" t="e">
        <f t="shared" si="3"/>
        <v>#DIV/0!</v>
      </c>
      <c r="BF23" s="4" t="e">
        <f t="shared" si="17"/>
        <v>#DIV/0!</v>
      </c>
      <c r="BG23" s="4" t="e">
        <f t="shared" si="18"/>
        <v>#DIV/0!</v>
      </c>
      <c r="BH23" s="4" t="e">
        <f t="shared" si="19"/>
        <v>#DIV/0!</v>
      </c>
      <c r="BI23" s="4">
        <f t="shared" si="20"/>
        <v>0</v>
      </c>
      <c r="BJ23" s="12" t="e">
        <f t="shared" si="4"/>
        <v>#DIV/0!</v>
      </c>
      <c r="BK23" s="12" t="e">
        <f t="shared" si="5"/>
        <v>#DIV/0!</v>
      </c>
      <c r="BL23" s="12" t="e">
        <f>(BE23+BJ23)/2</f>
        <v>#DIV/0!</v>
      </c>
      <c r="BM23" s="10" t="e">
        <f t="shared" si="21"/>
        <v>#DIV/0!</v>
      </c>
      <c r="BN23" s="176" t="e">
        <f t="shared" ref="BN23:BN71" si="31">ROUND(BO24,)</f>
        <v>#DIV/0!</v>
      </c>
      <c r="BO23" s="12" t="e">
        <f t="shared" si="6"/>
        <v>#DIV/0!</v>
      </c>
      <c r="BP23" s="11" t="e">
        <f t="shared" si="25"/>
        <v>#DIV/0!</v>
      </c>
      <c r="BQ23" s="6"/>
      <c r="BR23" s="6"/>
    </row>
    <row r="24" spans="1:70" ht="20.25" customHeight="1" thickBot="1">
      <c r="A24" s="333"/>
      <c r="B24" s="321"/>
      <c r="C24" s="321"/>
      <c r="D24" s="225"/>
      <c r="E24" s="20">
        <v>2</v>
      </c>
      <c r="F24" s="17"/>
      <c r="G24" s="17"/>
      <c r="H24" s="17"/>
      <c r="I24" s="17"/>
      <c r="J24" s="17"/>
      <c r="K24" s="8" t="e">
        <f t="shared" si="7"/>
        <v>#DIV/0!</v>
      </c>
      <c r="L24" s="17"/>
      <c r="M24" s="17"/>
      <c r="N24" s="17"/>
      <c r="O24" s="17"/>
      <c r="P24" s="17"/>
      <c r="Q24" s="9" t="e">
        <f t="shared" si="23"/>
        <v>#DIV/0!</v>
      </c>
      <c r="R24" s="17"/>
      <c r="S24" s="17"/>
      <c r="T24" s="17"/>
      <c r="U24" s="17"/>
      <c r="V24" s="17"/>
      <c r="W24" s="9" t="e">
        <f t="shared" si="8"/>
        <v>#DIV/0!</v>
      </c>
      <c r="X24" s="233"/>
      <c r="Y24" s="234"/>
      <c r="Z24" s="9" t="str">
        <f t="shared" si="9"/>
        <v>0</v>
      </c>
      <c r="AA24" s="7" t="e">
        <f t="shared" si="0"/>
        <v>#DIV/0!</v>
      </c>
      <c r="AB24" s="365"/>
      <c r="AC24" s="17"/>
      <c r="AD24" s="17"/>
      <c r="AE24" s="17"/>
      <c r="AF24" s="17"/>
      <c r="AG24" s="17"/>
      <c r="AH24" s="9" t="e">
        <f t="shared" si="10"/>
        <v>#DIV/0!</v>
      </c>
      <c r="AI24" s="17"/>
      <c r="AJ24" s="17"/>
      <c r="AK24" s="17"/>
      <c r="AL24" s="17"/>
      <c r="AM24" s="17"/>
      <c r="AN24" s="9" t="e">
        <f t="shared" si="11"/>
        <v>#DIV/0!</v>
      </c>
      <c r="AO24" s="17"/>
      <c r="AP24" s="17"/>
      <c r="AQ24" s="17"/>
      <c r="AR24" s="17"/>
      <c r="AS24" s="17"/>
      <c r="AT24" s="9" t="e">
        <f t="shared" si="12"/>
        <v>#DIV/0!</v>
      </c>
      <c r="AU24" s="208"/>
      <c r="AV24" s="209"/>
      <c r="AW24" s="9" t="str">
        <f t="shared" si="13"/>
        <v>0</v>
      </c>
      <c r="AX24" s="7" t="e">
        <f t="shared" si="1"/>
        <v>#DIV/0!</v>
      </c>
      <c r="AY24" s="18" t="e">
        <f t="shared" si="1"/>
        <v>#DIV/0!</v>
      </c>
      <c r="AZ24" s="232"/>
      <c r="BA24" s="4" t="e">
        <f t="shared" si="2"/>
        <v>#DIV/0!</v>
      </c>
      <c r="BB24" s="4" t="e">
        <f t="shared" si="14"/>
        <v>#DIV/0!</v>
      </c>
      <c r="BC24" s="4" t="e">
        <f t="shared" si="15"/>
        <v>#DIV/0!</v>
      </c>
      <c r="BD24" s="4">
        <f t="shared" si="16"/>
        <v>0</v>
      </c>
      <c r="BE24" s="12" t="e">
        <f t="shared" si="3"/>
        <v>#DIV/0!</v>
      </c>
      <c r="BF24" s="4" t="e">
        <f t="shared" si="17"/>
        <v>#DIV/0!</v>
      </c>
      <c r="BG24" s="4" t="e">
        <f t="shared" si="18"/>
        <v>#DIV/0!</v>
      </c>
      <c r="BH24" s="4" t="e">
        <f t="shared" si="19"/>
        <v>#DIV/0!</v>
      </c>
      <c r="BI24" s="4">
        <f t="shared" si="20"/>
        <v>0</v>
      </c>
      <c r="BJ24" s="12" t="e">
        <f t="shared" si="4"/>
        <v>#DIV/0!</v>
      </c>
      <c r="BK24" s="12" t="e">
        <f t="shared" si="5"/>
        <v>#DIV/0!</v>
      </c>
      <c r="BL24" s="12"/>
      <c r="BM24" s="10"/>
      <c r="BN24" s="176"/>
      <c r="BO24" s="12" t="e">
        <f t="shared" si="6"/>
        <v>#DIV/0!</v>
      </c>
      <c r="BP24" s="11"/>
      <c r="BQ24" s="6"/>
      <c r="BR24" s="6"/>
    </row>
    <row r="25" spans="1:70" ht="20.25" customHeight="1">
      <c r="A25" s="332">
        <v>7</v>
      </c>
      <c r="B25" s="321"/>
      <c r="C25" s="321"/>
      <c r="D25" s="225"/>
      <c r="E25" s="21">
        <v>1</v>
      </c>
      <c r="F25" s="17"/>
      <c r="G25" s="17"/>
      <c r="H25" s="17"/>
      <c r="I25" s="17"/>
      <c r="J25" s="17"/>
      <c r="K25" s="8" t="e">
        <f t="shared" si="7"/>
        <v>#DIV/0!</v>
      </c>
      <c r="L25" s="17"/>
      <c r="M25" s="17"/>
      <c r="N25" s="17"/>
      <c r="O25" s="17"/>
      <c r="P25" s="17"/>
      <c r="Q25" s="9" t="e">
        <f t="shared" si="23"/>
        <v>#DIV/0!</v>
      </c>
      <c r="R25" s="17"/>
      <c r="S25" s="17"/>
      <c r="T25" s="17"/>
      <c r="U25" s="17"/>
      <c r="V25" s="17"/>
      <c r="W25" s="9" t="e">
        <f t="shared" si="8"/>
        <v>#DIV/0!</v>
      </c>
      <c r="X25" s="233"/>
      <c r="Y25" s="234"/>
      <c r="Z25" s="9" t="str">
        <f t="shared" si="9"/>
        <v>0</v>
      </c>
      <c r="AA25" s="7" t="e">
        <f t="shared" si="0"/>
        <v>#DIV/0!</v>
      </c>
      <c r="AB25" s="365"/>
      <c r="AC25" s="17"/>
      <c r="AD25" s="17"/>
      <c r="AE25" s="17"/>
      <c r="AF25" s="17"/>
      <c r="AG25" s="17"/>
      <c r="AH25" s="9" t="e">
        <f t="shared" si="10"/>
        <v>#DIV/0!</v>
      </c>
      <c r="AI25" s="17"/>
      <c r="AJ25" s="17"/>
      <c r="AK25" s="17"/>
      <c r="AL25" s="17"/>
      <c r="AM25" s="17"/>
      <c r="AN25" s="9" t="e">
        <f t="shared" si="11"/>
        <v>#DIV/0!</v>
      </c>
      <c r="AO25" s="17"/>
      <c r="AP25" s="17"/>
      <c r="AQ25" s="17"/>
      <c r="AR25" s="17"/>
      <c r="AS25" s="17"/>
      <c r="AT25" s="9" t="e">
        <f t="shared" si="12"/>
        <v>#DIV/0!</v>
      </c>
      <c r="AU25" s="208"/>
      <c r="AV25" s="209"/>
      <c r="AW25" s="9" t="str">
        <f t="shared" si="13"/>
        <v>0</v>
      </c>
      <c r="AX25" s="7" t="e">
        <f t="shared" si="1"/>
        <v>#DIV/0!</v>
      </c>
      <c r="AY25" s="18" t="e">
        <f t="shared" si="1"/>
        <v>#DIV/0!</v>
      </c>
      <c r="AZ25" s="231" t="e">
        <f t="shared" ref="AZ25" si="32">IF(BP25&gt;=4.5, " 5 ", IF(BP25&gt;=3.5," 4 ",IF(BP25&gt;=2.5," 3  ",IF(BP25&gt;=1.5," 2 ",IF(BP25&gt;=1,"1 ",IF(BP25&gt;=0,"0"))))))</f>
        <v>#DIV/0!</v>
      </c>
      <c r="BA25" s="4" t="e">
        <f t="shared" si="2"/>
        <v>#DIV/0!</v>
      </c>
      <c r="BB25" s="4" t="e">
        <f t="shared" si="14"/>
        <v>#DIV/0!</v>
      </c>
      <c r="BC25" s="4" t="e">
        <f t="shared" si="15"/>
        <v>#DIV/0!</v>
      </c>
      <c r="BD25" s="4">
        <f t="shared" si="16"/>
        <v>0</v>
      </c>
      <c r="BE25" s="12" t="e">
        <f t="shared" si="3"/>
        <v>#DIV/0!</v>
      </c>
      <c r="BF25" s="4" t="e">
        <f t="shared" si="17"/>
        <v>#DIV/0!</v>
      </c>
      <c r="BG25" s="4" t="e">
        <f t="shared" si="18"/>
        <v>#DIV/0!</v>
      </c>
      <c r="BH25" s="4" t="e">
        <f t="shared" si="19"/>
        <v>#DIV/0!</v>
      </c>
      <c r="BI25" s="4">
        <f t="shared" si="20"/>
        <v>0</v>
      </c>
      <c r="BJ25" s="12" t="e">
        <f t="shared" si="4"/>
        <v>#DIV/0!</v>
      </c>
      <c r="BK25" s="12" t="e">
        <f t="shared" si="5"/>
        <v>#DIV/0!</v>
      </c>
      <c r="BL25" s="12" t="e">
        <f>(BE25+BJ25)/2</f>
        <v>#DIV/0!</v>
      </c>
      <c r="BM25" s="10" t="e">
        <f t="shared" si="21"/>
        <v>#DIV/0!</v>
      </c>
      <c r="BN25" s="176" t="e">
        <f t="shared" ref="BN25:BN65" si="33">ROUND(BO26,)</f>
        <v>#DIV/0!</v>
      </c>
      <c r="BO25" s="12" t="e">
        <f t="shared" si="6"/>
        <v>#DIV/0!</v>
      </c>
      <c r="BP25" s="11" t="e">
        <f t="shared" si="25"/>
        <v>#DIV/0!</v>
      </c>
      <c r="BQ25" s="6"/>
      <c r="BR25" s="6"/>
    </row>
    <row r="26" spans="1:70" ht="20.25" customHeight="1" thickBot="1">
      <c r="A26" s="333"/>
      <c r="B26" s="321"/>
      <c r="C26" s="321"/>
      <c r="D26" s="225"/>
      <c r="E26" s="20">
        <v>2</v>
      </c>
      <c r="F26" s="17"/>
      <c r="G26" s="17"/>
      <c r="H26" s="17"/>
      <c r="I26" s="17"/>
      <c r="J26" s="17"/>
      <c r="K26" s="8" t="e">
        <f t="shared" si="7"/>
        <v>#DIV/0!</v>
      </c>
      <c r="L26" s="17"/>
      <c r="M26" s="17"/>
      <c r="N26" s="17"/>
      <c r="O26" s="17"/>
      <c r="P26" s="17"/>
      <c r="Q26" s="9" t="e">
        <f t="shared" si="23"/>
        <v>#DIV/0!</v>
      </c>
      <c r="R26" s="17"/>
      <c r="S26" s="17"/>
      <c r="T26" s="17"/>
      <c r="U26" s="17"/>
      <c r="V26" s="17"/>
      <c r="W26" s="9" t="e">
        <f t="shared" si="8"/>
        <v>#DIV/0!</v>
      </c>
      <c r="X26" s="233"/>
      <c r="Y26" s="234"/>
      <c r="Z26" s="9" t="str">
        <f t="shared" si="9"/>
        <v>0</v>
      </c>
      <c r="AA26" s="7" t="e">
        <f t="shared" si="0"/>
        <v>#DIV/0!</v>
      </c>
      <c r="AB26" s="365"/>
      <c r="AC26" s="17"/>
      <c r="AD26" s="17"/>
      <c r="AE26" s="17"/>
      <c r="AF26" s="17"/>
      <c r="AG26" s="17"/>
      <c r="AH26" s="9" t="e">
        <f t="shared" si="10"/>
        <v>#DIV/0!</v>
      </c>
      <c r="AI26" s="17"/>
      <c r="AJ26" s="17"/>
      <c r="AK26" s="17"/>
      <c r="AL26" s="17"/>
      <c r="AM26" s="17"/>
      <c r="AN26" s="9" t="e">
        <f t="shared" si="11"/>
        <v>#DIV/0!</v>
      </c>
      <c r="AO26" s="17"/>
      <c r="AP26" s="17"/>
      <c r="AQ26" s="17"/>
      <c r="AR26" s="17"/>
      <c r="AS26" s="17"/>
      <c r="AT26" s="9" t="e">
        <f t="shared" si="12"/>
        <v>#DIV/0!</v>
      </c>
      <c r="AU26" s="208"/>
      <c r="AV26" s="209"/>
      <c r="AW26" s="9" t="str">
        <f t="shared" si="13"/>
        <v>0</v>
      </c>
      <c r="AX26" s="7" t="e">
        <f t="shared" si="1"/>
        <v>#DIV/0!</v>
      </c>
      <c r="AY26" s="18" t="e">
        <f t="shared" si="1"/>
        <v>#DIV/0!</v>
      </c>
      <c r="AZ26" s="232"/>
      <c r="BA26" s="4" t="e">
        <f t="shared" si="2"/>
        <v>#DIV/0!</v>
      </c>
      <c r="BB26" s="4" t="e">
        <f t="shared" si="14"/>
        <v>#DIV/0!</v>
      </c>
      <c r="BC26" s="4" t="e">
        <f t="shared" si="15"/>
        <v>#DIV/0!</v>
      </c>
      <c r="BD26" s="4">
        <f t="shared" si="16"/>
        <v>0</v>
      </c>
      <c r="BE26" s="12" t="e">
        <f t="shared" si="3"/>
        <v>#DIV/0!</v>
      </c>
      <c r="BF26" s="4" t="e">
        <f t="shared" si="17"/>
        <v>#DIV/0!</v>
      </c>
      <c r="BG26" s="4" t="e">
        <f t="shared" si="18"/>
        <v>#DIV/0!</v>
      </c>
      <c r="BH26" s="4" t="e">
        <f t="shared" si="19"/>
        <v>#DIV/0!</v>
      </c>
      <c r="BI26" s="4">
        <f t="shared" si="20"/>
        <v>0</v>
      </c>
      <c r="BJ26" s="12" t="e">
        <f t="shared" si="4"/>
        <v>#DIV/0!</v>
      </c>
      <c r="BK26" s="12" t="e">
        <f t="shared" si="5"/>
        <v>#DIV/0!</v>
      </c>
      <c r="BL26" s="12"/>
      <c r="BM26" s="10"/>
      <c r="BN26" s="176"/>
      <c r="BO26" s="12" t="e">
        <f t="shared" si="6"/>
        <v>#DIV/0!</v>
      </c>
      <c r="BP26" s="11"/>
      <c r="BQ26" s="6"/>
      <c r="BR26" s="6"/>
    </row>
    <row r="27" spans="1:70" ht="20.25" customHeight="1">
      <c r="A27" s="332">
        <v>8</v>
      </c>
      <c r="B27" s="321"/>
      <c r="C27" s="321"/>
      <c r="D27" s="225"/>
      <c r="E27" s="21">
        <v>1</v>
      </c>
      <c r="F27" s="17"/>
      <c r="G27" s="17"/>
      <c r="H27" s="17"/>
      <c r="I27" s="17"/>
      <c r="J27" s="17"/>
      <c r="K27" s="8" t="e">
        <f t="shared" si="7"/>
        <v>#DIV/0!</v>
      </c>
      <c r="L27" s="17"/>
      <c r="M27" s="17"/>
      <c r="N27" s="17"/>
      <c r="O27" s="17"/>
      <c r="P27" s="17"/>
      <c r="Q27" s="9" t="e">
        <f t="shared" si="23"/>
        <v>#DIV/0!</v>
      </c>
      <c r="R27" s="17"/>
      <c r="S27" s="17"/>
      <c r="T27" s="17"/>
      <c r="U27" s="17"/>
      <c r="V27" s="17"/>
      <c r="W27" s="9" t="e">
        <f t="shared" si="8"/>
        <v>#DIV/0!</v>
      </c>
      <c r="X27" s="233"/>
      <c r="Y27" s="234"/>
      <c r="Z27" s="9" t="str">
        <f t="shared" si="9"/>
        <v>0</v>
      </c>
      <c r="AA27" s="7" t="e">
        <f t="shared" si="0"/>
        <v>#DIV/0!</v>
      </c>
      <c r="AB27" s="365"/>
      <c r="AC27" s="17"/>
      <c r="AD27" s="17"/>
      <c r="AE27" s="17"/>
      <c r="AF27" s="17"/>
      <c r="AG27" s="17"/>
      <c r="AH27" s="9" t="e">
        <f t="shared" si="10"/>
        <v>#DIV/0!</v>
      </c>
      <c r="AI27" s="17"/>
      <c r="AJ27" s="17"/>
      <c r="AK27" s="17"/>
      <c r="AL27" s="17"/>
      <c r="AM27" s="17"/>
      <c r="AN27" s="9" t="e">
        <f t="shared" si="11"/>
        <v>#DIV/0!</v>
      </c>
      <c r="AO27" s="17"/>
      <c r="AP27" s="17"/>
      <c r="AQ27" s="17"/>
      <c r="AR27" s="17"/>
      <c r="AS27" s="17"/>
      <c r="AT27" s="9" t="e">
        <f t="shared" si="12"/>
        <v>#DIV/0!</v>
      </c>
      <c r="AU27" s="208"/>
      <c r="AV27" s="209"/>
      <c r="AW27" s="9" t="str">
        <f t="shared" si="13"/>
        <v>0</v>
      </c>
      <c r="AX27" s="7" t="e">
        <f t="shared" si="1"/>
        <v>#DIV/0!</v>
      </c>
      <c r="AY27" s="18" t="e">
        <f t="shared" si="1"/>
        <v>#DIV/0!</v>
      </c>
      <c r="AZ27" s="231" t="e">
        <f t="shared" ref="AZ27" si="34">IF(BP27&gt;=4.5, " 5 ", IF(BP27&gt;=3.5," 4 ",IF(BP27&gt;=2.5," 3  ",IF(BP27&gt;=1.5," 2 ",IF(BP27&gt;=1,"1 ",IF(BP27&gt;=0,"0"))))))</f>
        <v>#DIV/0!</v>
      </c>
      <c r="BA27" s="4" t="e">
        <f t="shared" si="2"/>
        <v>#DIV/0!</v>
      </c>
      <c r="BB27" s="4" t="e">
        <f t="shared" si="14"/>
        <v>#DIV/0!</v>
      </c>
      <c r="BC27" s="4" t="e">
        <f t="shared" si="15"/>
        <v>#DIV/0!</v>
      </c>
      <c r="BD27" s="4">
        <f t="shared" si="16"/>
        <v>0</v>
      </c>
      <c r="BE27" s="12" t="e">
        <f t="shared" si="3"/>
        <v>#DIV/0!</v>
      </c>
      <c r="BF27" s="4" t="e">
        <f t="shared" si="17"/>
        <v>#DIV/0!</v>
      </c>
      <c r="BG27" s="4" t="e">
        <f t="shared" si="18"/>
        <v>#DIV/0!</v>
      </c>
      <c r="BH27" s="4" t="e">
        <f t="shared" si="19"/>
        <v>#DIV/0!</v>
      </c>
      <c r="BI27" s="4">
        <f t="shared" si="20"/>
        <v>0</v>
      </c>
      <c r="BJ27" s="12" t="e">
        <f t="shared" si="4"/>
        <v>#DIV/0!</v>
      </c>
      <c r="BK27" s="12" t="e">
        <f t="shared" si="5"/>
        <v>#DIV/0!</v>
      </c>
      <c r="BL27" s="12" t="e">
        <f>(BE27+BJ27)/2</f>
        <v>#DIV/0!</v>
      </c>
      <c r="BM27" s="10" t="e">
        <f t="shared" si="21"/>
        <v>#DIV/0!</v>
      </c>
      <c r="BN27" s="176" t="e">
        <f t="shared" ref="BN27:BN67" si="35">ROUND(BO28,)</f>
        <v>#DIV/0!</v>
      </c>
      <c r="BO27" s="12" t="e">
        <f t="shared" si="6"/>
        <v>#DIV/0!</v>
      </c>
      <c r="BP27" s="11" t="e">
        <f t="shared" si="25"/>
        <v>#DIV/0!</v>
      </c>
      <c r="BQ27" s="6"/>
      <c r="BR27" s="6"/>
    </row>
    <row r="28" spans="1:70" ht="20.25" customHeight="1" thickBot="1">
      <c r="A28" s="333"/>
      <c r="B28" s="321"/>
      <c r="C28" s="321"/>
      <c r="D28" s="225"/>
      <c r="E28" s="20">
        <v>2</v>
      </c>
      <c r="F28" s="17"/>
      <c r="G28" s="17"/>
      <c r="H28" s="17"/>
      <c r="I28" s="17"/>
      <c r="J28" s="17"/>
      <c r="K28" s="8" t="e">
        <f t="shared" si="7"/>
        <v>#DIV/0!</v>
      </c>
      <c r="L28" s="17"/>
      <c r="M28" s="17"/>
      <c r="N28" s="17"/>
      <c r="O28" s="17"/>
      <c r="P28" s="17"/>
      <c r="Q28" s="9" t="e">
        <f t="shared" si="23"/>
        <v>#DIV/0!</v>
      </c>
      <c r="R28" s="17"/>
      <c r="S28" s="17"/>
      <c r="T28" s="17"/>
      <c r="U28" s="17"/>
      <c r="V28" s="17"/>
      <c r="W28" s="9" t="e">
        <f t="shared" si="8"/>
        <v>#DIV/0!</v>
      </c>
      <c r="X28" s="233"/>
      <c r="Y28" s="234"/>
      <c r="Z28" s="9" t="str">
        <f t="shared" si="9"/>
        <v>0</v>
      </c>
      <c r="AA28" s="7" t="e">
        <f t="shared" si="0"/>
        <v>#DIV/0!</v>
      </c>
      <c r="AB28" s="365"/>
      <c r="AC28" s="17"/>
      <c r="AD28" s="17"/>
      <c r="AE28" s="17"/>
      <c r="AF28" s="17"/>
      <c r="AG28" s="17"/>
      <c r="AH28" s="9" t="e">
        <f t="shared" si="10"/>
        <v>#DIV/0!</v>
      </c>
      <c r="AI28" s="17"/>
      <c r="AJ28" s="17"/>
      <c r="AK28" s="17"/>
      <c r="AL28" s="17"/>
      <c r="AM28" s="17"/>
      <c r="AN28" s="9" t="e">
        <f t="shared" si="11"/>
        <v>#DIV/0!</v>
      </c>
      <c r="AO28" s="17"/>
      <c r="AP28" s="17"/>
      <c r="AQ28" s="17"/>
      <c r="AR28" s="17"/>
      <c r="AS28" s="17"/>
      <c r="AT28" s="9" t="e">
        <f t="shared" si="12"/>
        <v>#DIV/0!</v>
      </c>
      <c r="AU28" s="208"/>
      <c r="AV28" s="209"/>
      <c r="AW28" s="9" t="str">
        <f t="shared" si="13"/>
        <v>0</v>
      </c>
      <c r="AX28" s="7" t="e">
        <f t="shared" si="1"/>
        <v>#DIV/0!</v>
      </c>
      <c r="AY28" s="18" t="e">
        <f t="shared" si="1"/>
        <v>#DIV/0!</v>
      </c>
      <c r="AZ28" s="232"/>
      <c r="BA28" s="4" t="e">
        <f t="shared" si="2"/>
        <v>#DIV/0!</v>
      </c>
      <c r="BB28" s="4" t="e">
        <f t="shared" si="14"/>
        <v>#DIV/0!</v>
      </c>
      <c r="BC28" s="4" t="e">
        <f t="shared" si="15"/>
        <v>#DIV/0!</v>
      </c>
      <c r="BD28" s="4">
        <f t="shared" si="16"/>
        <v>0</v>
      </c>
      <c r="BE28" s="12" t="e">
        <f t="shared" si="3"/>
        <v>#DIV/0!</v>
      </c>
      <c r="BF28" s="4" t="e">
        <f t="shared" si="17"/>
        <v>#DIV/0!</v>
      </c>
      <c r="BG28" s="4" t="e">
        <f t="shared" si="18"/>
        <v>#DIV/0!</v>
      </c>
      <c r="BH28" s="4" t="e">
        <f t="shared" si="19"/>
        <v>#DIV/0!</v>
      </c>
      <c r="BI28" s="4">
        <f t="shared" si="20"/>
        <v>0</v>
      </c>
      <c r="BJ28" s="12" t="e">
        <f t="shared" si="4"/>
        <v>#DIV/0!</v>
      </c>
      <c r="BK28" s="12" t="e">
        <f t="shared" si="5"/>
        <v>#DIV/0!</v>
      </c>
      <c r="BL28" s="12"/>
      <c r="BM28" s="10"/>
      <c r="BN28" s="176"/>
      <c r="BO28" s="12" t="e">
        <f t="shared" si="6"/>
        <v>#DIV/0!</v>
      </c>
      <c r="BP28" s="11"/>
      <c r="BQ28" s="6"/>
      <c r="BR28" s="6"/>
    </row>
    <row r="29" spans="1:70" ht="20.25" customHeight="1">
      <c r="A29" s="332">
        <v>9</v>
      </c>
      <c r="B29" s="321"/>
      <c r="C29" s="321"/>
      <c r="D29" s="225"/>
      <c r="E29" s="21">
        <v>1</v>
      </c>
      <c r="F29" s="17"/>
      <c r="G29" s="17"/>
      <c r="H29" s="17"/>
      <c r="I29" s="17"/>
      <c r="J29" s="17"/>
      <c r="K29" s="8" t="e">
        <f t="shared" si="7"/>
        <v>#DIV/0!</v>
      </c>
      <c r="L29" s="17"/>
      <c r="M29" s="17"/>
      <c r="N29" s="17"/>
      <c r="O29" s="17"/>
      <c r="P29" s="17"/>
      <c r="Q29" s="9" t="e">
        <f t="shared" si="23"/>
        <v>#DIV/0!</v>
      </c>
      <c r="R29" s="17"/>
      <c r="S29" s="17"/>
      <c r="T29" s="17"/>
      <c r="U29" s="17"/>
      <c r="V29" s="17"/>
      <c r="W29" s="9" t="e">
        <f t="shared" si="8"/>
        <v>#DIV/0!</v>
      </c>
      <c r="X29" s="233"/>
      <c r="Y29" s="234"/>
      <c r="Z29" s="9" t="str">
        <f t="shared" si="9"/>
        <v>0</v>
      </c>
      <c r="AA29" s="7" t="e">
        <f t="shared" si="0"/>
        <v>#DIV/0!</v>
      </c>
      <c r="AB29" s="365"/>
      <c r="AC29" s="17"/>
      <c r="AD29" s="17"/>
      <c r="AE29" s="17"/>
      <c r="AF29" s="17"/>
      <c r="AG29" s="17"/>
      <c r="AH29" s="9" t="e">
        <f t="shared" si="10"/>
        <v>#DIV/0!</v>
      </c>
      <c r="AI29" s="17"/>
      <c r="AJ29" s="17"/>
      <c r="AK29" s="17"/>
      <c r="AL29" s="17"/>
      <c r="AM29" s="17"/>
      <c r="AN29" s="9" t="e">
        <f t="shared" si="11"/>
        <v>#DIV/0!</v>
      </c>
      <c r="AO29" s="17"/>
      <c r="AP29" s="17"/>
      <c r="AQ29" s="17"/>
      <c r="AR29" s="17"/>
      <c r="AS29" s="17"/>
      <c r="AT29" s="9" t="e">
        <f t="shared" si="12"/>
        <v>#DIV/0!</v>
      </c>
      <c r="AU29" s="208"/>
      <c r="AV29" s="209"/>
      <c r="AW29" s="9" t="str">
        <f t="shared" si="13"/>
        <v>0</v>
      </c>
      <c r="AX29" s="7" t="e">
        <f t="shared" si="1"/>
        <v>#DIV/0!</v>
      </c>
      <c r="AY29" s="18" t="e">
        <f t="shared" si="1"/>
        <v>#DIV/0!</v>
      </c>
      <c r="AZ29" s="231" t="e">
        <f t="shared" ref="AZ29" si="36">IF(BP29&gt;=4.5, " 5 ", IF(BP29&gt;=3.5," 4 ",IF(BP29&gt;=2.5," 3  ",IF(BP29&gt;=1.5," 2 ",IF(BP29&gt;=1,"1 ",IF(BP29&gt;=0,"0"))))))</f>
        <v>#DIV/0!</v>
      </c>
      <c r="BA29" s="4" t="e">
        <f t="shared" si="2"/>
        <v>#DIV/0!</v>
      </c>
      <c r="BB29" s="4" t="e">
        <f t="shared" si="14"/>
        <v>#DIV/0!</v>
      </c>
      <c r="BC29" s="4" t="e">
        <f t="shared" si="15"/>
        <v>#DIV/0!</v>
      </c>
      <c r="BD29" s="4">
        <f t="shared" si="16"/>
        <v>0</v>
      </c>
      <c r="BE29" s="12" t="e">
        <f t="shared" si="3"/>
        <v>#DIV/0!</v>
      </c>
      <c r="BF29" s="4" t="e">
        <f t="shared" si="17"/>
        <v>#DIV/0!</v>
      </c>
      <c r="BG29" s="4" t="e">
        <f t="shared" si="18"/>
        <v>#DIV/0!</v>
      </c>
      <c r="BH29" s="4" t="e">
        <f t="shared" si="19"/>
        <v>#DIV/0!</v>
      </c>
      <c r="BI29" s="4">
        <f t="shared" si="20"/>
        <v>0</v>
      </c>
      <c r="BJ29" s="12" t="e">
        <f t="shared" si="4"/>
        <v>#DIV/0!</v>
      </c>
      <c r="BK29" s="12" t="e">
        <f t="shared" si="5"/>
        <v>#DIV/0!</v>
      </c>
      <c r="BL29" s="12" t="e">
        <f>(BE29+BJ29)/2</f>
        <v>#DIV/0!</v>
      </c>
      <c r="BM29" s="10" t="e">
        <f t="shared" si="21"/>
        <v>#DIV/0!</v>
      </c>
      <c r="BN29" s="176" t="e">
        <f t="shared" ref="BN29" si="37">ROUND(BO30,)</f>
        <v>#DIV/0!</v>
      </c>
      <c r="BO29" s="12" t="e">
        <f t="shared" si="6"/>
        <v>#DIV/0!</v>
      </c>
      <c r="BP29" s="11" t="e">
        <f t="shared" si="25"/>
        <v>#DIV/0!</v>
      </c>
      <c r="BQ29" s="6"/>
      <c r="BR29" s="6"/>
    </row>
    <row r="30" spans="1:70" ht="21" customHeight="1" thickBot="1">
      <c r="A30" s="333"/>
      <c r="B30" s="321"/>
      <c r="C30" s="321"/>
      <c r="D30" s="225"/>
      <c r="E30" s="20">
        <v>2</v>
      </c>
      <c r="F30" s="17"/>
      <c r="G30" s="17"/>
      <c r="H30" s="17"/>
      <c r="I30" s="17"/>
      <c r="J30" s="17"/>
      <c r="K30" s="8" t="e">
        <f t="shared" si="7"/>
        <v>#DIV/0!</v>
      </c>
      <c r="L30" s="17"/>
      <c r="M30" s="17"/>
      <c r="N30" s="17"/>
      <c r="O30" s="17"/>
      <c r="P30" s="17"/>
      <c r="Q30" s="9" t="e">
        <f t="shared" si="23"/>
        <v>#DIV/0!</v>
      </c>
      <c r="R30" s="17"/>
      <c r="S30" s="17"/>
      <c r="T30" s="17"/>
      <c r="U30" s="17"/>
      <c r="V30" s="17"/>
      <c r="W30" s="9" t="e">
        <f t="shared" si="8"/>
        <v>#DIV/0!</v>
      </c>
      <c r="X30" s="233"/>
      <c r="Y30" s="234"/>
      <c r="Z30" s="9" t="str">
        <f t="shared" si="9"/>
        <v>0</v>
      </c>
      <c r="AA30" s="7" t="e">
        <f t="shared" si="0"/>
        <v>#DIV/0!</v>
      </c>
      <c r="AB30" s="365"/>
      <c r="AC30" s="17"/>
      <c r="AD30" s="17"/>
      <c r="AE30" s="17"/>
      <c r="AF30" s="17"/>
      <c r="AG30" s="17"/>
      <c r="AH30" s="9" t="e">
        <f t="shared" si="10"/>
        <v>#DIV/0!</v>
      </c>
      <c r="AI30" s="17"/>
      <c r="AJ30" s="17"/>
      <c r="AK30" s="17"/>
      <c r="AL30" s="17"/>
      <c r="AM30" s="17"/>
      <c r="AN30" s="9" t="e">
        <f t="shared" si="11"/>
        <v>#DIV/0!</v>
      </c>
      <c r="AO30" s="17"/>
      <c r="AP30" s="17"/>
      <c r="AQ30" s="17"/>
      <c r="AR30" s="17"/>
      <c r="AS30" s="17"/>
      <c r="AT30" s="9" t="e">
        <f t="shared" si="12"/>
        <v>#DIV/0!</v>
      </c>
      <c r="AU30" s="208"/>
      <c r="AV30" s="209"/>
      <c r="AW30" s="9" t="str">
        <f t="shared" si="13"/>
        <v>0</v>
      </c>
      <c r="AX30" s="7" t="e">
        <f t="shared" si="1"/>
        <v>#DIV/0!</v>
      </c>
      <c r="AY30" s="18" t="e">
        <f t="shared" si="1"/>
        <v>#DIV/0!</v>
      </c>
      <c r="AZ30" s="232"/>
      <c r="BA30" s="4" t="e">
        <f t="shared" si="2"/>
        <v>#DIV/0!</v>
      </c>
      <c r="BB30" s="4" t="e">
        <f t="shared" si="14"/>
        <v>#DIV/0!</v>
      </c>
      <c r="BC30" s="4" t="e">
        <f t="shared" si="15"/>
        <v>#DIV/0!</v>
      </c>
      <c r="BD30" s="4">
        <f t="shared" si="16"/>
        <v>0</v>
      </c>
      <c r="BE30" s="12" t="e">
        <f t="shared" si="3"/>
        <v>#DIV/0!</v>
      </c>
      <c r="BF30" s="4" t="e">
        <f t="shared" si="17"/>
        <v>#DIV/0!</v>
      </c>
      <c r="BG30" s="4" t="e">
        <f t="shared" si="18"/>
        <v>#DIV/0!</v>
      </c>
      <c r="BH30" s="4" t="e">
        <f t="shared" si="19"/>
        <v>#DIV/0!</v>
      </c>
      <c r="BI30" s="4">
        <f t="shared" si="20"/>
        <v>0</v>
      </c>
      <c r="BJ30" s="12" t="e">
        <f t="shared" si="4"/>
        <v>#DIV/0!</v>
      </c>
      <c r="BK30" s="12" t="e">
        <f t="shared" si="5"/>
        <v>#DIV/0!</v>
      </c>
      <c r="BL30" s="12"/>
      <c r="BM30" s="10"/>
      <c r="BN30" s="176"/>
      <c r="BO30" s="12" t="e">
        <f t="shared" si="6"/>
        <v>#DIV/0!</v>
      </c>
      <c r="BP30" s="11"/>
      <c r="BQ30" s="6"/>
      <c r="BR30" s="6"/>
    </row>
    <row r="31" spans="1:70" ht="18.75" customHeight="1">
      <c r="A31" s="332">
        <v>10</v>
      </c>
      <c r="B31" s="321"/>
      <c r="C31" s="321"/>
      <c r="D31" s="225"/>
      <c r="E31" s="21">
        <v>1</v>
      </c>
      <c r="F31" s="17"/>
      <c r="G31" s="17"/>
      <c r="H31" s="17"/>
      <c r="I31" s="17"/>
      <c r="J31" s="17"/>
      <c r="K31" s="8" t="e">
        <f t="shared" si="7"/>
        <v>#DIV/0!</v>
      </c>
      <c r="L31" s="17"/>
      <c r="M31" s="17"/>
      <c r="N31" s="17"/>
      <c r="O31" s="17"/>
      <c r="P31" s="17"/>
      <c r="Q31" s="9" t="e">
        <f t="shared" si="23"/>
        <v>#DIV/0!</v>
      </c>
      <c r="R31" s="17"/>
      <c r="S31" s="17"/>
      <c r="T31" s="17"/>
      <c r="U31" s="17"/>
      <c r="V31" s="17"/>
      <c r="W31" s="9" t="e">
        <f t="shared" si="8"/>
        <v>#DIV/0!</v>
      </c>
      <c r="X31" s="233"/>
      <c r="Y31" s="234"/>
      <c r="Z31" s="9" t="str">
        <f t="shared" si="9"/>
        <v>0</v>
      </c>
      <c r="AA31" s="7" t="e">
        <f t="shared" si="0"/>
        <v>#DIV/0!</v>
      </c>
      <c r="AB31" s="365"/>
      <c r="AC31" s="17"/>
      <c r="AD31" s="17"/>
      <c r="AE31" s="17"/>
      <c r="AF31" s="17"/>
      <c r="AG31" s="17"/>
      <c r="AH31" s="9" t="e">
        <f t="shared" si="10"/>
        <v>#DIV/0!</v>
      </c>
      <c r="AI31" s="17"/>
      <c r="AJ31" s="17"/>
      <c r="AK31" s="17"/>
      <c r="AL31" s="17"/>
      <c r="AM31" s="17"/>
      <c r="AN31" s="9" t="e">
        <f t="shared" si="11"/>
        <v>#DIV/0!</v>
      </c>
      <c r="AO31" s="17"/>
      <c r="AP31" s="17"/>
      <c r="AQ31" s="17"/>
      <c r="AR31" s="17"/>
      <c r="AS31" s="17"/>
      <c r="AT31" s="9" t="e">
        <f t="shared" si="12"/>
        <v>#DIV/0!</v>
      </c>
      <c r="AU31" s="208"/>
      <c r="AV31" s="209"/>
      <c r="AW31" s="9" t="str">
        <f t="shared" si="13"/>
        <v>0</v>
      </c>
      <c r="AX31" s="7" t="e">
        <f t="shared" si="1"/>
        <v>#DIV/0!</v>
      </c>
      <c r="AY31" s="18" t="e">
        <f t="shared" si="1"/>
        <v>#DIV/0!</v>
      </c>
      <c r="AZ31" s="231" t="e">
        <f t="shared" ref="AZ31" si="38">IF(BP31&gt;=4.5, " 5 ", IF(BP31&gt;=3.5," 4 ",IF(BP31&gt;=2.5," 3  ",IF(BP31&gt;=1.5," 2 ",IF(BP31&gt;=1,"1 ",IF(BP31&gt;=0,"0"))))))</f>
        <v>#DIV/0!</v>
      </c>
      <c r="BA31" s="4" t="e">
        <f t="shared" si="2"/>
        <v>#DIV/0!</v>
      </c>
      <c r="BB31" s="4" t="e">
        <f t="shared" si="14"/>
        <v>#DIV/0!</v>
      </c>
      <c r="BC31" s="4" t="e">
        <f t="shared" si="15"/>
        <v>#DIV/0!</v>
      </c>
      <c r="BD31" s="4">
        <f t="shared" si="16"/>
        <v>0</v>
      </c>
      <c r="BE31" s="12" t="e">
        <f t="shared" si="3"/>
        <v>#DIV/0!</v>
      </c>
      <c r="BF31" s="4" t="e">
        <f t="shared" si="17"/>
        <v>#DIV/0!</v>
      </c>
      <c r="BG31" s="4" t="e">
        <f t="shared" si="18"/>
        <v>#DIV/0!</v>
      </c>
      <c r="BH31" s="4" t="e">
        <f t="shared" si="19"/>
        <v>#DIV/0!</v>
      </c>
      <c r="BI31" s="4">
        <f t="shared" si="20"/>
        <v>0</v>
      </c>
      <c r="BJ31" s="12" t="e">
        <f t="shared" si="4"/>
        <v>#DIV/0!</v>
      </c>
      <c r="BK31" s="12" t="e">
        <f t="shared" si="5"/>
        <v>#DIV/0!</v>
      </c>
      <c r="BL31" s="12" t="e">
        <f>(BE31+BJ31)/2</f>
        <v>#DIV/0!</v>
      </c>
      <c r="BM31" s="10" t="e">
        <f t="shared" si="21"/>
        <v>#DIV/0!</v>
      </c>
      <c r="BN31" s="176" t="e">
        <f t="shared" si="31"/>
        <v>#DIV/0!</v>
      </c>
      <c r="BO31" s="12" t="e">
        <f t="shared" si="6"/>
        <v>#DIV/0!</v>
      </c>
      <c r="BP31" s="11" t="e">
        <f t="shared" si="25"/>
        <v>#DIV/0!</v>
      </c>
      <c r="BQ31" s="6"/>
      <c r="BR31" s="6"/>
    </row>
    <row r="32" spans="1:70" ht="21" customHeight="1" thickBot="1">
      <c r="A32" s="333"/>
      <c r="B32" s="321"/>
      <c r="C32" s="321"/>
      <c r="D32" s="225"/>
      <c r="E32" s="20">
        <v>2</v>
      </c>
      <c r="F32" s="17"/>
      <c r="G32" s="17"/>
      <c r="H32" s="17"/>
      <c r="I32" s="17"/>
      <c r="J32" s="17"/>
      <c r="K32" s="8" t="e">
        <f t="shared" si="7"/>
        <v>#DIV/0!</v>
      </c>
      <c r="L32" s="17"/>
      <c r="M32" s="17"/>
      <c r="N32" s="17"/>
      <c r="O32" s="17"/>
      <c r="P32" s="17"/>
      <c r="Q32" s="9" t="e">
        <f t="shared" si="23"/>
        <v>#DIV/0!</v>
      </c>
      <c r="R32" s="17"/>
      <c r="S32" s="17"/>
      <c r="T32" s="17"/>
      <c r="U32" s="17"/>
      <c r="V32" s="17"/>
      <c r="W32" s="9" t="e">
        <f t="shared" si="8"/>
        <v>#DIV/0!</v>
      </c>
      <c r="X32" s="233"/>
      <c r="Y32" s="234"/>
      <c r="Z32" s="9" t="str">
        <f t="shared" si="9"/>
        <v>0</v>
      </c>
      <c r="AA32" s="7" t="e">
        <f t="shared" si="0"/>
        <v>#DIV/0!</v>
      </c>
      <c r="AB32" s="365"/>
      <c r="AC32" s="17"/>
      <c r="AD32" s="17"/>
      <c r="AE32" s="17"/>
      <c r="AF32" s="17"/>
      <c r="AG32" s="17"/>
      <c r="AH32" s="9" t="e">
        <f t="shared" si="10"/>
        <v>#DIV/0!</v>
      </c>
      <c r="AI32" s="17"/>
      <c r="AJ32" s="17"/>
      <c r="AK32" s="17"/>
      <c r="AL32" s="17"/>
      <c r="AM32" s="17"/>
      <c r="AN32" s="9" t="e">
        <f t="shared" si="11"/>
        <v>#DIV/0!</v>
      </c>
      <c r="AO32" s="17"/>
      <c r="AP32" s="17"/>
      <c r="AQ32" s="17"/>
      <c r="AR32" s="17"/>
      <c r="AS32" s="17"/>
      <c r="AT32" s="9" t="e">
        <f t="shared" si="12"/>
        <v>#DIV/0!</v>
      </c>
      <c r="AU32" s="208"/>
      <c r="AV32" s="209"/>
      <c r="AW32" s="9" t="str">
        <f t="shared" si="13"/>
        <v>0</v>
      </c>
      <c r="AX32" s="7" t="e">
        <f t="shared" si="1"/>
        <v>#DIV/0!</v>
      </c>
      <c r="AY32" s="18" t="e">
        <f t="shared" si="1"/>
        <v>#DIV/0!</v>
      </c>
      <c r="AZ32" s="232"/>
      <c r="BA32" s="4" t="e">
        <f t="shared" si="2"/>
        <v>#DIV/0!</v>
      </c>
      <c r="BB32" s="4" t="e">
        <f t="shared" si="14"/>
        <v>#DIV/0!</v>
      </c>
      <c r="BC32" s="4" t="e">
        <f t="shared" si="15"/>
        <v>#DIV/0!</v>
      </c>
      <c r="BD32" s="4">
        <f t="shared" si="16"/>
        <v>0</v>
      </c>
      <c r="BE32" s="12" t="e">
        <f t="shared" si="3"/>
        <v>#DIV/0!</v>
      </c>
      <c r="BF32" s="4" t="e">
        <f t="shared" si="17"/>
        <v>#DIV/0!</v>
      </c>
      <c r="BG32" s="4" t="e">
        <f t="shared" si="18"/>
        <v>#DIV/0!</v>
      </c>
      <c r="BH32" s="4" t="e">
        <f t="shared" si="19"/>
        <v>#DIV/0!</v>
      </c>
      <c r="BI32" s="4">
        <f t="shared" si="20"/>
        <v>0</v>
      </c>
      <c r="BJ32" s="12" t="e">
        <f t="shared" si="4"/>
        <v>#DIV/0!</v>
      </c>
      <c r="BK32" s="12" t="e">
        <f t="shared" si="5"/>
        <v>#DIV/0!</v>
      </c>
      <c r="BL32" s="12"/>
      <c r="BM32" s="10"/>
      <c r="BN32" s="176"/>
      <c r="BO32" s="12" t="e">
        <f t="shared" si="6"/>
        <v>#DIV/0!</v>
      </c>
      <c r="BP32" s="11"/>
      <c r="BQ32" s="6"/>
      <c r="BR32" s="6"/>
    </row>
    <row r="33" spans="1:70" ht="19.5" customHeight="1">
      <c r="A33" s="332">
        <v>11</v>
      </c>
      <c r="B33" s="324"/>
      <c r="C33" s="324"/>
      <c r="D33" s="323"/>
      <c r="E33" s="21">
        <v>1</v>
      </c>
      <c r="F33" s="17"/>
      <c r="G33" s="17"/>
      <c r="H33" s="17"/>
      <c r="I33" s="17"/>
      <c r="J33" s="17"/>
      <c r="K33" s="8" t="e">
        <f t="shared" si="7"/>
        <v>#DIV/0!</v>
      </c>
      <c r="L33" s="17"/>
      <c r="M33" s="17"/>
      <c r="N33" s="17"/>
      <c r="O33" s="17"/>
      <c r="P33" s="17"/>
      <c r="Q33" s="9" t="e">
        <f t="shared" si="23"/>
        <v>#DIV/0!</v>
      </c>
      <c r="R33" s="17"/>
      <c r="S33" s="17"/>
      <c r="T33" s="17"/>
      <c r="U33" s="17"/>
      <c r="V33" s="17"/>
      <c r="W33" s="9" t="e">
        <f t="shared" si="8"/>
        <v>#DIV/0!</v>
      </c>
      <c r="X33" s="233"/>
      <c r="Y33" s="234"/>
      <c r="Z33" s="9" t="str">
        <f t="shared" si="9"/>
        <v>0</v>
      </c>
      <c r="AA33" s="7" t="e">
        <f t="shared" si="0"/>
        <v>#DIV/0!</v>
      </c>
      <c r="AB33" s="365"/>
      <c r="AC33" s="17"/>
      <c r="AD33" s="17"/>
      <c r="AE33" s="17"/>
      <c r="AF33" s="17"/>
      <c r="AG33" s="17"/>
      <c r="AH33" s="9" t="e">
        <f t="shared" si="10"/>
        <v>#DIV/0!</v>
      </c>
      <c r="AI33" s="17"/>
      <c r="AJ33" s="17"/>
      <c r="AK33" s="17"/>
      <c r="AL33" s="17"/>
      <c r="AM33" s="17"/>
      <c r="AN33" s="9" t="e">
        <f t="shared" si="11"/>
        <v>#DIV/0!</v>
      </c>
      <c r="AO33" s="17"/>
      <c r="AP33" s="17"/>
      <c r="AQ33" s="17"/>
      <c r="AR33" s="17"/>
      <c r="AS33" s="17"/>
      <c r="AT33" s="9" t="e">
        <f t="shared" si="12"/>
        <v>#DIV/0!</v>
      </c>
      <c r="AU33" s="208"/>
      <c r="AV33" s="209"/>
      <c r="AW33" s="9" t="str">
        <f t="shared" si="13"/>
        <v>0</v>
      </c>
      <c r="AX33" s="7" t="e">
        <f t="shared" si="1"/>
        <v>#DIV/0!</v>
      </c>
      <c r="AY33" s="18" t="e">
        <f t="shared" si="1"/>
        <v>#DIV/0!</v>
      </c>
      <c r="AZ33" s="231" t="e">
        <f t="shared" ref="AZ33" si="39">IF(BP33&gt;=4.5, " 5 ", IF(BP33&gt;=3.5," 4 ",IF(BP33&gt;=2.5," 3  ",IF(BP33&gt;=1.5," 2 ",IF(BP33&gt;=1,"1 ",IF(BP33&gt;=0,"0"))))))</f>
        <v>#DIV/0!</v>
      </c>
      <c r="BA33" s="4" t="e">
        <f t="shared" si="2"/>
        <v>#DIV/0!</v>
      </c>
      <c r="BB33" s="4" t="e">
        <f t="shared" si="14"/>
        <v>#DIV/0!</v>
      </c>
      <c r="BC33" s="4" t="e">
        <f t="shared" si="15"/>
        <v>#DIV/0!</v>
      </c>
      <c r="BD33" s="4">
        <f t="shared" si="16"/>
        <v>0</v>
      </c>
      <c r="BE33" s="12" t="e">
        <f t="shared" si="3"/>
        <v>#DIV/0!</v>
      </c>
      <c r="BF33" s="4" t="e">
        <f t="shared" si="17"/>
        <v>#DIV/0!</v>
      </c>
      <c r="BG33" s="4" t="e">
        <f t="shared" si="18"/>
        <v>#DIV/0!</v>
      </c>
      <c r="BH33" s="4" t="e">
        <f t="shared" si="19"/>
        <v>#DIV/0!</v>
      </c>
      <c r="BI33" s="4">
        <f t="shared" si="20"/>
        <v>0</v>
      </c>
      <c r="BJ33" s="12" t="e">
        <f t="shared" si="4"/>
        <v>#DIV/0!</v>
      </c>
      <c r="BK33" s="12" t="e">
        <f t="shared" si="5"/>
        <v>#DIV/0!</v>
      </c>
      <c r="BL33" s="12" t="e">
        <f>(BE33+BJ33)/2</f>
        <v>#DIV/0!</v>
      </c>
      <c r="BM33" s="10" t="e">
        <f t="shared" si="21"/>
        <v>#DIV/0!</v>
      </c>
      <c r="BN33" s="176" t="e">
        <f t="shared" si="33"/>
        <v>#DIV/0!</v>
      </c>
      <c r="BO33" s="12" t="e">
        <f t="shared" si="6"/>
        <v>#DIV/0!</v>
      </c>
      <c r="BP33" s="11" t="e">
        <f t="shared" si="25"/>
        <v>#DIV/0!</v>
      </c>
      <c r="BQ33" s="6"/>
      <c r="BR33" s="6"/>
    </row>
    <row r="34" spans="1:70" ht="21" customHeight="1" thickBot="1">
      <c r="A34" s="333"/>
      <c r="B34" s="324"/>
      <c r="C34" s="324"/>
      <c r="D34" s="323"/>
      <c r="E34" s="20">
        <v>2</v>
      </c>
      <c r="F34" s="17"/>
      <c r="G34" s="17"/>
      <c r="H34" s="17"/>
      <c r="I34" s="17"/>
      <c r="J34" s="17"/>
      <c r="K34" s="8" t="e">
        <f t="shared" si="7"/>
        <v>#DIV/0!</v>
      </c>
      <c r="L34" s="17"/>
      <c r="M34" s="17"/>
      <c r="N34" s="17"/>
      <c r="O34" s="17"/>
      <c r="P34" s="17"/>
      <c r="Q34" s="9" t="e">
        <f t="shared" si="23"/>
        <v>#DIV/0!</v>
      </c>
      <c r="R34" s="17"/>
      <c r="S34" s="17"/>
      <c r="T34" s="17"/>
      <c r="U34" s="17"/>
      <c r="V34" s="17"/>
      <c r="W34" s="9" t="e">
        <f t="shared" si="8"/>
        <v>#DIV/0!</v>
      </c>
      <c r="X34" s="233"/>
      <c r="Y34" s="234"/>
      <c r="Z34" s="9" t="str">
        <f t="shared" si="9"/>
        <v>0</v>
      </c>
      <c r="AA34" s="7" t="e">
        <f t="shared" si="0"/>
        <v>#DIV/0!</v>
      </c>
      <c r="AB34" s="365"/>
      <c r="AC34" s="17"/>
      <c r="AD34" s="17"/>
      <c r="AE34" s="17"/>
      <c r="AF34" s="17"/>
      <c r="AG34" s="17"/>
      <c r="AH34" s="9" t="e">
        <f t="shared" si="10"/>
        <v>#DIV/0!</v>
      </c>
      <c r="AI34" s="17"/>
      <c r="AJ34" s="17"/>
      <c r="AK34" s="17"/>
      <c r="AL34" s="17"/>
      <c r="AM34" s="17"/>
      <c r="AN34" s="9" t="e">
        <f t="shared" si="11"/>
        <v>#DIV/0!</v>
      </c>
      <c r="AO34" s="17"/>
      <c r="AP34" s="17"/>
      <c r="AQ34" s="17"/>
      <c r="AR34" s="17"/>
      <c r="AS34" s="17"/>
      <c r="AT34" s="9" t="e">
        <f t="shared" si="12"/>
        <v>#DIV/0!</v>
      </c>
      <c r="AU34" s="208"/>
      <c r="AV34" s="209"/>
      <c r="AW34" s="9" t="str">
        <f t="shared" si="13"/>
        <v>0</v>
      </c>
      <c r="AX34" s="7" t="e">
        <f t="shared" si="1"/>
        <v>#DIV/0!</v>
      </c>
      <c r="AY34" s="18" t="e">
        <f t="shared" si="1"/>
        <v>#DIV/0!</v>
      </c>
      <c r="AZ34" s="232"/>
      <c r="BA34" s="4" t="e">
        <f t="shared" si="2"/>
        <v>#DIV/0!</v>
      </c>
      <c r="BB34" s="4" t="e">
        <f t="shared" si="14"/>
        <v>#DIV/0!</v>
      </c>
      <c r="BC34" s="4" t="e">
        <f t="shared" si="15"/>
        <v>#DIV/0!</v>
      </c>
      <c r="BD34" s="4">
        <f t="shared" si="16"/>
        <v>0</v>
      </c>
      <c r="BE34" s="12" t="e">
        <f t="shared" si="3"/>
        <v>#DIV/0!</v>
      </c>
      <c r="BF34" s="4" t="e">
        <f t="shared" si="17"/>
        <v>#DIV/0!</v>
      </c>
      <c r="BG34" s="4" t="e">
        <f t="shared" si="18"/>
        <v>#DIV/0!</v>
      </c>
      <c r="BH34" s="4" t="e">
        <f t="shared" si="19"/>
        <v>#DIV/0!</v>
      </c>
      <c r="BI34" s="4">
        <f t="shared" si="20"/>
        <v>0</v>
      </c>
      <c r="BJ34" s="12" t="e">
        <f t="shared" si="4"/>
        <v>#DIV/0!</v>
      </c>
      <c r="BK34" s="12" t="e">
        <f t="shared" si="5"/>
        <v>#DIV/0!</v>
      </c>
      <c r="BL34" s="12"/>
      <c r="BM34" s="10"/>
      <c r="BN34" s="176"/>
      <c r="BO34" s="12" t="e">
        <f t="shared" si="6"/>
        <v>#DIV/0!</v>
      </c>
      <c r="BP34" s="11"/>
      <c r="BQ34" s="6"/>
      <c r="BR34" s="6"/>
    </row>
    <row r="35" spans="1:70" ht="23.25" customHeight="1">
      <c r="A35" s="332">
        <v>12</v>
      </c>
      <c r="B35" s="324"/>
      <c r="C35" s="324"/>
      <c r="D35" s="323"/>
      <c r="E35" s="21">
        <v>1</v>
      </c>
      <c r="F35" s="17"/>
      <c r="G35" s="17"/>
      <c r="H35" s="17"/>
      <c r="I35" s="17"/>
      <c r="J35" s="17"/>
      <c r="K35" s="8" t="e">
        <f t="shared" si="7"/>
        <v>#DIV/0!</v>
      </c>
      <c r="L35" s="17"/>
      <c r="M35" s="17"/>
      <c r="N35" s="17"/>
      <c r="O35" s="17"/>
      <c r="P35" s="17"/>
      <c r="Q35" s="9" t="e">
        <f t="shared" si="23"/>
        <v>#DIV/0!</v>
      </c>
      <c r="R35" s="17"/>
      <c r="S35" s="17"/>
      <c r="T35" s="17"/>
      <c r="U35" s="17"/>
      <c r="V35" s="17"/>
      <c r="W35" s="9" t="e">
        <f t="shared" si="8"/>
        <v>#DIV/0!</v>
      </c>
      <c r="X35" s="233"/>
      <c r="Y35" s="234"/>
      <c r="Z35" s="9" t="str">
        <f t="shared" si="9"/>
        <v>0</v>
      </c>
      <c r="AA35" s="7" t="e">
        <f t="shared" si="0"/>
        <v>#DIV/0!</v>
      </c>
      <c r="AB35" s="365"/>
      <c r="AC35" s="17"/>
      <c r="AD35" s="17"/>
      <c r="AE35" s="17"/>
      <c r="AF35" s="17"/>
      <c r="AG35" s="17"/>
      <c r="AH35" s="9" t="e">
        <f t="shared" si="10"/>
        <v>#DIV/0!</v>
      </c>
      <c r="AI35" s="17"/>
      <c r="AJ35" s="17"/>
      <c r="AK35" s="17"/>
      <c r="AL35" s="17"/>
      <c r="AM35" s="17"/>
      <c r="AN35" s="9" t="e">
        <f t="shared" si="11"/>
        <v>#DIV/0!</v>
      </c>
      <c r="AO35" s="17"/>
      <c r="AP35" s="17"/>
      <c r="AQ35" s="17"/>
      <c r="AR35" s="17"/>
      <c r="AS35" s="17"/>
      <c r="AT35" s="9" t="e">
        <f t="shared" si="12"/>
        <v>#DIV/0!</v>
      </c>
      <c r="AU35" s="208"/>
      <c r="AV35" s="209"/>
      <c r="AW35" s="9" t="str">
        <f t="shared" si="13"/>
        <v>0</v>
      </c>
      <c r="AX35" s="7" t="e">
        <f t="shared" si="1"/>
        <v>#DIV/0!</v>
      </c>
      <c r="AY35" s="18" t="e">
        <f t="shared" si="1"/>
        <v>#DIV/0!</v>
      </c>
      <c r="AZ35" s="231" t="e">
        <f t="shared" ref="AZ35" si="40">IF(BP35&gt;=4.5, " 5 ", IF(BP35&gt;=3.5," 4 ",IF(BP35&gt;=2.5," 3  ",IF(BP35&gt;=1.5," 2 ",IF(BP35&gt;=1,"1 ",IF(BP35&gt;=0,"0"))))))</f>
        <v>#DIV/0!</v>
      </c>
      <c r="BA35" s="4" t="e">
        <f t="shared" si="2"/>
        <v>#DIV/0!</v>
      </c>
      <c r="BB35" s="4" t="e">
        <f t="shared" si="14"/>
        <v>#DIV/0!</v>
      </c>
      <c r="BC35" s="4" t="e">
        <f t="shared" si="15"/>
        <v>#DIV/0!</v>
      </c>
      <c r="BD35" s="4">
        <f t="shared" si="16"/>
        <v>0</v>
      </c>
      <c r="BE35" s="12" t="e">
        <f t="shared" si="3"/>
        <v>#DIV/0!</v>
      </c>
      <c r="BF35" s="4" t="e">
        <f t="shared" si="17"/>
        <v>#DIV/0!</v>
      </c>
      <c r="BG35" s="4" t="e">
        <f t="shared" si="18"/>
        <v>#DIV/0!</v>
      </c>
      <c r="BH35" s="4" t="e">
        <f t="shared" si="19"/>
        <v>#DIV/0!</v>
      </c>
      <c r="BI35" s="4">
        <f t="shared" si="20"/>
        <v>0</v>
      </c>
      <c r="BJ35" s="12" t="e">
        <f t="shared" si="4"/>
        <v>#DIV/0!</v>
      </c>
      <c r="BK35" s="12" t="e">
        <f t="shared" si="5"/>
        <v>#DIV/0!</v>
      </c>
      <c r="BL35" s="12" t="e">
        <f>(BE35+BJ35)/2</f>
        <v>#DIV/0!</v>
      </c>
      <c r="BM35" s="10" t="e">
        <f t="shared" si="21"/>
        <v>#DIV/0!</v>
      </c>
      <c r="BN35" s="176" t="e">
        <f t="shared" si="35"/>
        <v>#DIV/0!</v>
      </c>
      <c r="BO35" s="12" t="e">
        <f t="shared" si="6"/>
        <v>#DIV/0!</v>
      </c>
      <c r="BP35" s="11" t="e">
        <f t="shared" si="25"/>
        <v>#DIV/0!</v>
      </c>
      <c r="BQ35" s="6"/>
      <c r="BR35" s="6"/>
    </row>
    <row r="36" spans="1:70" ht="23.25" customHeight="1" thickBot="1">
      <c r="A36" s="333"/>
      <c r="B36" s="324"/>
      <c r="C36" s="324"/>
      <c r="D36" s="323"/>
      <c r="E36" s="20">
        <v>2</v>
      </c>
      <c r="F36" s="17"/>
      <c r="G36" s="17"/>
      <c r="H36" s="17"/>
      <c r="I36" s="17"/>
      <c r="J36" s="17"/>
      <c r="K36" s="8" t="e">
        <f t="shared" si="7"/>
        <v>#DIV/0!</v>
      </c>
      <c r="L36" s="17"/>
      <c r="M36" s="17"/>
      <c r="N36" s="17"/>
      <c r="O36" s="17"/>
      <c r="P36" s="17"/>
      <c r="Q36" s="9" t="e">
        <f t="shared" si="23"/>
        <v>#DIV/0!</v>
      </c>
      <c r="R36" s="17"/>
      <c r="S36" s="17"/>
      <c r="T36" s="17"/>
      <c r="U36" s="17"/>
      <c r="V36" s="17"/>
      <c r="W36" s="9" t="e">
        <f t="shared" si="8"/>
        <v>#DIV/0!</v>
      </c>
      <c r="X36" s="233"/>
      <c r="Y36" s="234"/>
      <c r="Z36" s="9" t="str">
        <f t="shared" si="9"/>
        <v>0</v>
      </c>
      <c r="AA36" s="7" t="e">
        <f t="shared" si="0"/>
        <v>#DIV/0!</v>
      </c>
      <c r="AB36" s="365"/>
      <c r="AC36" s="17"/>
      <c r="AD36" s="17"/>
      <c r="AE36" s="17"/>
      <c r="AF36" s="17"/>
      <c r="AG36" s="17"/>
      <c r="AH36" s="9" t="e">
        <f t="shared" si="10"/>
        <v>#DIV/0!</v>
      </c>
      <c r="AI36" s="17"/>
      <c r="AJ36" s="17"/>
      <c r="AK36" s="17"/>
      <c r="AL36" s="17"/>
      <c r="AM36" s="17"/>
      <c r="AN36" s="9" t="e">
        <f t="shared" si="11"/>
        <v>#DIV/0!</v>
      </c>
      <c r="AO36" s="17"/>
      <c r="AP36" s="17"/>
      <c r="AQ36" s="17"/>
      <c r="AR36" s="17"/>
      <c r="AS36" s="17"/>
      <c r="AT36" s="9" t="e">
        <f t="shared" si="12"/>
        <v>#DIV/0!</v>
      </c>
      <c r="AU36" s="208"/>
      <c r="AV36" s="209"/>
      <c r="AW36" s="9" t="str">
        <f t="shared" si="13"/>
        <v>0</v>
      </c>
      <c r="AX36" s="7" t="e">
        <f t="shared" si="1"/>
        <v>#DIV/0!</v>
      </c>
      <c r="AY36" s="18" t="e">
        <f t="shared" si="1"/>
        <v>#DIV/0!</v>
      </c>
      <c r="AZ36" s="232"/>
      <c r="BA36" s="4" t="e">
        <f t="shared" si="2"/>
        <v>#DIV/0!</v>
      </c>
      <c r="BB36" s="4" t="e">
        <f t="shared" si="14"/>
        <v>#DIV/0!</v>
      </c>
      <c r="BC36" s="4" t="e">
        <f t="shared" si="15"/>
        <v>#DIV/0!</v>
      </c>
      <c r="BD36" s="4">
        <f t="shared" si="16"/>
        <v>0</v>
      </c>
      <c r="BE36" s="12" t="e">
        <f t="shared" si="3"/>
        <v>#DIV/0!</v>
      </c>
      <c r="BF36" s="4" t="e">
        <f t="shared" si="17"/>
        <v>#DIV/0!</v>
      </c>
      <c r="BG36" s="4" t="e">
        <f t="shared" si="18"/>
        <v>#DIV/0!</v>
      </c>
      <c r="BH36" s="4" t="e">
        <f t="shared" si="19"/>
        <v>#DIV/0!</v>
      </c>
      <c r="BI36" s="4">
        <f t="shared" si="20"/>
        <v>0</v>
      </c>
      <c r="BJ36" s="12" t="e">
        <f t="shared" si="4"/>
        <v>#DIV/0!</v>
      </c>
      <c r="BK36" s="12" t="e">
        <f t="shared" si="5"/>
        <v>#DIV/0!</v>
      </c>
      <c r="BL36" s="12"/>
      <c r="BM36" s="10"/>
      <c r="BN36" s="176"/>
      <c r="BO36" s="12" t="e">
        <f t="shared" si="6"/>
        <v>#DIV/0!</v>
      </c>
      <c r="BP36" s="11"/>
      <c r="BQ36" s="6"/>
      <c r="BR36" s="6"/>
    </row>
    <row r="37" spans="1:70" ht="20.25" customHeight="1">
      <c r="A37" s="332">
        <v>13</v>
      </c>
      <c r="B37" s="324"/>
      <c r="C37" s="324"/>
      <c r="D37" s="323"/>
      <c r="E37" s="21">
        <v>1</v>
      </c>
      <c r="F37" s="17"/>
      <c r="G37" s="17"/>
      <c r="H37" s="17"/>
      <c r="I37" s="17"/>
      <c r="J37" s="17"/>
      <c r="K37" s="8" t="e">
        <f t="shared" si="7"/>
        <v>#DIV/0!</v>
      </c>
      <c r="L37" s="17"/>
      <c r="M37" s="17"/>
      <c r="N37" s="17"/>
      <c r="O37" s="17"/>
      <c r="P37" s="17"/>
      <c r="Q37" s="9" t="e">
        <f t="shared" si="23"/>
        <v>#DIV/0!</v>
      </c>
      <c r="R37" s="17"/>
      <c r="S37" s="17"/>
      <c r="T37" s="17"/>
      <c r="U37" s="17"/>
      <c r="V37" s="17"/>
      <c r="W37" s="9" t="e">
        <f t="shared" si="8"/>
        <v>#DIV/0!</v>
      </c>
      <c r="X37" s="233"/>
      <c r="Y37" s="234"/>
      <c r="Z37" s="9" t="str">
        <f t="shared" si="9"/>
        <v>0</v>
      </c>
      <c r="AA37" s="7" t="e">
        <f t="shared" si="0"/>
        <v>#DIV/0!</v>
      </c>
      <c r="AB37" s="365"/>
      <c r="AC37" s="17"/>
      <c r="AD37" s="17"/>
      <c r="AE37" s="17"/>
      <c r="AF37" s="17"/>
      <c r="AG37" s="17"/>
      <c r="AH37" s="9" t="e">
        <f t="shared" si="10"/>
        <v>#DIV/0!</v>
      </c>
      <c r="AI37" s="17"/>
      <c r="AJ37" s="17"/>
      <c r="AK37" s="17"/>
      <c r="AL37" s="17"/>
      <c r="AM37" s="17"/>
      <c r="AN37" s="9" t="e">
        <f t="shared" si="11"/>
        <v>#DIV/0!</v>
      </c>
      <c r="AO37" s="17"/>
      <c r="AP37" s="17"/>
      <c r="AQ37" s="17"/>
      <c r="AR37" s="17"/>
      <c r="AS37" s="17"/>
      <c r="AT37" s="9" t="e">
        <f t="shared" si="12"/>
        <v>#DIV/0!</v>
      </c>
      <c r="AU37" s="208"/>
      <c r="AV37" s="209"/>
      <c r="AW37" s="9" t="str">
        <f t="shared" si="13"/>
        <v>0</v>
      </c>
      <c r="AX37" s="7" t="e">
        <f t="shared" si="1"/>
        <v>#DIV/0!</v>
      </c>
      <c r="AY37" s="18" t="e">
        <f t="shared" si="1"/>
        <v>#DIV/0!</v>
      </c>
      <c r="AZ37" s="231" t="e">
        <f t="shared" ref="AZ37" si="41">IF(BP37&gt;=4.5, " 5 ", IF(BP37&gt;=3.5," 4 ",IF(BP37&gt;=2.5," 3  ",IF(BP37&gt;=1.5," 2 ",IF(BP37&gt;=1,"1 ",IF(BP37&gt;=0,"0"))))))</f>
        <v>#DIV/0!</v>
      </c>
      <c r="BA37" s="4" t="e">
        <f t="shared" si="2"/>
        <v>#DIV/0!</v>
      </c>
      <c r="BB37" s="4" t="e">
        <f t="shared" si="14"/>
        <v>#DIV/0!</v>
      </c>
      <c r="BC37" s="4" t="e">
        <f t="shared" si="15"/>
        <v>#DIV/0!</v>
      </c>
      <c r="BD37" s="4">
        <f t="shared" si="16"/>
        <v>0</v>
      </c>
      <c r="BE37" s="12" t="e">
        <f t="shared" si="3"/>
        <v>#DIV/0!</v>
      </c>
      <c r="BF37" s="4" t="e">
        <f t="shared" si="17"/>
        <v>#DIV/0!</v>
      </c>
      <c r="BG37" s="4" t="e">
        <f t="shared" si="18"/>
        <v>#DIV/0!</v>
      </c>
      <c r="BH37" s="4" t="e">
        <f t="shared" si="19"/>
        <v>#DIV/0!</v>
      </c>
      <c r="BI37" s="4">
        <f t="shared" si="20"/>
        <v>0</v>
      </c>
      <c r="BJ37" s="12" t="e">
        <f t="shared" si="4"/>
        <v>#DIV/0!</v>
      </c>
      <c r="BK37" s="12" t="e">
        <f t="shared" si="5"/>
        <v>#DIV/0!</v>
      </c>
      <c r="BL37" s="12" t="e">
        <f>(BE37+BJ37)/2</f>
        <v>#DIV/0!</v>
      </c>
      <c r="BM37" s="10" t="e">
        <f t="shared" si="21"/>
        <v>#DIV/0!</v>
      </c>
      <c r="BN37" s="176" t="e">
        <f t="shared" ref="BN37" si="42">ROUND(BO38,)</f>
        <v>#DIV/0!</v>
      </c>
      <c r="BO37" s="12" t="e">
        <f t="shared" si="6"/>
        <v>#DIV/0!</v>
      </c>
      <c r="BP37" s="11" t="e">
        <f t="shared" si="25"/>
        <v>#DIV/0!</v>
      </c>
      <c r="BQ37" s="6"/>
      <c r="BR37" s="6"/>
    </row>
    <row r="38" spans="1:70" ht="15" customHeight="1" thickBot="1">
      <c r="A38" s="333"/>
      <c r="B38" s="324"/>
      <c r="C38" s="324"/>
      <c r="D38" s="323"/>
      <c r="E38" s="20">
        <v>2</v>
      </c>
      <c r="F38" s="17"/>
      <c r="G38" s="17"/>
      <c r="H38" s="17"/>
      <c r="I38" s="17"/>
      <c r="J38" s="17"/>
      <c r="K38" s="8" t="e">
        <f t="shared" si="7"/>
        <v>#DIV/0!</v>
      </c>
      <c r="L38" s="17"/>
      <c r="M38" s="17"/>
      <c r="N38" s="17"/>
      <c r="O38" s="17"/>
      <c r="P38" s="17"/>
      <c r="Q38" s="9" t="e">
        <f t="shared" si="23"/>
        <v>#DIV/0!</v>
      </c>
      <c r="R38" s="17"/>
      <c r="S38" s="17"/>
      <c r="T38" s="17"/>
      <c r="U38" s="17"/>
      <c r="V38" s="17"/>
      <c r="W38" s="9" t="e">
        <f t="shared" si="8"/>
        <v>#DIV/0!</v>
      </c>
      <c r="X38" s="233"/>
      <c r="Y38" s="234"/>
      <c r="Z38" s="9" t="str">
        <f t="shared" si="9"/>
        <v>0</v>
      </c>
      <c r="AA38" s="7" t="e">
        <f t="shared" si="0"/>
        <v>#DIV/0!</v>
      </c>
      <c r="AB38" s="365"/>
      <c r="AC38" s="17"/>
      <c r="AD38" s="17"/>
      <c r="AE38" s="17"/>
      <c r="AF38" s="17"/>
      <c r="AG38" s="17"/>
      <c r="AH38" s="9" t="e">
        <f t="shared" si="10"/>
        <v>#DIV/0!</v>
      </c>
      <c r="AI38" s="17"/>
      <c r="AJ38" s="17"/>
      <c r="AK38" s="17"/>
      <c r="AL38" s="17"/>
      <c r="AM38" s="17"/>
      <c r="AN38" s="9" t="e">
        <f t="shared" si="11"/>
        <v>#DIV/0!</v>
      </c>
      <c r="AO38" s="17"/>
      <c r="AP38" s="17"/>
      <c r="AQ38" s="17"/>
      <c r="AR38" s="17"/>
      <c r="AS38" s="17"/>
      <c r="AT38" s="9" t="e">
        <f t="shared" si="12"/>
        <v>#DIV/0!</v>
      </c>
      <c r="AU38" s="208"/>
      <c r="AV38" s="209"/>
      <c r="AW38" s="9" t="str">
        <f t="shared" si="13"/>
        <v>0</v>
      </c>
      <c r="AX38" s="7" t="e">
        <f t="shared" si="1"/>
        <v>#DIV/0!</v>
      </c>
      <c r="AY38" s="18" t="e">
        <f t="shared" si="1"/>
        <v>#DIV/0!</v>
      </c>
      <c r="AZ38" s="232"/>
      <c r="BA38" s="4" t="e">
        <f t="shared" si="2"/>
        <v>#DIV/0!</v>
      </c>
      <c r="BB38" s="4" t="e">
        <f t="shared" si="14"/>
        <v>#DIV/0!</v>
      </c>
      <c r="BC38" s="4" t="e">
        <f t="shared" si="15"/>
        <v>#DIV/0!</v>
      </c>
      <c r="BD38" s="4">
        <f t="shared" si="16"/>
        <v>0</v>
      </c>
      <c r="BE38" s="12" t="e">
        <f t="shared" si="3"/>
        <v>#DIV/0!</v>
      </c>
      <c r="BF38" s="4" t="e">
        <f t="shared" si="17"/>
        <v>#DIV/0!</v>
      </c>
      <c r="BG38" s="4" t="e">
        <f t="shared" si="18"/>
        <v>#DIV/0!</v>
      </c>
      <c r="BH38" s="4" t="e">
        <f t="shared" si="19"/>
        <v>#DIV/0!</v>
      </c>
      <c r="BI38" s="4">
        <f t="shared" si="20"/>
        <v>0</v>
      </c>
      <c r="BJ38" s="12" t="e">
        <f t="shared" si="4"/>
        <v>#DIV/0!</v>
      </c>
      <c r="BK38" s="12" t="e">
        <f t="shared" si="5"/>
        <v>#DIV/0!</v>
      </c>
      <c r="BL38" s="12"/>
      <c r="BM38" s="10"/>
      <c r="BN38" s="176"/>
      <c r="BO38" s="12" t="e">
        <f t="shared" si="6"/>
        <v>#DIV/0!</v>
      </c>
      <c r="BP38" s="11"/>
      <c r="BQ38" s="6"/>
      <c r="BR38" s="6"/>
    </row>
    <row r="39" spans="1:70" ht="20.25" customHeight="1">
      <c r="A39" s="332">
        <v>14</v>
      </c>
      <c r="B39" s="324"/>
      <c r="C39" s="324"/>
      <c r="D39" s="323"/>
      <c r="E39" s="21">
        <v>1</v>
      </c>
      <c r="F39" s="17"/>
      <c r="G39" s="17"/>
      <c r="H39" s="17"/>
      <c r="I39" s="17"/>
      <c r="J39" s="17"/>
      <c r="K39" s="8" t="e">
        <f t="shared" si="7"/>
        <v>#DIV/0!</v>
      </c>
      <c r="L39" s="17"/>
      <c r="M39" s="17"/>
      <c r="N39" s="17"/>
      <c r="O39" s="17"/>
      <c r="P39" s="17"/>
      <c r="Q39" s="9" t="e">
        <f t="shared" si="23"/>
        <v>#DIV/0!</v>
      </c>
      <c r="R39" s="17"/>
      <c r="S39" s="17"/>
      <c r="T39" s="17"/>
      <c r="U39" s="17"/>
      <c r="V39" s="17"/>
      <c r="W39" s="9" t="e">
        <f t="shared" si="8"/>
        <v>#DIV/0!</v>
      </c>
      <c r="X39" s="233"/>
      <c r="Y39" s="234"/>
      <c r="Z39" s="9" t="str">
        <f t="shared" si="9"/>
        <v>0</v>
      </c>
      <c r="AA39" s="7" t="e">
        <f t="shared" si="0"/>
        <v>#DIV/0!</v>
      </c>
      <c r="AB39" s="365"/>
      <c r="AC39" s="17"/>
      <c r="AD39" s="17"/>
      <c r="AE39" s="17"/>
      <c r="AF39" s="17"/>
      <c r="AG39" s="17"/>
      <c r="AH39" s="9" t="e">
        <f t="shared" si="10"/>
        <v>#DIV/0!</v>
      </c>
      <c r="AI39" s="17"/>
      <c r="AJ39" s="17"/>
      <c r="AK39" s="17"/>
      <c r="AL39" s="17"/>
      <c r="AM39" s="17"/>
      <c r="AN39" s="9" t="e">
        <f t="shared" si="11"/>
        <v>#DIV/0!</v>
      </c>
      <c r="AO39" s="17"/>
      <c r="AP39" s="17"/>
      <c r="AQ39" s="17"/>
      <c r="AR39" s="17"/>
      <c r="AS39" s="17"/>
      <c r="AT39" s="9" t="e">
        <f t="shared" si="12"/>
        <v>#DIV/0!</v>
      </c>
      <c r="AU39" s="208"/>
      <c r="AV39" s="209"/>
      <c r="AW39" s="9" t="str">
        <f t="shared" si="13"/>
        <v>0</v>
      </c>
      <c r="AX39" s="7" t="e">
        <f t="shared" si="1"/>
        <v>#DIV/0!</v>
      </c>
      <c r="AY39" s="18" t="e">
        <f t="shared" si="1"/>
        <v>#DIV/0!</v>
      </c>
      <c r="AZ39" s="231" t="e">
        <f t="shared" ref="AZ39" si="43">IF(BP39&gt;=4.5, " 5 ", IF(BP39&gt;=3.5," 4 ",IF(BP39&gt;=2.5," 3  ",IF(BP39&gt;=1.5," 2 ",IF(BP39&gt;=1,"1 ",IF(BP39&gt;=0,"0"))))))</f>
        <v>#DIV/0!</v>
      </c>
      <c r="BA39" s="4" t="e">
        <f t="shared" si="2"/>
        <v>#DIV/0!</v>
      </c>
      <c r="BB39" s="4" t="e">
        <f t="shared" si="14"/>
        <v>#DIV/0!</v>
      </c>
      <c r="BC39" s="4" t="e">
        <f t="shared" si="15"/>
        <v>#DIV/0!</v>
      </c>
      <c r="BD39" s="4">
        <f t="shared" si="16"/>
        <v>0</v>
      </c>
      <c r="BE39" s="12" t="e">
        <f t="shared" si="3"/>
        <v>#DIV/0!</v>
      </c>
      <c r="BF39" s="4" t="e">
        <f t="shared" si="17"/>
        <v>#DIV/0!</v>
      </c>
      <c r="BG39" s="4" t="e">
        <f t="shared" si="18"/>
        <v>#DIV/0!</v>
      </c>
      <c r="BH39" s="4" t="e">
        <f t="shared" si="19"/>
        <v>#DIV/0!</v>
      </c>
      <c r="BI39" s="4">
        <f t="shared" si="20"/>
        <v>0</v>
      </c>
      <c r="BJ39" s="12" t="e">
        <f t="shared" si="4"/>
        <v>#DIV/0!</v>
      </c>
      <c r="BK39" s="12" t="e">
        <f t="shared" si="5"/>
        <v>#DIV/0!</v>
      </c>
      <c r="BL39" s="12" t="e">
        <f>(BE39+BJ39)/2</f>
        <v>#DIV/0!</v>
      </c>
      <c r="BM39" s="10" t="e">
        <f t="shared" si="21"/>
        <v>#DIV/0!</v>
      </c>
      <c r="BN39" s="176" t="e">
        <f t="shared" si="31"/>
        <v>#DIV/0!</v>
      </c>
      <c r="BO39" s="12" t="e">
        <f t="shared" si="6"/>
        <v>#DIV/0!</v>
      </c>
      <c r="BP39" s="11" t="e">
        <f t="shared" si="25"/>
        <v>#DIV/0!</v>
      </c>
      <c r="BQ39" s="6"/>
      <c r="BR39" s="6"/>
    </row>
    <row r="40" spans="1:70" ht="20.25" customHeight="1" thickBot="1">
      <c r="A40" s="333"/>
      <c r="B40" s="324"/>
      <c r="C40" s="324"/>
      <c r="D40" s="323"/>
      <c r="E40" s="20">
        <v>2</v>
      </c>
      <c r="F40" s="17"/>
      <c r="G40" s="17"/>
      <c r="H40" s="17"/>
      <c r="I40" s="17"/>
      <c r="J40" s="17"/>
      <c r="K40" s="8" t="e">
        <f t="shared" si="7"/>
        <v>#DIV/0!</v>
      </c>
      <c r="L40" s="17"/>
      <c r="M40" s="17"/>
      <c r="N40" s="17"/>
      <c r="O40" s="17"/>
      <c r="P40" s="17"/>
      <c r="Q40" s="9" t="e">
        <f t="shared" si="23"/>
        <v>#DIV/0!</v>
      </c>
      <c r="R40" s="17"/>
      <c r="S40" s="17"/>
      <c r="T40" s="17"/>
      <c r="U40" s="17"/>
      <c r="V40" s="17"/>
      <c r="W40" s="9" t="e">
        <f t="shared" si="8"/>
        <v>#DIV/0!</v>
      </c>
      <c r="X40" s="233"/>
      <c r="Y40" s="234"/>
      <c r="Z40" s="9" t="str">
        <f t="shared" si="9"/>
        <v>0</v>
      </c>
      <c r="AA40" s="7" t="e">
        <f t="shared" si="0"/>
        <v>#DIV/0!</v>
      </c>
      <c r="AB40" s="365"/>
      <c r="AC40" s="17"/>
      <c r="AD40" s="17"/>
      <c r="AE40" s="17"/>
      <c r="AF40" s="17"/>
      <c r="AG40" s="17"/>
      <c r="AH40" s="9" t="e">
        <f t="shared" si="10"/>
        <v>#DIV/0!</v>
      </c>
      <c r="AI40" s="17"/>
      <c r="AJ40" s="17"/>
      <c r="AK40" s="17"/>
      <c r="AL40" s="17"/>
      <c r="AM40" s="17"/>
      <c r="AN40" s="9" t="e">
        <f t="shared" si="11"/>
        <v>#DIV/0!</v>
      </c>
      <c r="AO40" s="17"/>
      <c r="AP40" s="17"/>
      <c r="AQ40" s="17"/>
      <c r="AR40" s="17"/>
      <c r="AS40" s="17"/>
      <c r="AT40" s="9" t="e">
        <f t="shared" si="12"/>
        <v>#DIV/0!</v>
      </c>
      <c r="AU40" s="208"/>
      <c r="AV40" s="209"/>
      <c r="AW40" s="9" t="str">
        <f t="shared" si="13"/>
        <v>0</v>
      </c>
      <c r="AX40" s="7" t="e">
        <f t="shared" si="1"/>
        <v>#DIV/0!</v>
      </c>
      <c r="AY40" s="18" t="e">
        <f t="shared" si="1"/>
        <v>#DIV/0!</v>
      </c>
      <c r="AZ40" s="232"/>
      <c r="BA40" s="4" t="e">
        <f t="shared" si="2"/>
        <v>#DIV/0!</v>
      </c>
      <c r="BB40" s="4" t="e">
        <f t="shared" si="14"/>
        <v>#DIV/0!</v>
      </c>
      <c r="BC40" s="4" t="e">
        <f t="shared" si="15"/>
        <v>#DIV/0!</v>
      </c>
      <c r="BD40" s="4">
        <f t="shared" si="16"/>
        <v>0</v>
      </c>
      <c r="BE40" s="12" t="e">
        <f t="shared" si="3"/>
        <v>#DIV/0!</v>
      </c>
      <c r="BF40" s="4" t="e">
        <f t="shared" si="17"/>
        <v>#DIV/0!</v>
      </c>
      <c r="BG40" s="4" t="e">
        <f t="shared" si="18"/>
        <v>#DIV/0!</v>
      </c>
      <c r="BH40" s="4" t="e">
        <f t="shared" si="19"/>
        <v>#DIV/0!</v>
      </c>
      <c r="BI40" s="4">
        <f t="shared" si="20"/>
        <v>0</v>
      </c>
      <c r="BJ40" s="12" t="e">
        <f t="shared" si="4"/>
        <v>#DIV/0!</v>
      </c>
      <c r="BK40" s="12" t="e">
        <f t="shared" si="5"/>
        <v>#DIV/0!</v>
      </c>
      <c r="BL40" s="12"/>
      <c r="BM40" s="10"/>
      <c r="BN40" s="176"/>
      <c r="BO40" s="12" t="e">
        <f t="shared" si="6"/>
        <v>#DIV/0!</v>
      </c>
      <c r="BP40" s="11"/>
      <c r="BQ40" s="6"/>
      <c r="BR40" s="6"/>
    </row>
    <row r="41" spans="1:70" ht="20.25" customHeight="1">
      <c r="A41" s="332">
        <v>15</v>
      </c>
      <c r="B41" s="324"/>
      <c r="C41" s="324"/>
      <c r="D41" s="323"/>
      <c r="E41" s="21">
        <v>1</v>
      </c>
      <c r="F41" s="17"/>
      <c r="G41" s="17"/>
      <c r="H41" s="17"/>
      <c r="I41" s="17"/>
      <c r="J41" s="17"/>
      <c r="K41" s="8" t="e">
        <f t="shared" si="7"/>
        <v>#DIV/0!</v>
      </c>
      <c r="L41" s="17"/>
      <c r="M41" s="17"/>
      <c r="N41" s="17"/>
      <c r="O41" s="17"/>
      <c r="P41" s="17"/>
      <c r="Q41" s="9" t="e">
        <f t="shared" si="23"/>
        <v>#DIV/0!</v>
      </c>
      <c r="R41" s="17"/>
      <c r="S41" s="17"/>
      <c r="T41" s="17"/>
      <c r="U41" s="17"/>
      <c r="V41" s="17"/>
      <c r="W41" s="9" t="e">
        <f t="shared" si="8"/>
        <v>#DIV/0!</v>
      </c>
      <c r="X41" s="233"/>
      <c r="Y41" s="234"/>
      <c r="Z41" s="9" t="str">
        <f t="shared" si="9"/>
        <v>0</v>
      </c>
      <c r="AA41" s="7" t="e">
        <f t="shared" si="0"/>
        <v>#DIV/0!</v>
      </c>
      <c r="AB41" s="365"/>
      <c r="AC41" s="17"/>
      <c r="AD41" s="17"/>
      <c r="AE41" s="17"/>
      <c r="AF41" s="17"/>
      <c r="AG41" s="17"/>
      <c r="AH41" s="9" t="e">
        <f t="shared" si="10"/>
        <v>#DIV/0!</v>
      </c>
      <c r="AI41" s="17"/>
      <c r="AJ41" s="17"/>
      <c r="AK41" s="17"/>
      <c r="AL41" s="17"/>
      <c r="AM41" s="17"/>
      <c r="AN41" s="9" t="e">
        <f t="shared" si="11"/>
        <v>#DIV/0!</v>
      </c>
      <c r="AO41" s="17"/>
      <c r="AP41" s="17"/>
      <c r="AQ41" s="17"/>
      <c r="AR41" s="17"/>
      <c r="AS41" s="17"/>
      <c r="AT41" s="9" t="e">
        <f t="shared" si="12"/>
        <v>#DIV/0!</v>
      </c>
      <c r="AU41" s="208"/>
      <c r="AV41" s="209"/>
      <c r="AW41" s="9" t="str">
        <f t="shared" si="13"/>
        <v>0</v>
      </c>
      <c r="AX41" s="7" t="e">
        <f t="shared" si="1"/>
        <v>#DIV/0!</v>
      </c>
      <c r="AY41" s="18" t="e">
        <f t="shared" si="1"/>
        <v>#DIV/0!</v>
      </c>
      <c r="AZ41" s="231" t="e">
        <f t="shared" ref="AZ41" si="44">IF(BP41&gt;=4.5, " 5 ", IF(BP41&gt;=3.5," 4 ",IF(BP41&gt;=2.5," 3  ",IF(BP41&gt;=1.5," 2 ",IF(BP41&gt;=1,"1 ",IF(BP41&gt;=0,"0"))))))</f>
        <v>#DIV/0!</v>
      </c>
      <c r="BA41" s="4" t="e">
        <f t="shared" si="2"/>
        <v>#DIV/0!</v>
      </c>
      <c r="BB41" s="4" t="e">
        <f t="shared" si="14"/>
        <v>#DIV/0!</v>
      </c>
      <c r="BC41" s="4" t="e">
        <f t="shared" si="15"/>
        <v>#DIV/0!</v>
      </c>
      <c r="BD41" s="4">
        <f t="shared" si="16"/>
        <v>0</v>
      </c>
      <c r="BE41" s="12" t="e">
        <f t="shared" si="3"/>
        <v>#DIV/0!</v>
      </c>
      <c r="BF41" s="4" t="e">
        <f t="shared" si="17"/>
        <v>#DIV/0!</v>
      </c>
      <c r="BG41" s="4" t="e">
        <f t="shared" si="18"/>
        <v>#DIV/0!</v>
      </c>
      <c r="BH41" s="4" t="e">
        <f t="shared" si="19"/>
        <v>#DIV/0!</v>
      </c>
      <c r="BI41" s="4">
        <f t="shared" si="20"/>
        <v>0</v>
      </c>
      <c r="BJ41" s="12" t="e">
        <f t="shared" si="4"/>
        <v>#DIV/0!</v>
      </c>
      <c r="BK41" s="12" t="e">
        <f t="shared" si="5"/>
        <v>#DIV/0!</v>
      </c>
      <c r="BL41" s="12" t="e">
        <f>(BE41+BJ41)/2</f>
        <v>#DIV/0!</v>
      </c>
      <c r="BM41" s="10" t="e">
        <f t="shared" si="21"/>
        <v>#DIV/0!</v>
      </c>
      <c r="BN41" s="176" t="e">
        <f t="shared" si="33"/>
        <v>#DIV/0!</v>
      </c>
      <c r="BO41" s="12" t="e">
        <f t="shared" si="6"/>
        <v>#DIV/0!</v>
      </c>
      <c r="BP41" s="11" t="e">
        <f t="shared" si="25"/>
        <v>#DIV/0!</v>
      </c>
      <c r="BQ41" s="6"/>
      <c r="BR41" s="6"/>
    </row>
    <row r="42" spans="1:70" ht="20.25" customHeight="1" thickBot="1">
      <c r="A42" s="333"/>
      <c r="B42" s="324"/>
      <c r="C42" s="324"/>
      <c r="D42" s="323"/>
      <c r="E42" s="20">
        <v>2</v>
      </c>
      <c r="F42" s="17"/>
      <c r="G42" s="17"/>
      <c r="H42" s="17"/>
      <c r="I42" s="17"/>
      <c r="J42" s="17"/>
      <c r="K42" s="8" t="e">
        <f t="shared" si="7"/>
        <v>#DIV/0!</v>
      </c>
      <c r="L42" s="17"/>
      <c r="M42" s="17"/>
      <c r="N42" s="17"/>
      <c r="O42" s="17"/>
      <c r="P42" s="17"/>
      <c r="Q42" s="9" t="e">
        <f t="shared" si="23"/>
        <v>#DIV/0!</v>
      </c>
      <c r="R42" s="17"/>
      <c r="S42" s="17"/>
      <c r="T42" s="17"/>
      <c r="U42" s="17"/>
      <c r="V42" s="17"/>
      <c r="W42" s="9" t="e">
        <f t="shared" si="8"/>
        <v>#DIV/0!</v>
      </c>
      <c r="X42" s="233"/>
      <c r="Y42" s="234"/>
      <c r="Z42" s="9" t="str">
        <f t="shared" si="9"/>
        <v>0</v>
      </c>
      <c r="AA42" s="7" t="e">
        <f t="shared" si="0"/>
        <v>#DIV/0!</v>
      </c>
      <c r="AB42" s="365"/>
      <c r="AC42" s="17"/>
      <c r="AD42" s="17"/>
      <c r="AE42" s="17"/>
      <c r="AF42" s="17"/>
      <c r="AG42" s="17"/>
      <c r="AH42" s="9" t="e">
        <f t="shared" si="10"/>
        <v>#DIV/0!</v>
      </c>
      <c r="AI42" s="17"/>
      <c r="AJ42" s="17"/>
      <c r="AK42" s="17"/>
      <c r="AL42" s="17"/>
      <c r="AM42" s="17"/>
      <c r="AN42" s="9" t="e">
        <f t="shared" si="11"/>
        <v>#DIV/0!</v>
      </c>
      <c r="AO42" s="17"/>
      <c r="AP42" s="17"/>
      <c r="AQ42" s="17"/>
      <c r="AR42" s="17"/>
      <c r="AS42" s="17"/>
      <c r="AT42" s="9" t="e">
        <f t="shared" si="12"/>
        <v>#DIV/0!</v>
      </c>
      <c r="AU42" s="208"/>
      <c r="AV42" s="209"/>
      <c r="AW42" s="9" t="str">
        <f t="shared" si="13"/>
        <v>0</v>
      </c>
      <c r="AX42" s="7" t="e">
        <f t="shared" si="1"/>
        <v>#DIV/0!</v>
      </c>
      <c r="AY42" s="18" t="e">
        <f t="shared" si="1"/>
        <v>#DIV/0!</v>
      </c>
      <c r="AZ42" s="232"/>
      <c r="BA42" s="4" t="e">
        <f t="shared" si="2"/>
        <v>#DIV/0!</v>
      </c>
      <c r="BB42" s="4" t="e">
        <f t="shared" si="14"/>
        <v>#DIV/0!</v>
      </c>
      <c r="BC42" s="4" t="e">
        <f t="shared" si="15"/>
        <v>#DIV/0!</v>
      </c>
      <c r="BD42" s="4">
        <f t="shared" si="16"/>
        <v>0</v>
      </c>
      <c r="BE42" s="12" t="e">
        <f t="shared" si="3"/>
        <v>#DIV/0!</v>
      </c>
      <c r="BF42" s="4" t="e">
        <f t="shared" si="17"/>
        <v>#DIV/0!</v>
      </c>
      <c r="BG42" s="4" t="e">
        <f t="shared" si="18"/>
        <v>#DIV/0!</v>
      </c>
      <c r="BH42" s="4" t="e">
        <f t="shared" si="19"/>
        <v>#DIV/0!</v>
      </c>
      <c r="BI42" s="4">
        <f t="shared" si="20"/>
        <v>0</v>
      </c>
      <c r="BJ42" s="12" t="e">
        <f t="shared" si="4"/>
        <v>#DIV/0!</v>
      </c>
      <c r="BK42" s="12" t="e">
        <f t="shared" si="5"/>
        <v>#DIV/0!</v>
      </c>
      <c r="BL42" s="12"/>
      <c r="BM42" s="10"/>
      <c r="BN42" s="176"/>
      <c r="BO42" s="12" t="e">
        <f t="shared" si="6"/>
        <v>#DIV/0!</v>
      </c>
      <c r="BP42" s="11"/>
      <c r="BQ42" s="6"/>
      <c r="BR42" s="6"/>
    </row>
    <row r="43" spans="1:70" ht="20.25" customHeight="1">
      <c r="A43" s="332">
        <v>16</v>
      </c>
      <c r="B43" s="324"/>
      <c r="C43" s="324"/>
      <c r="D43" s="323"/>
      <c r="E43" s="22">
        <v>1</v>
      </c>
      <c r="F43" s="17"/>
      <c r="G43" s="17"/>
      <c r="H43" s="17"/>
      <c r="I43" s="17"/>
      <c r="J43" s="17"/>
      <c r="K43" s="8" t="e">
        <f t="shared" si="7"/>
        <v>#DIV/0!</v>
      </c>
      <c r="L43" s="17"/>
      <c r="M43" s="17"/>
      <c r="N43" s="17"/>
      <c r="O43" s="17"/>
      <c r="P43" s="17"/>
      <c r="Q43" s="9" t="e">
        <f t="shared" si="23"/>
        <v>#DIV/0!</v>
      </c>
      <c r="R43" s="17"/>
      <c r="S43" s="17"/>
      <c r="T43" s="17"/>
      <c r="U43" s="17"/>
      <c r="V43" s="17"/>
      <c r="W43" s="9" t="e">
        <f t="shared" si="8"/>
        <v>#DIV/0!</v>
      </c>
      <c r="X43" s="233"/>
      <c r="Y43" s="234"/>
      <c r="Z43" s="9" t="str">
        <f t="shared" si="9"/>
        <v>0</v>
      </c>
      <c r="AA43" s="7" t="e">
        <f t="shared" si="0"/>
        <v>#DIV/0!</v>
      </c>
      <c r="AB43" s="365"/>
      <c r="AC43" s="17"/>
      <c r="AD43" s="17"/>
      <c r="AE43" s="17"/>
      <c r="AF43" s="17"/>
      <c r="AG43" s="17"/>
      <c r="AH43" s="9" t="e">
        <f t="shared" si="10"/>
        <v>#DIV/0!</v>
      </c>
      <c r="AI43" s="17"/>
      <c r="AJ43" s="17"/>
      <c r="AK43" s="17"/>
      <c r="AL43" s="17"/>
      <c r="AM43" s="17"/>
      <c r="AN43" s="9" t="e">
        <f t="shared" si="11"/>
        <v>#DIV/0!</v>
      </c>
      <c r="AO43" s="17"/>
      <c r="AP43" s="17"/>
      <c r="AQ43" s="17"/>
      <c r="AR43" s="17"/>
      <c r="AS43" s="17"/>
      <c r="AT43" s="9" t="e">
        <f t="shared" si="12"/>
        <v>#DIV/0!</v>
      </c>
      <c r="AU43" s="208"/>
      <c r="AV43" s="209"/>
      <c r="AW43" s="9" t="str">
        <f t="shared" si="13"/>
        <v>0</v>
      </c>
      <c r="AX43" s="7" t="e">
        <f t="shared" si="1"/>
        <v>#DIV/0!</v>
      </c>
      <c r="AY43" s="18" t="e">
        <f t="shared" si="1"/>
        <v>#DIV/0!</v>
      </c>
      <c r="AZ43" s="231" t="e">
        <f t="shared" ref="AZ43" si="45">IF(BP43&gt;=4.5, " 5 ", IF(BP43&gt;=3.5," 4 ",IF(BP43&gt;=2.5," 3  ",IF(BP43&gt;=1.5," 2 ",IF(BP43&gt;=1,"1 ",IF(BP43&gt;=0,"0"))))))</f>
        <v>#DIV/0!</v>
      </c>
      <c r="BA43" s="4" t="e">
        <f t="shared" si="2"/>
        <v>#DIV/0!</v>
      </c>
      <c r="BB43" s="4" t="e">
        <f t="shared" si="14"/>
        <v>#DIV/0!</v>
      </c>
      <c r="BC43" s="4" t="e">
        <f t="shared" si="15"/>
        <v>#DIV/0!</v>
      </c>
      <c r="BD43" s="4">
        <f t="shared" si="16"/>
        <v>0</v>
      </c>
      <c r="BE43" s="12" t="e">
        <f t="shared" si="3"/>
        <v>#DIV/0!</v>
      </c>
      <c r="BF43" s="4" t="e">
        <f t="shared" si="17"/>
        <v>#DIV/0!</v>
      </c>
      <c r="BG43" s="4" t="e">
        <f t="shared" si="18"/>
        <v>#DIV/0!</v>
      </c>
      <c r="BH43" s="4" t="e">
        <f t="shared" si="19"/>
        <v>#DIV/0!</v>
      </c>
      <c r="BI43" s="4">
        <f t="shared" si="20"/>
        <v>0</v>
      </c>
      <c r="BJ43" s="12" t="e">
        <f t="shared" si="4"/>
        <v>#DIV/0!</v>
      </c>
      <c r="BK43" s="12" t="e">
        <f t="shared" si="5"/>
        <v>#DIV/0!</v>
      </c>
      <c r="BL43" s="12" t="e">
        <f>(BE43+BJ43)/2</f>
        <v>#DIV/0!</v>
      </c>
      <c r="BM43" s="10" t="e">
        <f t="shared" si="21"/>
        <v>#DIV/0!</v>
      </c>
      <c r="BN43" s="176" t="e">
        <f t="shared" si="35"/>
        <v>#DIV/0!</v>
      </c>
      <c r="BO43" s="12" t="e">
        <f t="shared" si="6"/>
        <v>#DIV/0!</v>
      </c>
      <c r="BP43" s="11" t="e">
        <f t="shared" si="25"/>
        <v>#DIV/0!</v>
      </c>
      <c r="BQ43" s="6"/>
      <c r="BR43" s="6"/>
    </row>
    <row r="44" spans="1:70" ht="20.25" customHeight="1" thickBot="1">
      <c r="A44" s="333"/>
      <c r="B44" s="324"/>
      <c r="C44" s="324"/>
      <c r="D44" s="323"/>
      <c r="E44" s="23">
        <v>2</v>
      </c>
      <c r="F44" s="17"/>
      <c r="G44" s="17"/>
      <c r="H44" s="17"/>
      <c r="I44" s="17"/>
      <c r="J44" s="17"/>
      <c r="K44" s="8" t="e">
        <f t="shared" si="7"/>
        <v>#DIV/0!</v>
      </c>
      <c r="L44" s="17"/>
      <c r="M44" s="17"/>
      <c r="N44" s="17"/>
      <c r="O44" s="17"/>
      <c r="P44" s="17"/>
      <c r="Q44" s="9" t="e">
        <f t="shared" si="23"/>
        <v>#DIV/0!</v>
      </c>
      <c r="R44" s="17"/>
      <c r="S44" s="17"/>
      <c r="T44" s="17"/>
      <c r="U44" s="17"/>
      <c r="V44" s="17"/>
      <c r="W44" s="9" t="e">
        <f t="shared" si="8"/>
        <v>#DIV/0!</v>
      </c>
      <c r="X44" s="233"/>
      <c r="Y44" s="234"/>
      <c r="Z44" s="9" t="str">
        <f t="shared" si="9"/>
        <v>0</v>
      </c>
      <c r="AA44" s="7" t="e">
        <f t="shared" si="0"/>
        <v>#DIV/0!</v>
      </c>
      <c r="AB44" s="365"/>
      <c r="AC44" s="17"/>
      <c r="AD44" s="17"/>
      <c r="AE44" s="17"/>
      <c r="AF44" s="17"/>
      <c r="AG44" s="17"/>
      <c r="AH44" s="9" t="e">
        <f t="shared" si="10"/>
        <v>#DIV/0!</v>
      </c>
      <c r="AI44" s="17"/>
      <c r="AJ44" s="17"/>
      <c r="AK44" s="17"/>
      <c r="AL44" s="17"/>
      <c r="AM44" s="17"/>
      <c r="AN44" s="9" t="e">
        <f t="shared" si="11"/>
        <v>#DIV/0!</v>
      </c>
      <c r="AO44" s="17"/>
      <c r="AP44" s="17"/>
      <c r="AQ44" s="17"/>
      <c r="AR44" s="17"/>
      <c r="AS44" s="17"/>
      <c r="AT44" s="9" t="e">
        <f t="shared" si="12"/>
        <v>#DIV/0!</v>
      </c>
      <c r="AU44" s="208"/>
      <c r="AV44" s="209"/>
      <c r="AW44" s="9" t="str">
        <f t="shared" si="13"/>
        <v>0</v>
      </c>
      <c r="AX44" s="7" t="e">
        <f t="shared" si="1"/>
        <v>#DIV/0!</v>
      </c>
      <c r="AY44" s="18" t="e">
        <f t="shared" si="1"/>
        <v>#DIV/0!</v>
      </c>
      <c r="AZ44" s="232"/>
      <c r="BA44" s="4" t="e">
        <f t="shared" si="2"/>
        <v>#DIV/0!</v>
      </c>
      <c r="BB44" s="4" t="e">
        <f t="shared" si="14"/>
        <v>#DIV/0!</v>
      </c>
      <c r="BC44" s="4" t="e">
        <f t="shared" si="15"/>
        <v>#DIV/0!</v>
      </c>
      <c r="BD44" s="4">
        <f t="shared" si="16"/>
        <v>0</v>
      </c>
      <c r="BE44" s="12" t="e">
        <f t="shared" si="3"/>
        <v>#DIV/0!</v>
      </c>
      <c r="BF44" s="4" t="e">
        <f t="shared" si="17"/>
        <v>#DIV/0!</v>
      </c>
      <c r="BG44" s="4" t="e">
        <f t="shared" si="18"/>
        <v>#DIV/0!</v>
      </c>
      <c r="BH44" s="4" t="e">
        <f t="shared" si="19"/>
        <v>#DIV/0!</v>
      </c>
      <c r="BI44" s="4">
        <f t="shared" si="20"/>
        <v>0</v>
      </c>
      <c r="BJ44" s="12" t="e">
        <f t="shared" si="4"/>
        <v>#DIV/0!</v>
      </c>
      <c r="BK44" s="12" t="e">
        <f t="shared" si="5"/>
        <v>#DIV/0!</v>
      </c>
      <c r="BL44" s="12"/>
      <c r="BM44" s="10"/>
      <c r="BN44" s="176"/>
      <c r="BO44" s="12" t="e">
        <f t="shared" si="6"/>
        <v>#DIV/0!</v>
      </c>
      <c r="BP44" s="11"/>
      <c r="BQ44" s="6"/>
      <c r="BR44" s="6"/>
    </row>
    <row r="45" spans="1:70" ht="20.25" customHeight="1">
      <c r="A45" s="332">
        <v>17</v>
      </c>
      <c r="B45" s="324"/>
      <c r="C45" s="324"/>
      <c r="D45" s="323"/>
      <c r="E45" s="22">
        <v>1</v>
      </c>
      <c r="F45" s="17"/>
      <c r="G45" s="17"/>
      <c r="H45" s="17"/>
      <c r="I45" s="17"/>
      <c r="J45" s="17"/>
      <c r="K45" s="8" t="e">
        <f t="shared" si="7"/>
        <v>#DIV/0!</v>
      </c>
      <c r="L45" s="17"/>
      <c r="M45" s="17"/>
      <c r="N45" s="17"/>
      <c r="O45" s="17"/>
      <c r="P45" s="17"/>
      <c r="Q45" s="9" t="e">
        <f t="shared" si="23"/>
        <v>#DIV/0!</v>
      </c>
      <c r="R45" s="17"/>
      <c r="S45" s="17"/>
      <c r="T45" s="17"/>
      <c r="U45" s="17"/>
      <c r="V45" s="17"/>
      <c r="W45" s="9" t="e">
        <f t="shared" si="8"/>
        <v>#DIV/0!</v>
      </c>
      <c r="X45" s="233"/>
      <c r="Y45" s="234"/>
      <c r="Z45" s="9" t="str">
        <f t="shared" si="9"/>
        <v>0</v>
      </c>
      <c r="AA45" s="7" t="e">
        <f t="shared" si="0"/>
        <v>#DIV/0!</v>
      </c>
      <c r="AB45" s="365"/>
      <c r="AC45" s="17"/>
      <c r="AD45" s="17"/>
      <c r="AE45" s="17"/>
      <c r="AF45" s="17"/>
      <c r="AG45" s="17"/>
      <c r="AH45" s="9" t="e">
        <f t="shared" si="10"/>
        <v>#DIV/0!</v>
      </c>
      <c r="AI45" s="17"/>
      <c r="AJ45" s="17"/>
      <c r="AK45" s="17"/>
      <c r="AL45" s="17"/>
      <c r="AM45" s="17"/>
      <c r="AN45" s="9" t="e">
        <f t="shared" si="11"/>
        <v>#DIV/0!</v>
      </c>
      <c r="AO45" s="17"/>
      <c r="AP45" s="17"/>
      <c r="AQ45" s="17"/>
      <c r="AR45" s="17"/>
      <c r="AS45" s="17"/>
      <c r="AT45" s="9" t="e">
        <f t="shared" si="12"/>
        <v>#DIV/0!</v>
      </c>
      <c r="AU45" s="208"/>
      <c r="AV45" s="209"/>
      <c r="AW45" s="9" t="str">
        <f t="shared" si="13"/>
        <v>0</v>
      </c>
      <c r="AX45" s="7" t="e">
        <f t="shared" si="1"/>
        <v>#DIV/0!</v>
      </c>
      <c r="AY45" s="18" t="e">
        <f t="shared" si="1"/>
        <v>#DIV/0!</v>
      </c>
      <c r="AZ45" s="231" t="e">
        <f t="shared" ref="AZ45" si="46">IF(BP45&gt;=4.5, " 5 ", IF(BP45&gt;=3.5," 4 ",IF(BP45&gt;=2.5," 3  ",IF(BP45&gt;=1.5," 2 ",IF(BP45&gt;=1,"1 ",IF(BP45&gt;=0,"0"))))))</f>
        <v>#DIV/0!</v>
      </c>
      <c r="BA45" s="4" t="e">
        <f t="shared" si="2"/>
        <v>#DIV/0!</v>
      </c>
      <c r="BB45" s="4" t="e">
        <f t="shared" si="14"/>
        <v>#DIV/0!</v>
      </c>
      <c r="BC45" s="4" t="e">
        <f t="shared" si="15"/>
        <v>#DIV/0!</v>
      </c>
      <c r="BD45" s="4">
        <f t="shared" si="16"/>
        <v>0</v>
      </c>
      <c r="BE45" s="12" t="e">
        <f t="shared" si="3"/>
        <v>#DIV/0!</v>
      </c>
      <c r="BF45" s="4" t="e">
        <f t="shared" si="17"/>
        <v>#DIV/0!</v>
      </c>
      <c r="BG45" s="4" t="e">
        <f t="shared" si="18"/>
        <v>#DIV/0!</v>
      </c>
      <c r="BH45" s="4" t="e">
        <f t="shared" si="19"/>
        <v>#DIV/0!</v>
      </c>
      <c r="BI45" s="4">
        <f t="shared" si="20"/>
        <v>0</v>
      </c>
      <c r="BJ45" s="12" t="e">
        <f t="shared" si="4"/>
        <v>#DIV/0!</v>
      </c>
      <c r="BK45" s="12" t="e">
        <f t="shared" si="5"/>
        <v>#DIV/0!</v>
      </c>
      <c r="BL45" s="12" t="e">
        <f>(BE45+BJ45)/2</f>
        <v>#DIV/0!</v>
      </c>
      <c r="BM45" s="10" t="e">
        <f t="shared" si="21"/>
        <v>#DIV/0!</v>
      </c>
      <c r="BN45" s="176" t="e">
        <f t="shared" ref="BN45" si="47">ROUND(BO46,)</f>
        <v>#DIV/0!</v>
      </c>
      <c r="BO45" s="12" t="e">
        <f t="shared" si="6"/>
        <v>#DIV/0!</v>
      </c>
      <c r="BP45" s="11" t="e">
        <f t="shared" si="25"/>
        <v>#DIV/0!</v>
      </c>
      <c r="BQ45" s="6"/>
      <c r="BR45" s="6"/>
    </row>
    <row r="46" spans="1:70" ht="20.25" customHeight="1" thickBot="1">
      <c r="A46" s="333"/>
      <c r="B46" s="324"/>
      <c r="C46" s="324"/>
      <c r="D46" s="323"/>
      <c r="E46" s="23">
        <v>2</v>
      </c>
      <c r="F46" s="17"/>
      <c r="G46" s="17"/>
      <c r="H46" s="17"/>
      <c r="I46" s="17"/>
      <c r="J46" s="17"/>
      <c r="K46" s="8" t="e">
        <f t="shared" si="7"/>
        <v>#DIV/0!</v>
      </c>
      <c r="L46" s="17"/>
      <c r="M46" s="17"/>
      <c r="N46" s="17"/>
      <c r="O46" s="17"/>
      <c r="P46" s="17"/>
      <c r="Q46" s="9" t="e">
        <f t="shared" si="23"/>
        <v>#DIV/0!</v>
      </c>
      <c r="R46" s="17"/>
      <c r="S46" s="17"/>
      <c r="T46" s="17"/>
      <c r="U46" s="17"/>
      <c r="V46" s="17"/>
      <c r="W46" s="9" t="e">
        <f t="shared" si="8"/>
        <v>#DIV/0!</v>
      </c>
      <c r="X46" s="233"/>
      <c r="Y46" s="234"/>
      <c r="Z46" s="9" t="str">
        <f t="shared" si="9"/>
        <v>0</v>
      </c>
      <c r="AA46" s="7" t="e">
        <f t="shared" si="0"/>
        <v>#DIV/0!</v>
      </c>
      <c r="AB46" s="365"/>
      <c r="AC46" s="17"/>
      <c r="AD46" s="17"/>
      <c r="AE46" s="17"/>
      <c r="AF46" s="17"/>
      <c r="AG46" s="17"/>
      <c r="AH46" s="9" t="e">
        <f t="shared" si="10"/>
        <v>#DIV/0!</v>
      </c>
      <c r="AI46" s="17"/>
      <c r="AJ46" s="17"/>
      <c r="AK46" s="17"/>
      <c r="AL46" s="17"/>
      <c r="AM46" s="17"/>
      <c r="AN46" s="9" t="e">
        <f t="shared" si="11"/>
        <v>#DIV/0!</v>
      </c>
      <c r="AO46" s="17"/>
      <c r="AP46" s="17"/>
      <c r="AQ46" s="17"/>
      <c r="AR46" s="17"/>
      <c r="AS46" s="17"/>
      <c r="AT46" s="9" t="e">
        <f t="shared" si="12"/>
        <v>#DIV/0!</v>
      </c>
      <c r="AU46" s="208"/>
      <c r="AV46" s="209"/>
      <c r="AW46" s="9" t="str">
        <f t="shared" si="13"/>
        <v>0</v>
      </c>
      <c r="AX46" s="7" t="e">
        <f t="shared" si="1"/>
        <v>#DIV/0!</v>
      </c>
      <c r="AY46" s="18" t="e">
        <f t="shared" si="1"/>
        <v>#DIV/0!</v>
      </c>
      <c r="AZ46" s="232"/>
      <c r="BA46" s="4" t="e">
        <f t="shared" si="2"/>
        <v>#DIV/0!</v>
      </c>
      <c r="BB46" s="4" t="e">
        <f t="shared" si="14"/>
        <v>#DIV/0!</v>
      </c>
      <c r="BC46" s="4" t="e">
        <f t="shared" si="15"/>
        <v>#DIV/0!</v>
      </c>
      <c r="BD46" s="4">
        <f t="shared" si="16"/>
        <v>0</v>
      </c>
      <c r="BE46" s="12" t="e">
        <f t="shared" si="3"/>
        <v>#DIV/0!</v>
      </c>
      <c r="BF46" s="4" t="e">
        <f t="shared" si="17"/>
        <v>#DIV/0!</v>
      </c>
      <c r="BG46" s="4" t="e">
        <f t="shared" si="18"/>
        <v>#DIV/0!</v>
      </c>
      <c r="BH46" s="4" t="e">
        <f t="shared" si="19"/>
        <v>#DIV/0!</v>
      </c>
      <c r="BI46" s="4">
        <f t="shared" si="20"/>
        <v>0</v>
      </c>
      <c r="BJ46" s="12" t="e">
        <f t="shared" si="4"/>
        <v>#DIV/0!</v>
      </c>
      <c r="BK46" s="12" t="e">
        <f t="shared" si="5"/>
        <v>#DIV/0!</v>
      </c>
      <c r="BL46" s="12"/>
      <c r="BM46" s="10"/>
      <c r="BN46" s="176"/>
      <c r="BO46" s="12" t="e">
        <f t="shared" si="6"/>
        <v>#DIV/0!</v>
      </c>
      <c r="BP46" s="11"/>
      <c r="BQ46" s="6"/>
      <c r="BR46" s="6"/>
    </row>
    <row r="47" spans="1:70" ht="20.25" customHeight="1">
      <c r="A47" s="332">
        <v>18</v>
      </c>
      <c r="B47" s="324"/>
      <c r="C47" s="324"/>
      <c r="D47" s="323"/>
      <c r="E47" s="22">
        <v>1</v>
      </c>
      <c r="F47" s="17"/>
      <c r="G47" s="17"/>
      <c r="H47" s="17"/>
      <c r="I47" s="17"/>
      <c r="J47" s="17"/>
      <c r="K47" s="8" t="e">
        <f t="shared" si="7"/>
        <v>#DIV/0!</v>
      </c>
      <c r="L47" s="17"/>
      <c r="M47" s="17"/>
      <c r="N47" s="17"/>
      <c r="O47" s="17"/>
      <c r="P47" s="17"/>
      <c r="Q47" s="9" t="e">
        <f t="shared" si="23"/>
        <v>#DIV/0!</v>
      </c>
      <c r="R47" s="17"/>
      <c r="S47" s="17"/>
      <c r="T47" s="17"/>
      <c r="U47" s="17"/>
      <c r="V47" s="17"/>
      <c r="W47" s="9" t="e">
        <f t="shared" si="8"/>
        <v>#DIV/0!</v>
      </c>
      <c r="X47" s="233"/>
      <c r="Y47" s="234"/>
      <c r="Z47" s="9" t="str">
        <f t="shared" si="9"/>
        <v>0</v>
      </c>
      <c r="AA47" s="7" t="e">
        <f t="shared" si="0"/>
        <v>#DIV/0!</v>
      </c>
      <c r="AB47" s="365"/>
      <c r="AC47" s="17"/>
      <c r="AD47" s="17"/>
      <c r="AE47" s="17"/>
      <c r="AF47" s="17"/>
      <c r="AG47" s="17"/>
      <c r="AH47" s="9" t="e">
        <f t="shared" si="10"/>
        <v>#DIV/0!</v>
      </c>
      <c r="AI47" s="17"/>
      <c r="AJ47" s="17"/>
      <c r="AK47" s="17"/>
      <c r="AL47" s="17"/>
      <c r="AM47" s="17"/>
      <c r="AN47" s="9" t="e">
        <f t="shared" si="11"/>
        <v>#DIV/0!</v>
      </c>
      <c r="AO47" s="17"/>
      <c r="AP47" s="17"/>
      <c r="AQ47" s="17"/>
      <c r="AR47" s="17"/>
      <c r="AS47" s="17"/>
      <c r="AT47" s="9" t="e">
        <f t="shared" si="12"/>
        <v>#DIV/0!</v>
      </c>
      <c r="AU47" s="208"/>
      <c r="AV47" s="209"/>
      <c r="AW47" s="9" t="str">
        <f t="shared" si="13"/>
        <v>0</v>
      </c>
      <c r="AX47" s="7" t="e">
        <f t="shared" si="1"/>
        <v>#DIV/0!</v>
      </c>
      <c r="AY47" s="18" t="e">
        <f t="shared" si="1"/>
        <v>#DIV/0!</v>
      </c>
      <c r="AZ47" s="231" t="e">
        <f t="shared" ref="AZ47" si="48">IF(BP47&gt;=4.5, " 5 ", IF(BP47&gt;=3.5," 4 ",IF(BP47&gt;=2.5," 3  ",IF(BP47&gt;=1.5," 2 ",IF(BP47&gt;=1,"1 ",IF(BP47&gt;=0,"0"))))))</f>
        <v>#DIV/0!</v>
      </c>
      <c r="BA47" s="4" t="e">
        <f t="shared" si="2"/>
        <v>#DIV/0!</v>
      </c>
      <c r="BB47" s="4" t="e">
        <f t="shared" si="14"/>
        <v>#DIV/0!</v>
      </c>
      <c r="BC47" s="4" t="e">
        <f t="shared" si="15"/>
        <v>#DIV/0!</v>
      </c>
      <c r="BD47" s="4">
        <f t="shared" si="16"/>
        <v>0</v>
      </c>
      <c r="BE47" s="12" t="e">
        <f t="shared" si="3"/>
        <v>#DIV/0!</v>
      </c>
      <c r="BF47" s="4" t="e">
        <f t="shared" si="17"/>
        <v>#DIV/0!</v>
      </c>
      <c r="BG47" s="4" t="e">
        <f t="shared" si="18"/>
        <v>#DIV/0!</v>
      </c>
      <c r="BH47" s="4" t="e">
        <f t="shared" si="19"/>
        <v>#DIV/0!</v>
      </c>
      <c r="BI47" s="4">
        <f t="shared" si="20"/>
        <v>0</v>
      </c>
      <c r="BJ47" s="12" t="e">
        <f t="shared" si="4"/>
        <v>#DIV/0!</v>
      </c>
      <c r="BK47" s="12" t="e">
        <f t="shared" si="5"/>
        <v>#DIV/0!</v>
      </c>
      <c r="BL47" s="12" t="e">
        <f>(BE47+BJ47)/2</f>
        <v>#DIV/0!</v>
      </c>
      <c r="BM47" s="10" t="e">
        <f t="shared" si="21"/>
        <v>#DIV/0!</v>
      </c>
      <c r="BN47" s="176" t="e">
        <f t="shared" si="31"/>
        <v>#DIV/0!</v>
      </c>
      <c r="BO47" s="12" t="e">
        <f t="shared" si="6"/>
        <v>#DIV/0!</v>
      </c>
      <c r="BP47" s="11" t="e">
        <f t="shared" si="25"/>
        <v>#DIV/0!</v>
      </c>
      <c r="BQ47" s="6"/>
      <c r="BR47" s="6"/>
    </row>
    <row r="48" spans="1:70" ht="20.25" customHeight="1" thickBot="1">
      <c r="A48" s="333"/>
      <c r="B48" s="324"/>
      <c r="C48" s="324"/>
      <c r="D48" s="323"/>
      <c r="E48" s="23">
        <v>2</v>
      </c>
      <c r="F48" s="17"/>
      <c r="G48" s="17"/>
      <c r="H48" s="17"/>
      <c r="I48" s="17"/>
      <c r="J48" s="17"/>
      <c r="K48" s="8" t="e">
        <f t="shared" si="7"/>
        <v>#DIV/0!</v>
      </c>
      <c r="L48" s="17"/>
      <c r="M48" s="17"/>
      <c r="N48" s="17"/>
      <c r="O48" s="17"/>
      <c r="P48" s="17"/>
      <c r="Q48" s="9" t="e">
        <f t="shared" si="23"/>
        <v>#DIV/0!</v>
      </c>
      <c r="R48" s="17"/>
      <c r="S48" s="17"/>
      <c r="T48" s="17"/>
      <c r="U48" s="17"/>
      <c r="V48" s="17"/>
      <c r="W48" s="9" t="e">
        <f t="shared" si="8"/>
        <v>#DIV/0!</v>
      </c>
      <c r="X48" s="233"/>
      <c r="Y48" s="234"/>
      <c r="Z48" s="9" t="str">
        <f t="shared" si="9"/>
        <v>0</v>
      </c>
      <c r="AA48" s="7" t="e">
        <f t="shared" si="0"/>
        <v>#DIV/0!</v>
      </c>
      <c r="AB48" s="365"/>
      <c r="AC48" s="17"/>
      <c r="AD48" s="17"/>
      <c r="AE48" s="17"/>
      <c r="AF48" s="17"/>
      <c r="AG48" s="17"/>
      <c r="AH48" s="9" t="e">
        <f t="shared" si="10"/>
        <v>#DIV/0!</v>
      </c>
      <c r="AI48" s="17"/>
      <c r="AJ48" s="17"/>
      <c r="AK48" s="17"/>
      <c r="AL48" s="17"/>
      <c r="AM48" s="17"/>
      <c r="AN48" s="9" t="e">
        <f t="shared" si="11"/>
        <v>#DIV/0!</v>
      </c>
      <c r="AO48" s="17"/>
      <c r="AP48" s="17"/>
      <c r="AQ48" s="17"/>
      <c r="AR48" s="17"/>
      <c r="AS48" s="17"/>
      <c r="AT48" s="9" t="e">
        <f t="shared" si="12"/>
        <v>#DIV/0!</v>
      </c>
      <c r="AU48" s="208"/>
      <c r="AV48" s="209"/>
      <c r="AW48" s="9" t="str">
        <f t="shared" si="13"/>
        <v>0</v>
      </c>
      <c r="AX48" s="7" t="e">
        <f t="shared" si="1"/>
        <v>#DIV/0!</v>
      </c>
      <c r="AY48" s="18" t="e">
        <f t="shared" si="1"/>
        <v>#DIV/0!</v>
      </c>
      <c r="AZ48" s="232"/>
      <c r="BA48" s="4" t="e">
        <f t="shared" si="2"/>
        <v>#DIV/0!</v>
      </c>
      <c r="BB48" s="4" t="e">
        <f t="shared" si="14"/>
        <v>#DIV/0!</v>
      </c>
      <c r="BC48" s="4" t="e">
        <f t="shared" si="15"/>
        <v>#DIV/0!</v>
      </c>
      <c r="BD48" s="4">
        <f t="shared" si="16"/>
        <v>0</v>
      </c>
      <c r="BE48" s="12" t="e">
        <f t="shared" si="3"/>
        <v>#DIV/0!</v>
      </c>
      <c r="BF48" s="4" t="e">
        <f t="shared" si="17"/>
        <v>#DIV/0!</v>
      </c>
      <c r="BG48" s="4" t="e">
        <f t="shared" si="18"/>
        <v>#DIV/0!</v>
      </c>
      <c r="BH48" s="4" t="e">
        <f t="shared" si="19"/>
        <v>#DIV/0!</v>
      </c>
      <c r="BI48" s="4">
        <f t="shared" si="20"/>
        <v>0</v>
      </c>
      <c r="BJ48" s="12" t="e">
        <f t="shared" si="4"/>
        <v>#DIV/0!</v>
      </c>
      <c r="BK48" s="12" t="e">
        <f t="shared" si="5"/>
        <v>#DIV/0!</v>
      </c>
      <c r="BL48" s="12"/>
      <c r="BM48" s="10"/>
      <c r="BN48" s="176"/>
      <c r="BO48" s="12" t="e">
        <f t="shared" si="6"/>
        <v>#DIV/0!</v>
      </c>
      <c r="BP48" s="11"/>
      <c r="BQ48" s="6"/>
      <c r="BR48" s="6"/>
    </row>
    <row r="49" spans="1:70" ht="20.25" customHeight="1">
      <c r="A49" s="332">
        <v>19</v>
      </c>
      <c r="B49" s="324"/>
      <c r="C49" s="324"/>
      <c r="D49" s="323"/>
      <c r="E49" s="22">
        <v>1</v>
      </c>
      <c r="F49" s="17"/>
      <c r="G49" s="17"/>
      <c r="H49" s="17"/>
      <c r="I49" s="17"/>
      <c r="J49" s="17"/>
      <c r="K49" s="8" t="e">
        <f t="shared" si="7"/>
        <v>#DIV/0!</v>
      </c>
      <c r="L49" s="17"/>
      <c r="M49" s="17"/>
      <c r="N49" s="17"/>
      <c r="O49" s="17"/>
      <c r="P49" s="17"/>
      <c r="Q49" s="9" t="e">
        <f t="shared" si="23"/>
        <v>#DIV/0!</v>
      </c>
      <c r="R49" s="17"/>
      <c r="S49" s="17"/>
      <c r="T49" s="17"/>
      <c r="U49" s="17"/>
      <c r="V49" s="17"/>
      <c r="W49" s="9" t="e">
        <f t="shared" si="8"/>
        <v>#DIV/0!</v>
      </c>
      <c r="X49" s="233"/>
      <c r="Y49" s="234"/>
      <c r="Z49" s="9" t="str">
        <f t="shared" si="9"/>
        <v>0</v>
      </c>
      <c r="AA49" s="7" t="e">
        <f t="shared" si="0"/>
        <v>#DIV/0!</v>
      </c>
      <c r="AB49" s="365"/>
      <c r="AC49" s="17"/>
      <c r="AD49" s="17"/>
      <c r="AE49" s="17"/>
      <c r="AF49" s="17"/>
      <c r="AG49" s="17"/>
      <c r="AH49" s="9" t="e">
        <f t="shared" si="10"/>
        <v>#DIV/0!</v>
      </c>
      <c r="AI49" s="17"/>
      <c r="AJ49" s="17"/>
      <c r="AK49" s="17"/>
      <c r="AL49" s="17"/>
      <c r="AM49" s="17"/>
      <c r="AN49" s="9" t="e">
        <f t="shared" si="11"/>
        <v>#DIV/0!</v>
      </c>
      <c r="AO49" s="17"/>
      <c r="AP49" s="17"/>
      <c r="AQ49" s="17"/>
      <c r="AR49" s="17"/>
      <c r="AS49" s="17"/>
      <c r="AT49" s="9" t="e">
        <f t="shared" si="12"/>
        <v>#DIV/0!</v>
      </c>
      <c r="AU49" s="208"/>
      <c r="AV49" s="209"/>
      <c r="AW49" s="9" t="str">
        <f t="shared" si="13"/>
        <v>0</v>
      </c>
      <c r="AX49" s="7" t="e">
        <f t="shared" si="1"/>
        <v>#DIV/0!</v>
      </c>
      <c r="AY49" s="18" t="e">
        <f t="shared" si="1"/>
        <v>#DIV/0!</v>
      </c>
      <c r="AZ49" s="231" t="e">
        <f t="shared" ref="AZ49" si="49">IF(BP49&gt;=4.5, " 5 ", IF(BP49&gt;=3.5," 4 ",IF(BP49&gt;=2.5," 3  ",IF(BP49&gt;=1.5," 2 ",IF(BP49&gt;=1,"1 ",IF(BP49&gt;=0,"0"))))))</f>
        <v>#DIV/0!</v>
      </c>
      <c r="BA49" s="4" t="e">
        <f t="shared" si="2"/>
        <v>#DIV/0!</v>
      </c>
      <c r="BB49" s="4" t="e">
        <f t="shared" si="14"/>
        <v>#DIV/0!</v>
      </c>
      <c r="BC49" s="4" t="e">
        <f t="shared" si="15"/>
        <v>#DIV/0!</v>
      </c>
      <c r="BD49" s="4">
        <f t="shared" si="16"/>
        <v>0</v>
      </c>
      <c r="BE49" s="12" t="e">
        <f t="shared" si="3"/>
        <v>#DIV/0!</v>
      </c>
      <c r="BF49" s="4" t="e">
        <f t="shared" si="17"/>
        <v>#DIV/0!</v>
      </c>
      <c r="BG49" s="4" t="e">
        <f t="shared" si="18"/>
        <v>#DIV/0!</v>
      </c>
      <c r="BH49" s="4" t="e">
        <f t="shared" si="19"/>
        <v>#DIV/0!</v>
      </c>
      <c r="BI49" s="4">
        <f t="shared" si="20"/>
        <v>0</v>
      </c>
      <c r="BJ49" s="12" t="e">
        <f t="shared" si="4"/>
        <v>#DIV/0!</v>
      </c>
      <c r="BK49" s="12" t="e">
        <f t="shared" si="5"/>
        <v>#DIV/0!</v>
      </c>
      <c r="BL49" s="12" t="e">
        <f>(BE49+BJ49)/2</f>
        <v>#DIV/0!</v>
      </c>
      <c r="BM49" s="10" t="e">
        <f t="shared" si="21"/>
        <v>#DIV/0!</v>
      </c>
      <c r="BN49" s="176" t="e">
        <f t="shared" si="33"/>
        <v>#DIV/0!</v>
      </c>
      <c r="BO49" s="12" t="e">
        <f t="shared" si="6"/>
        <v>#DIV/0!</v>
      </c>
      <c r="BP49" s="11" t="e">
        <f t="shared" si="25"/>
        <v>#DIV/0!</v>
      </c>
      <c r="BQ49" s="6"/>
      <c r="BR49" s="6"/>
    </row>
    <row r="50" spans="1:70" ht="20.25" customHeight="1" thickBot="1">
      <c r="A50" s="333"/>
      <c r="B50" s="324"/>
      <c r="C50" s="324"/>
      <c r="D50" s="323"/>
      <c r="E50" s="23">
        <v>2</v>
      </c>
      <c r="F50" s="17"/>
      <c r="G50" s="17"/>
      <c r="H50" s="17"/>
      <c r="I50" s="17"/>
      <c r="J50" s="17"/>
      <c r="K50" s="8" t="e">
        <f t="shared" si="7"/>
        <v>#DIV/0!</v>
      </c>
      <c r="L50" s="17"/>
      <c r="M50" s="17"/>
      <c r="N50" s="17"/>
      <c r="O50" s="17"/>
      <c r="P50" s="17"/>
      <c r="Q50" s="9" t="e">
        <f t="shared" si="23"/>
        <v>#DIV/0!</v>
      </c>
      <c r="R50" s="17"/>
      <c r="S50" s="17"/>
      <c r="T50" s="17"/>
      <c r="U50" s="17"/>
      <c r="V50" s="17"/>
      <c r="W50" s="9" t="e">
        <f t="shared" si="8"/>
        <v>#DIV/0!</v>
      </c>
      <c r="X50" s="233"/>
      <c r="Y50" s="234"/>
      <c r="Z50" s="9" t="str">
        <f t="shared" si="9"/>
        <v>0</v>
      </c>
      <c r="AA50" s="7" t="e">
        <f t="shared" si="0"/>
        <v>#DIV/0!</v>
      </c>
      <c r="AB50" s="365"/>
      <c r="AC50" s="17"/>
      <c r="AD50" s="17"/>
      <c r="AE50" s="17"/>
      <c r="AF50" s="17"/>
      <c r="AG50" s="17"/>
      <c r="AH50" s="9" t="e">
        <f t="shared" si="10"/>
        <v>#DIV/0!</v>
      </c>
      <c r="AI50" s="17"/>
      <c r="AJ50" s="17"/>
      <c r="AK50" s="17"/>
      <c r="AL50" s="17"/>
      <c r="AM50" s="17"/>
      <c r="AN50" s="9" t="e">
        <f t="shared" si="11"/>
        <v>#DIV/0!</v>
      </c>
      <c r="AO50" s="17"/>
      <c r="AP50" s="17"/>
      <c r="AQ50" s="17"/>
      <c r="AR50" s="17"/>
      <c r="AS50" s="17"/>
      <c r="AT50" s="9" t="e">
        <f t="shared" si="12"/>
        <v>#DIV/0!</v>
      </c>
      <c r="AU50" s="208"/>
      <c r="AV50" s="209"/>
      <c r="AW50" s="9" t="str">
        <f t="shared" si="13"/>
        <v>0</v>
      </c>
      <c r="AX50" s="7" t="e">
        <f t="shared" si="1"/>
        <v>#DIV/0!</v>
      </c>
      <c r="AY50" s="18" t="e">
        <f t="shared" si="1"/>
        <v>#DIV/0!</v>
      </c>
      <c r="AZ50" s="232"/>
      <c r="BA50" s="4" t="e">
        <f t="shared" si="2"/>
        <v>#DIV/0!</v>
      </c>
      <c r="BB50" s="4" t="e">
        <f t="shared" si="14"/>
        <v>#DIV/0!</v>
      </c>
      <c r="BC50" s="4" t="e">
        <f t="shared" si="15"/>
        <v>#DIV/0!</v>
      </c>
      <c r="BD50" s="4">
        <f t="shared" si="16"/>
        <v>0</v>
      </c>
      <c r="BE50" s="12" t="e">
        <f t="shared" si="3"/>
        <v>#DIV/0!</v>
      </c>
      <c r="BF50" s="4" t="e">
        <f t="shared" si="17"/>
        <v>#DIV/0!</v>
      </c>
      <c r="BG50" s="4" t="e">
        <f t="shared" si="18"/>
        <v>#DIV/0!</v>
      </c>
      <c r="BH50" s="4" t="e">
        <f t="shared" si="19"/>
        <v>#DIV/0!</v>
      </c>
      <c r="BI50" s="4">
        <f t="shared" si="20"/>
        <v>0</v>
      </c>
      <c r="BJ50" s="12" t="e">
        <f t="shared" si="4"/>
        <v>#DIV/0!</v>
      </c>
      <c r="BK50" s="12" t="e">
        <f t="shared" si="5"/>
        <v>#DIV/0!</v>
      </c>
      <c r="BL50" s="12"/>
      <c r="BM50" s="10"/>
      <c r="BN50" s="176"/>
      <c r="BO50" s="12" t="e">
        <f t="shared" si="6"/>
        <v>#DIV/0!</v>
      </c>
      <c r="BP50" s="11"/>
      <c r="BQ50" s="6"/>
      <c r="BR50" s="6"/>
    </row>
    <row r="51" spans="1:70" ht="20.25" customHeight="1">
      <c r="A51" s="332">
        <v>20</v>
      </c>
      <c r="B51" s="324"/>
      <c r="C51" s="324"/>
      <c r="D51" s="323"/>
      <c r="E51" s="22">
        <v>1</v>
      </c>
      <c r="F51" s="17"/>
      <c r="G51" s="17"/>
      <c r="H51" s="17"/>
      <c r="I51" s="17"/>
      <c r="J51" s="17"/>
      <c r="K51" s="8" t="e">
        <f t="shared" si="7"/>
        <v>#DIV/0!</v>
      </c>
      <c r="L51" s="17"/>
      <c r="M51" s="17"/>
      <c r="N51" s="17"/>
      <c r="O51" s="17"/>
      <c r="P51" s="17"/>
      <c r="Q51" s="9" t="e">
        <f t="shared" si="23"/>
        <v>#DIV/0!</v>
      </c>
      <c r="R51" s="17"/>
      <c r="S51" s="17"/>
      <c r="T51" s="17"/>
      <c r="U51" s="17"/>
      <c r="V51" s="17"/>
      <c r="W51" s="9" t="e">
        <f t="shared" si="8"/>
        <v>#DIV/0!</v>
      </c>
      <c r="X51" s="233"/>
      <c r="Y51" s="234"/>
      <c r="Z51" s="9" t="str">
        <f t="shared" si="9"/>
        <v>0</v>
      </c>
      <c r="AA51" s="7" t="e">
        <f t="shared" si="0"/>
        <v>#DIV/0!</v>
      </c>
      <c r="AB51" s="365"/>
      <c r="AC51" s="17"/>
      <c r="AD51" s="17"/>
      <c r="AE51" s="17"/>
      <c r="AF51" s="17"/>
      <c r="AG51" s="17"/>
      <c r="AH51" s="9" t="e">
        <f t="shared" si="10"/>
        <v>#DIV/0!</v>
      </c>
      <c r="AI51" s="17"/>
      <c r="AJ51" s="17"/>
      <c r="AK51" s="17"/>
      <c r="AL51" s="17"/>
      <c r="AM51" s="17"/>
      <c r="AN51" s="9" t="e">
        <f t="shared" si="11"/>
        <v>#DIV/0!</v>
      </c>
      <c r="AO51" s="17"/>
      <c r="AP51" s="17"/>
      <c r="AQ51" s="17"/>
      <c r="AR51" s="17"/>
      <c r="AS51" s="17"/>
      <c r="AT51" s="9" t="e">
        <f t="shared" si="12"/>
        <v>#DIV/0!</v>
      </c>
      <c r="AU51" s="208"/>
      <c r="AV51" s="209"/>
      <c r="AW51" s="9" t="str">
        <f t="shared" si="13"/>
        <v>0</v>
      </c>
      <c r="AX51" s="7" t="e">
        <f t="shared" si="1"/>
        <v>#DIV/0!</v>
      </c>
      <c r="AY51" s="18" t="e">
        <f t="shared" si="1"/>
        <v>#DIV/0!</v>
      </c>
      <c r="AZ51" s="231" t="e">
        <f t="shared" ref="AZ51" si="50">IF(BP51&gt;=4.5, " 5 ", IF(BP51&gt;=3.5," 4 ",IF(BP51&gt;=2.5," 3  ",IF(BP51&gt;=1.5," 2 ",IF(BP51&gt;=1,"1 ",IF(BP51&gt;=0,"0"))))))</f>
        <v>#DIV/0!</v>
      </c>
      <c r="BA51" s="4" t="e">
        <f t="shared" si="2"/>
        <v>#DIV/0!</v>
      </c>
      <c r="BB51" s="4" t="e">
        <f t="shared" si="14"/>
        <v>#DIV/0!</v>
      </c>
      <c r="BC51" s="4" t="e">
        <f t="shared" si="15"/>
        <v>#DIV/0!</v>
      </c>
      <c r="BD51" s="4">
        <f t="shared" si="16"/>
        <v>0</v>
      </c>
      <c r="BE51" s="12" t="e">
        <f t="shared" si="3"/>
        <v>#DIV/0!</v>
      </c>
      <c r="BF51" s="4" t="e">
        <f t="shared" si="17"/>
        <v>#DIV/0!</v>
      </c>
      <c r="BG51" s="4" t="e">
        <f t="shared" si="18"/>
        <v>#DIV/0!</v>
      </c>
      <c r="BH51" s="4" t="e">
        <f t="shared" si="19"/>
        <v>#DIV/0!</v>
      </c>
      <c r="BI51" s="4">
        <f t="shared" si="20"/>
        <v>0</v>
      </c>
      <c r="BJ51" s="12" t="e">
        <f t="shared" si="4"/>
        <v>#DIV/0!</v>
      </c>
      <c r="BK51" s="12" t="e">
        <f t="shared" si="5"/>
        <v>#DIV/0!</v>
      </c>
      <c r="BL51" s="12" t="e">
        <f>(BE51+BJ51)/2</f>
        <v>#DIV/0!</v>
      </c>
      <c r="BM51" s="10" t="e">
        <f t="shared" si="21"/>
        <v>#DIV/0!</v>
      </c>
      <c r="BN51" s="176" t="e">
        <f t="shared" si="35"/>
        <v>#DIV/0!</v>
      </c>
      <c r="BO51" s="12" t="e">
        <f t="shared" si="6"/>
        <v>#DIV/0!</v>
      </c>
      <c r="BP51" s="11" t="e">
        <f t="shared" si="25"/>
        <v>#DIV/0!</v>
      </c>
      <c r="BQ51" s="6"/>
      <c r="BR51" s="6"/>
    </row>
    <row r="52" spans="1:70" ht="20.25" customHeight="1" thickBot="1">
      <c r="A52" s="333"/>
      <c r="B52" s="324"/>
      <c r="C52" s="324"/>
      <c r="D52" s="323"/>
      <c r="E52" s="23">
        <v>2</v>
      </c>
      <c r="F52" s="17"/>
      <c r="G52" s="17"/>
      <c r="H52" s="17"/>
      <c r="I52" s="17"/>
      <c r="J52" s="17"/>
      <c r="K52" s="8" t="e">
        <f t="shared" si="7"/>
        <v>#DIV/0!</v>
      </c>
      <c r="L52" s="17"/>
      <c r="M52" s="17"/>
      <c r="N52" s="17"/>
      <c r="O52" s="17"/>
      <c r="P52" s="17"/>
      <c r="Q52" s="9" t="e">
        <f t="shared" si="23"/>
        <v>#DIV/0!</v>
      </c>
      <c r="R52" s="17"/>
      <c r="S52" s="17"/>
      <c r="T52" s="17"/>
      <c r="U52" s="17"/>
      <c r="V52" s="17"/>
      <c r="W52" s="9" t="e">
        <f t="shared" si="8"/>
        <v>#DIV/0!</v>
      </c>
      <c r="X52" s="233"/>
      <c r="Y52" s="234"/>
      <c r="Z52" s="9" t="str">
        <f t="shared" si="9"/>
        <v>0</v>
      </c>
      <c r="AA52" s="7" t="e">
        <f t="shared" si="0"/>
        <v>#DIV/0!</v>
      </c>
      <c r="AB52" s="365"/>
      <c r="AC52" s="17"/>
      <c r="AD52" s="17"/>
      <c r="AE52" s="17"/>
      <c r="AF52" s="17"/>
      <c r="AG52" s="17"/>
      <c r="AH52" s="9" t="e">
        <f t="shared" si="10"/>
        <v>#DIV/0!</v>
      </c>
      <c r="AI52" s="17"/>
      <c r="AJ52" s="17"/>
      <c r="AK52" s="17"/>
      <c r="AL52" s="17"/>
      <c r="AM52" s="17"/>
      <c r="AN52" s="9" t="e">
        <f t="shared" si="11"/>
        <v>#DIV/0!</v>
      </c>
      <c r="AO52" s="17"/>
      <c r="AP52" s="17"/>
      <c r="AQ52" s="17"/>
      <c r="AR52" s="17"/>
      <c r="AS52" s="17"/>
      <c r="AT52" s="9" t="e">
        <f t="shared" si="12"/>
        <v>#DIV/0!</v>
      </c>
      <c r="AU52" s="208"/>
      <c r="AV52" s="209"/>
      <c r="AW52" s="9" t="str">
        <f t="shared" si="13"/>
        <v>0</v>
      </c>
      <c r="AX52" s="7" t="e">
        <f t="shared" si="1"/>
        <v>#DIV/0!</v>
      </c>
      <c r="AY52" s="18" t="e">
        <f t="shared" si="1"/>
        <v>#DIV/0!</v>
      </c>
      <c r="AZ52" s="232"/>
      <c r="BA52" s="4" t="e">
        <f t="shared" si="2"/>
        <v>#DIV/0!</v>
      </c>
      <c r="BB52" s="4" t="e">
        <f t="shared" si="14"/>
        <v>#DIV/0!</v>
      </c>
      <c r="BC52" s="4" t="e">
        <f t="shared" si="15"/>
        <v>#DIV/0!</v>
      </c>
      <c r="BD52" s="4">
        <f t="shared" si="16"/>
        <v>0</v>
      </c>
      <c r="BE52" s="12" t="e">
        <f t="shared" si="3"/>
        <v>#DIV/0!</v>
      </c>
      <c r="BF52" s="4" t="e">
        <f t="shared" si="17"/>
        <v>#DIV/0!</v>
      </c>
      <c r="BG52" s="4" t="e">
        <f t="shared" si="18"/>
        <v>#DIV/0!</v>
      </c>
      <c r="BH52" s="4" t="e">
        <f t="shared" si="19"/>
        <v>#DIV/0!</v>
      </c>
      <c r="BI52" s="4">
        <f t="shared" si="20"/>
        <v>0</v>
      </c>
      <c r="BJ52" s="12" t="e">
        <f t="shared" si="4"/>
        <v>#DIV/0!</v>
      </c>
      <c r="BK52" s="12" t="e">
        <f t="shared" si="5"/>
        <v>#DIV/0!</v>
      </c>
      <c r="BL52" s="12"/>
      <c r="BM52" s="10"/>
      <c r="BN52" s="176"/>
      <c r="BO52" s="12" t="e">
        <f t="shared" si="6"/>
        <v>#DIV/0!</v>
      </c>
      <c r="BP52" s="11"/>
      <c r="BQ52" s="6"/>
      <c r="BR52" s="6"/>
    </row>
    <row r="53" spans="1:70" ht="20.25" customHeight="1">
      <c r="A53" s="332">
        <v>21</v>
      </c>
      <c r="B53" s="353"/>
      <c r="C53" s="353"/>
      <c r="D53" s="355"/>
      <c r="E53" s="22">
        <v>1</v>
      </c>
      <c r="F53" s="17"/>
      <c r="G53" s="17"/>
      <c r="H53" s="17"/>
      <c r="I53" s="17"/>
      <c r="J53" s="17"/>
      <c r="K53" s="8" t="e">
        <f t="shared" si="7"/>
        <v>#DIV/0!</v>
      </c>
      <c r="L53" s="17"/>
      <c r="M53" s="17"/>
      <c r="N53" s="17"/>
      <c r="O53" s="17"/>
      <c r="P53" s="17"/>
      <c r="Q53" s="9" t="e">
        <f t="shared" si="23"/>
        <v>#DIV/0!</v>
      </c>
      <c r="R53" s="17"/>
      <c r="S53" s="17"/>
      <c r="T53" s="17"/>
      <c r="U53" s="17"/>
      <c r="V53" s="17"/>
      <c r="W53" s="9" t="e">
        <f t="shared" si="8"/>
        <v>#DIV/0!</v>
      </c>
      <c r="X53" s="233"/>
      <c r="Y53" s="234"/>
      <c r="Z53" s="9" t="str">
        <f t="shared" si="9"/>
        <v>0</v>
      </c>
      <c r="AA53" s="7" t="e">
        <f t="shared" si="0"/>
        <v>#DIV/0!</v>
      </c>
      <c r="AB53" s="365"/>
      <c r="AC53" s="17"/>
      <c r="AD53" s="17"/>
      <c r="AE53" s="17"/>
      <c r="AF53" s="17"/>
      <c r="AG53" s="17"/>
      <c r="AH53" s="9" t="e">
        <f t="shared" si="10"/>
        <v>#DIV/0!</v>
      </c>
      <c r="AI53" s="17"/>
      <c r="AJ53" s="17"/>
      <c r="AK53" s="17"/>
      <c r="AL53" s="17"/>
      <c r="AM53" s="17"/>
      <c r="AN53" s="9" t="e">
        <f t="shared" si="11"/>
        <v>#DIV/0!</v>
      </c>
      <c r="AO53" s="17"/>
      <c r="AP53" s="17"/>
      <c r="AQ53" s="17"/>
      <c r="AR53" s="17"/>
      <c r="AS53" s="17"/>
      <c r="AT53" s="9" t="e">
        <f t="shared" si="12"/>
        <v>#DIV/0!</v>
      </c>
      <c r="AU53" s="208"/>
      <c r="AV53" s="209"/>
      <c r="AW53" s="9" t="str">
        <f t="shared" si="13"/>
        <v>0</v>
      </c>
      <c r="AX53" s="7" t="e">
        <f t="shared" si="1"/>
        <v>#DIV/0!</v>
      </c>
      <c r="AY53" s="18" t="e">
        <f t="shared" si="1"/>
        <v>#DIV/0!</v>
      </c>
      <c r="AZ53" s="231" t="e">
        <f t="shared" ref="AZ53" si="51">IF(BP53&gt;=4.5, " 5 ", IF(BP53&gt;=3.5," 4 ",IF(BP53&gt;=2.5," 3  ",IF(BP53&gt;=1.5," 2 ",IF(BP53&gt;=1,"1 ",IF(BP53&gt;=0,"0"))))))</f>
        <v>#DIV/0!</v>
      </c>
      <c r="BA53" s="4" t="e">
        <f t="shared" si="2"/>
        <v>#DIV/0!</v>
      </c>
      <c r="BB53" s="4" t="e">
        <f t="shared" si="14"/>
        <v>#DIV/0!</v>
      </c>
      <c r="BC53" s="4" t="e">
        <f t="shared" si="15"/>
        <v>#DIV/0!</v>
      </c>
      <c r="BD53" s="4">
        <f t="shared" si="16"/>
        <v>0</v>
      </c>
      <c r="BE53" s="12" t="e">
        <f t="shared" si="3"/>
        <v>#DIV/0!</v>
      </c>
      <c r="BF53" s="4" t="e">
        <f t="shared" si="17"/>
        <v>#DIV/0!</v>
      </c>
      <c r="BG53" s="4" t="e">
        <f t="shared" si="18"/>
        <v>#DIV/0!</v>
      </c>
      <c r="BH53" s="4" t="e">
        <f t="shared" si="19"/>
        <v>#DIV/0!</v>
      </c>
      <c r="BI53" s="4">
        <f t="shared" si="20"/>
        <v>0</v>
      </c>
      <c r="BJ53" s="12" t="e">
        <f t="shared" si="4"/>
        <v>#DIV/0!</v>
      </c>
      <c r="BK53" s="12" t="e">
        <f t="shared" si="5"/>
        <v>#DIV/0!</v>
      </c>
      <c r="BL53" s="12" t="e">
        <f>(BE53+BJ53)/2</f>
        <v>#DIV/0!</v>
      </c>
      <c r="BM53" s="10" t="e">
        <f t="shared" si="21"/>
        <v>#DIV/0!</v>
      </c>
      <c r="BN53" s="176" t="e">
        <f t="shared" ref="BN53" si="52">ROUND(BO54,)</f>
        <v>#DIV/0!</v>
      </c>
      <c r="BO53" s="12" t="e">
        <f t="shared" si="6"/>
        <v>#DIV/0!</v>
      </c>
      <c r="BP53" s="11" t="e">
        <f t="shared" si="25"/>
        <v>#DIV/0!</v>
      </c>
      <c r="BQ53" s="6"/>
      <c r="BR53" s="6"/>
    </row>
    <row r="54" spans="1:70" ht="20.25" customHeight="1" thickBot="1">
      <c r="A54" s="333"/>
      <c r="B54" s="353"/>
      <c r="C54" s="353"/>
      <c r="D54" s="355"/>
      <c r="E54" s="23">
        <v>2</v>
      </c>
      <c r="F54" s="17"/>
      <c r="G54" s="17"/>
      <c r="H54" s="17"/>
      <c r="I54" s="17"/>
      <c r="J54" s="17"/>
      <c r="K54" s="8" t="e">
        <f t="shared" si="7"/>
        <v>#DIV/0!</v>
      </c>
      <c r="L54" s="17"/>
      <c r="M54" s="17"/>
      <c r="N54" s="17"/>
      <c r="O54" s="17"/>
      <c r="P54" s="17"/>
      <c r="Q54" s="9" t="e">
        <f t="shared" si="23"/>
        <v>#DIV/0!</v>
      </c>
      <c r="R54" s="17"/>
      <c r="S54" s="17"/>
      <c r="T54" s="17"/>
      <c r="U54" s="17"/>
      <c r="V54" s="17"/>
      <c r="W54" s="9" t="e">
        <f t="shared" si="8"/>
        <v>#DIV/0!</v>
      </c>
      <c r="X54" s="233"/>
      <c r="Y54" s="234"/>
      <c r="Z54" s="9" t="str">
        <f t="shared" si="9"/>
        <v>0</v>
      </c>
      <c r="AA54" s="7" t="e">
        <f t="shared" si="0"/>
        <v>#DIV/0!</v>
      </c>
      <c r="AB54" s="365"/>
      <c r="AC54" s="17"/>
      <c r="AD54" s="17"/>
      <c r="AE54" s="17"/>
      <c r="AF54" s="17"/>
      <c r="AG54" s="17"/>
      <c r="AH54" s="9" t="e">
        <f t="shared" si="10"/>
        <v>#DIV/0!</v>
      </c>
      <c r="AI54" s="17"/>
      <c r="AJ54" s="17"/>
      <c r="AK54" s="17"/>
      <c r="AL54" s="17"/>
      <c r="AM54" s="17"/>
      <c r="AN54" s="9" t="e">
        <f t="shared" si="11"/>
        <v>#DIV/0!</v>
      </c>
      <c r="AO54" s="17"/>
      <c r="AP54" s="17"/>
      <c r="AQ54" s="17"/>
      <c r="AR54" s="17"/>
      <c r="AS54" s="17"/>
      <c r="AT54" s="9" t="e">
        <f t="shared" si="12"/>
        <v>#DIV/0!</v>
      </c>
      <c r="AU54" s="208"/>
      <c r="AV54" s="209"/>
      <c r="AW54" s="9" t="str">
        <f t="shared" si="13"/>
        <v>0</v>
      </c>
      <c r="AX54" s="7" t="e">
        <f t="shared" si="1"/>
        <v>#DIV/0!</v>
      </c>
      <c r="AY54" s="18" t="e">
        <f t="shared" si="1"/>
        <v>#DIV/0!</v>
      </c>
      <c r="AZ54" s="232"/>
      <c r="BA54" s="4" t="e">
        <f t="shared" si="2"/>
        <v>#DIV/0!</v>
      </c>
      <c r="BB54" s="4" t="e">
        <f t="shared" si="14"/>
        <v>#DIV/0!</v>
      </c>
      <c r="BC54" s="4" t="e">
        <f t="shared" si="15"/>
        <v>#DIV/0!</v>
      </c>
      <c r="BD54" s="4">
        <f t="shared" si="16"/>
        <v>0</v>
      </c>
      <c r="BE54" s="12" t="e">
        <f t="shared" si="3"/>
        <v>#DIV/0!</v>
      </c>
      <c r="BF54" s="4" t="e">
        <f t="shared" si="17"/>
        <v>#DIV/0!</v>
      </c>
      <c r="BG54" s="4" t="e">
        <f t="shared" si="18"/>
        <v>#DIV/0!</v>
      </c>
      <c r="BH54" s="4" t="e">
        <f t="shared" si="19"/>
        <v>#DIV/0!</v>
      </c>
      <c r="BI54" s="4">
        <f t="shared" si="20"/>
        <v>0</v>
      </c>
      <c r="BJ54" s="12" t="e">
        <f t="shared" si="4"/>
        <v>#DIV/0!</v>
      </c>
      <c r="BK54" s="12" t="e">
        <f t="shared" si="5"/>
        <v>#DIV/0!</v>
      </c>
      <c r="BL54" s="12"/>
      <c r="BM54" s="10"/>
      <c r="BN54" s="176"/>
      <c r="BO54" s="12" t="e">
        <f t="shared" si="6"/>
        <v>#DIV/0!</v>
      </c>
      <c r="BP54" s="11"/>
      <c r="BQ54" s="6"/>
      <c r="BR54" s="6"/>
    </row>
    <row r="55" spans="1:70" ht="20.25" customHeight="1">
      <c r="A55" s="326">
        <v>22</v>
      </c>
      <c r="B55" s="353"/>
      <c r="C55" s="353"/>
      <c r="D55" s="355"/>
      <c r="E55" s="24">
        <v>1</v>
      </c>
      <c r="F55" s="17"/>
      <c r="G55" s="17"/>
      <c r="H55" s="17"/>
      <c r="I55" s="17"/>
      <c r="J55" s="17"/>
      <c r="K55" s="8" t="e">
        <f t="shared" si="7"/>
        <v>#DIV/0!</v>
      </c>
      <c r="L55" s="17"/>
      <c r="M55" s="17"/>
      <c r="N55" s="17"/>
      <c r="O55" s="17"/>
      <c r="P55" s="17"/>
      <c r="Q55" s="9" t="e">
        <f t="shared" si="23"/>
        <v>#DIV/0!</v>
      </c>
      <c r="R55" s="17"/>
      <c r="S55" s="17"/>
      <c r="T55" s="17"/>
      <c r="U55" s="17"/>
      <c r="V55" s="17"/>
      <c r="W55" s="9" t="e">
        <f t="shared" si="8"/>
        <v>#DIV/0!</v>
      </c>
      <c r="X55" s="233"/>
      <c r="Y55" s="234"/>
      <c r="Z55" s="9" t="str">
        <f t="shared" si="9"/>
        <v>0</v>
      </c>
      <c r="AA55" s="7" t="e">
        <f t="shared" si="0"/>
        <v>#DIV/0!</v>
      </c>
      <c r="AB55" s="365"/>
      <c r="AC55" s="17"/>
      <c r="AD55" s="17"/>
      <c r="AE55" s="17"/>
      <c r="AF55" s="17"/>
      <c r="AG55" s="17"/>
      <c r="AH55" s="9" t="e">
        <f t="shared" si="10"/>
        <v>#DIV/0!</v>
      </c>
      <c r="AI55" s="17"/>
      <c r="AJ55" s="17"/>
      <c r="AK55" s="17"/>
      <c r="AL55" s="17"/>
      <c r="AM55" s="17"/>
      <c r="AN55" s="9" t="e">
        <f t="shared" si="11"/>
        <v>#DIV/0!</v>
      </c>
      <c r="AO55" s="17"/>
      <c r="AP55" s="17"/>
      <c r="AQ55" s="17"/>
      <c r="AR55" s="17"/>
      <c r="AS55" s="17"/>
      <c r="AT55" s="9" t="e">
        <f t="shared" si="12"/>
        <v>#DIV/0!</v>
      </c>
      <c r="AU55" s="208"/>
      <c r="AV55" s="209"/>
      <c r="AW55" s="9" t="str">
        <f t="shared" si="13"/>
        <v>0</v>
      </c>
      <c r="AX55" s="7" t="e">
        <f t="shared" si="1"/>
        <v>#DIV/0!</v>
      </c>
      <c r="AY55" s="18" t="e">
        <f t="shared" si="1"/>
        <v>#DIV/0!</v>
      </c>
      <c r="AZ55" s="231" t="e">
        <f t="shared" ref="AZ55" si="53">IF(BP55&gt;=4.5, " 5 ", IF(BP55&gt;=3.5," 4 ",IF(BP55&gt;=2.5," 3  ",IF(BP55&gt;=1.5," 2 ",IF(BP55&gt;=1,"1 ",IF(BP55&gt;=0,"0"))))))</f>
        <v>#DIV/0!</v>
      </c>
      <c r="BA55" s="4" t="e">
        <f t="shared" si="2"/>
        <v>#DIV/0!</v>
      </c>
      <c r="BB55" s="4" t="e">
        <f t="shared" si="14"/>
        <v>#DIV/0!</v>
      </c>
      <c r="BC55" s="4" t="e">
        <f t="shared" si="15"/>
        <v>#DIV/0!</v>
      </c>
      <c r="BD55" s="4">
        <f t="shared" si="16"/>
        <v>0</v>
      </c>
      <c r="BE55" s="12" t="e">
        <f t="shared" si="3"/>
        <v>#DIV/0!</v>
      </c>
      <c r="BF55" s="4" t="e">
        <f t="shared" si="17"/>
        <v>#DIV/0!</v>
      </c>
      <c r="BG55" s="4" t="e">
        <f t="shared" si="18"/>
        <v>#DIV/0!</v>
      </c>
      <c r="BH55" s="4" t="e">
        <f t="shared" si="19"/>
        <v>#DIV/0!</v>
      </c>
      <c r="BI55" s="4">
        <f t="shared" si="20"/>
        <v>0</v>
      </c>
      <c r="BJ55" s="12" t="e">
        <f t="shared" si="4"/>
        <v>#DIV/0!</v>
      </c>
      <c r="BK55" s="12" t="e">
        <f t="shared" si="5"/>
        <v>#DIV/0!</v>
      </c>
      <c r="BL55" s="12" t="e">
        <f>(BE55+BJ55)/2</f>
        <v>#DIV/0!</v>
      </c>
      <c r="BM55" s="10" t="e">
        <f t="shared" si="21"/>
        <v>#DIV/0!</v>
      </c>
      <c r="BN55" s="176" t="e">
        <f t="shared" si="31"/>
        <v>#DIV/0!</v>
      </c>
      <c r="BO55" s="12" t="e">
        <f t="shared" si="6"/>
        <v>#DIV/0!</v>
      </c>
      <c r="BP55" s="11" t="e">
        <f t="shared" si="25"/>
        <v>#DIV/0!</v>
      </c>
      <c r="BQ55" s="6"/>
      <c r="BR55" s="6"/>
    </row>
    <row r="56" spans="1:70" ht="20.25" customHeight="1" thickBot="1">
      <c r="A56" s="327"/>
      <c r="B56" s="353"/>
      <c r="C56" s="353"/>
      <c r="D56" s="355"/>
      <c r="E56" s="25">
        <v>2</v>
      </c>
      <c r="F56" s="17"/>
      <c r="G56" s="17"/>
      <c r="H56" s="17"/>
      <c r="I56" s="17"/>
      <c r="J56" s="17"/>
      <c r="K56" s="8" t="e">
        <f t="shared" si="7"/>
        <v>#DIV/0!</v>
      </c>
      <c r="L56" s="17"/>
      <c r="M56" s="17"/>
      <c r="N56" s="17"/>
      <c r="O56" s="17"/>
      <c r="P56" s="17"/>
      <c r="Q56" s="9" t="e">
        <f t="shared" si="23"/>
        <v>#DIV/0!</v>
      </c>
      <c r="R56" s="17"/>
      <c r="S56" s="17"/>
      <c r="T56" s="17"/>
      <c r="U56" s="17"/>
      <c r="V56" s="17"/>
      <c r="W56" s="9" t="e">
        <f t="shared" si="8"/>
        <v>#DIV/0!</v>
      </c>
      <c r="X56" s="233"/>
      <c r="Y56" s="234"/>
      <c r="Z56" s="9" t="str">
        <f t="shared" si="9"/>
        <v>0</v>
      </c>
      <c r="AA56" s="7" t="e">
        <f t="shared" si="0"/>
        <v>#DIV/0!</v>
      </c>
      <c r="AB56" s="365"/>
      <c r="AC56" s="17"/>
      <c r="AD56" s="17"/>
      <c r="AE56" s="17"/>
      <c r="AF56" s="17"/>
      <c r="AG56" s="17"/>
      <c r="AH56" s="9" t="e">
        <f t="shared" si="10"/>
        <v>#DIV/0!</v>
      </c>
      <c r="AI56" s="17"/>
      <c r="AJ56" s="17"/>
      <c r="AK56" s="17"/>
      <c r="AL56" s="17"/>
      <c r="AM56" s="17"/>
      <c r="AN56" s="9" t="e">
        <f t="shared" si="11"/>
        <v>#DIV/0!</v>
      </c>
      <c r="AO56" s="17"/>
      <c r="AP56" s="17"/>
      <c r="AQ56" s="17"/>
      <c r="AR56" s="17"/>
      <c r="AS56" s="17"/>
      <c r="AT56" s="9" t="e">
        <f t="shared" si="12"/>
        <v>#DIV/0!</v>
      </c>
      <c r="AU56" s="208"/>
      <c r="AV56" s="209"/>
      <c r="AW56" s="9" t="str">
        <f t="shared" si="13"/>
        <v>0</v>
      </c>
      <c r="AX56" s="7" t="e">
        <f t="shared" si="1"/>
        <v>#DIV/0!</v>
      </c>
      <c r="AY56" s="18" t="e">
        <f t="shared" si="1"/>
        <v>#DIV/0!</v>
      </c>
      <c r="AZ56" s="232"/>
      <c r="BA56" s="4" t="e">
        <f t="shared" si="2"/>
        <v>#DIV/0!</v>
      </c>
      <c r="BB56" s="4" t="e">
        <f t="shared" si="14"/>
        <v>#DIV/0!</v>
      </c>
      <c r="BC56" s="4" t="e">
        <f t="shared" si="15"/>
        <v>#DIV/0!</v>
      </c>
      <c r="BD56" s="4">
        <f t="shared" si="16"/>
        <v>0</v>
      </c>
      <c r="BE56" s="12" t="e">
        <f t="shared" si="3"/>
        <v>#DIV/0!</v>
      </c>
      <c r="BF56" s="4" t="e">
        <f t="shared" si="17"/>
        <v>#DIV/0!</v>
      </c>
      <c r="BG56" s="4" t="e">
        <f t="shared" si="18"/>
        <v>#DIV/0!</v>
      </c>
      <c r="BH56" s="4" t="e">
        <f t="shared" si="19"/>
        <v>#DIV/0!</v>
      </c>
      <c r="BI56" s="4">
        <f t="shared" si="20"/>
        <v>0</v>
      </c>
      <c r="BJ56" s="12" t="e">
        <f t="shared" si="4"/>
        <v>#DIV/0!</v>
      </c>
      <c r="BK56" s="12" t="e">
        <f t="shared" si="5"/>
        <v>#DIV/0!</v>
      </c>
      <c r="BL56" s="12"/>
      <c r="BM56" s="10"/>
      <c r="BN56" s="176"/>
      <c r="BO56" s="12" t="e">
        <f t="shared" si="6"/>
        <v>#DIV/0!</v>
      </c>
      <c r="BP56" s="11"/>
      <c r="BQ56" s="6"/>
      <c r="BR56" s="6"/>
    </row>
    <row r="57" spans="1:70" ht="20.25" customHeight="1">
      <c r="A57" s="326">
        <v>23</v>
      </c>
      <c r="B57" s="353"/>
      <c r="C57" s="353"/>
      <c r="D57" s="355"/>
      <c r="E57" s="24">
        <v>1</v>
      </c>
      <c r="F57" s="17"/>
      <c r="G57" s="17"/>
      <c r="H57" s="17"/>
      <c r="I57" s="17"/>
      <c r="J57" s="17"/>
      <c r="K57" s="8" t="e">
        <f t="shared" si="7"/>
        <v>#DIV/0!</v>
      </c>
      <c r="L57" s="17"/>
      <c r="M57" s="17"/>
      <c r="N57" s="17"/>
      <c r="O57" s="17"/>
      <c r="P57" s="17"/>
      <c r="Q57" s="9" t="e">
        <f t="shared" si="23"/>
        <v>#DIV/0!</v>
      </c>
      <c r="R57" s="17"/>
      <c r="S57" s="17"/>
      <c r="T57" s="17"/>
      <c r="U57" s="17"/>
      <c r="V57" s="17"/>
      <c r="W57" s="9" t="e">
        <f t="shared" si="8"/>
        <v>#DIV/0!</v>
      </c>
      <c r="X57" s="233"/>
      <c r="Y57" s="234"/>
      <c r="Z57" s="9" t="str">
        <f t="shared" si="9"/>
        <v>0</v>
      </c>
      <c r="AA57" s="7" t="e">
        <f t="shared" si="0"/>
        <v>#DIV/0!</v>
      </c>
      <c r="AB57" s="365"/>
      <c r="AC57" s="17"/>
      <c r="AD57" s="17"/>
      <c r="AE57" s="17"/>
      <c r="AF57" s="17"/>
      <c r="AG57" s="17"/>
      <c r="AH57" s="9" t="e">
        <f t="shared" si="10"/>
        <v>#DIV/0!</v>
      </c>
      <c r="AI57" s="17"/>
      <c r="AJ57" s="17"/>
      <c r="AK57" s="17"/>
      <c r="AL57" s="17"/>
      <c r="AM57" s="17"/>
      <c r="AN57" s="9" t="e">
        <f t="shared" si="11"/>
        <v>#DIV/0!</v>
      </c>
      <c r="AO57" s="17"/>
      <c r="AP57" s="17"/>
      <c r="AQ57" s="17"/>
      <c r="AR57" s="17"/>
      <c r="AS57" s="17"/>
      <c r="AT57" s="9" t="e">
        <f t="shared" si="12"/>
        <v>#DIV/0!</v>
      </c>
      <c r="AU57" s="208"/>
      <c r="AV57" s="209"/>
      <c r="AW57" s="9" t="str">
        <f t="shared" si="13"/>
        <v>0</v>
      </c>
      <c r="AX57" s="7" t="e">
        <f t="shared" si="1"/>
        <v>#DIV/0!</v>
      </c>
      <c r="AY57" s="18" t="e">
        <f t="shared" si="1"/>
        <v>#DIV/0!</v>
      </c>
      <c r="AZ57" s="231" t="e">
        <f t="shared" ref="AZ57" si="54">IF(BP57&gt;=4.5, " 5 ", IF(BP57&gt;=3.5," 4 ",IF(BP57&gt;=2.5," 3  ",IF(BP57&gt;=1.5," 2 ",IF(BP57&gt;=1,"1 ",IF(BP57&gt;=0,"0"))))))</f>
        <v>#DIV/0!</v>
      </c>
      <c r="BA57" s="4" t="e">
        <f t="shared" si="2"/>
        <v>#DIV/0!</v>
      </c>
      <c r="BB57" s="4" t="e">
        <f t="shared" si="14"/>
        <v>#DIV/0!</v>
      </c>
      <c r="BC57" s="4" t="e">
        <f t="shared" si="15"/>
        <v>#DIV/0!</v>
      </c>
      <c r="BD57" s="4">
        <f t="shared" si="16"/>
        <v>0</v>
      </c>
      <c r="BE57" s="12" t="e">
        <f t="shared" si="3"/>
        <v>#DIV/0!</v>
      </c>
      <c r="BF57" s="4" t="e">
        <f t="shared" si="17"/>
        <v>#DIV/0!</v>
      </c>
      <c r="BG57" s="4" t="e">
        <f t="shared" si="18"/>
        <v>#DIV/0!</v>
      </c>
      <c r="BH57" s="4" t="e">
        <f t="shared" si="19"/>
        <v>#DIV/0!</v>
      </c>
      <c r="BI57" s="4">
        <f t="shared" si="20"/>
        <v>0</v>
      </c>
      <c r="BJ57" s="12" t="e">
        <f t="shared" si="4"/>
        <v>#DIV/0!</v>
      </c>
      <c r="BK57" s="12" t="e">
        <f t="shared" si="5"/>
        <v>#DIV/0!</v>
      </c>
      <c r="BL57" s="12" t="e">
        <f>(BE57+BJ57)/2</f>
        <v>#DIV/0!</v>
      </c>
      <c r="BM57" s="10" t="e">
        <f t="shared" si="21"/>
        <v>#DIV/0!</v>
      </c>
      <c r="BN57" s="176" t="e">
        <f t="shared" si="33"/>
        <v>#DIV/0!</v>
      </c>
      <c r="BO57" s="12" t="e">
        <f t="shared" si="6"/>
        <v>#DIV/0!</v>
      </c>
      <c r="BP57" s="11" t="e">
        <f t="shared" si="25"/>
        <v>#DIV/0!</v>
      </c>
      <c r="BQ57" s="6"/>
      <c r="BR57" s="6"/>
    </row>
    <row r="58" spans="1:70" ht="20.25" customHeight="1" thickBot="1">
      <c r="A58" s="327"/>
      <c r="B58" s="353"/>
      <c r="C58" s="353"/>
      <c r="D58" s="355"/>
      <c r="E58" s="25">
        <v>2</v>
      </c>
      <c r="F58" s="17"/>
      <c r="G58" s="17"/>
      <c r="H58" s="17"/>
      <c r="I58" s="17"/>
      <c r="J58" s="17"/>
      <c r="K58" s="8" t="e">
        <f t="shared" si="7"/>
        <v>#DIV/0!</v>
      </c>
      <c r="L58" s="17"/>
      <c r="M58" s="17"/>
      <c r="N58" s="17"/>
      <c r="O58" s="17"/>
      <c r="P58" s="17"/>
      <c r="Q58" s="9" t="e">
        <f t="shared" si="23"/>
        <v>#DIV/0!</v>
      </c>
      <c r="R58" s="17"/>
      <c r="S58" s="17"/>
      <c r="T58" s="17"/>
      <c r="U58" s="17"/>
      <c r="V58" s="17"/>
      <c r="W58" s="9" t="e">
        <f t="shared" si="8"/>
        <v>#DIV/0!</v>
      </c>
      <c r="X58" s="233"/>
      <c r="Y58" s="234"/>
      <c r="Z58" s="9" t="str">
        <f t="shared" si="9"/>
        <v>0</v>
      </c>
      <c r="AA58" s="7" t="e">
        <f t="shared" si="0"/>
        <v>#DIV/0!</v>
      </c>
      <c r="AB58" s="365"/>
      <c r="AC58" s="17"/>
      <c r="AD58" s="17"/>
      <c r="AE58" s="17"/>
      <c r="AF58" s="17"/>
      <c r="AG58" s="17"/>
      <c r="AH58" s="9" t="e">
        <f t="shared" si="10"/>
        <v>#DIV/0!</v>
      </c>
      <c r="AI58" s="17"/>
      <c r="AJ58" s="17"/>
      <c r="AK58" s="17"/>
      <c r="AL58" s="17"/>
      <c r="AM58" s="17"/>
      <c r="AN58" s="9" t="e">
        <f t="shared" si="11"/>
        <v>#DIV/0!</v>
      </c>
      <c r="AO58" s="17"/>
      <c r="AP58" s="17"/>
      <c r="AQ58" s="17"/>
      <c r="AR58" s="17"/>
      <c r="AS58" s="17"/>
      <c r="AT58" s="9" t="e">
        <f t="shared" si="12"/>
        <v>#DIV/0!</v>
      </c>
      <c r="AU58" s="208"/>
      <c r="AV58" s="209"/>
      <c r="AW58" s="9" t="str">
        <f t="shared" si="13"/>
        <v>0</v>
      </c>
      <c r="AX58" s="7" t="e">
        <f t="shared" si="1"/>
        <v>#DIV/0!</v>
      </c>
      <c r="AY58" s="18" t="e">
        <f t="shared" si="1"/>
        <v>#DIV/0!</v>
      </c>
      <c r="AZ58" s="232"/>
      <c r="BA58" s="4" t="e">
        <f t="shared" si="2"/>
        <v>#DIV/0!</v>
      </c>
      <c r="BB58" s="4" t="e">
        <f t="shared" si="14"/>
        <v>#DIV/0!</v>
      </c>
      <c r="BC58" s="4" t="e">
        <f t="shared" si="15"/>
        <v>#DIV/0!</v>
      </c>
      <c r="BD58" s="4">
        <f t="shared" si="16"/>
        <v>0</v>
      </c>
      <c r="BE58" s="12" t="e">
        <f t="shared" si="3"/>
        <v>#DIV/0!</v>
      </c>
      <c r="BF58" s="4" t="e">
        <f t="shared" si="17"/>
        <v>#DIV/0!</v>
      </c>
      <c r="BG58" s="4" t="e">
        <f t="shared" si="18"/>
        <v>#DIV/0!</v>
      </c>
      <c r="BH58" s="4" t="e">
        <f t="shared" si="19"/>
        <v>#DIV/0!</v>
      </c>
      <c r="BI58" s="4">
        <f t="shared" si="20"/>
        <v>0</v>
      </c>
      <c r="BJ58" s="12" t="e">
        <f t="shared" si="4"/>
        <v>#DIV/0!</v>
      </c>
      <c r="BK58" s="12" t="e">
        <f t="shared" si="5"/>
        <v>#DIV/0!</v>
      </c>
      <c r="BL58" s="12"/>
      <c r="BM58" s="10"/>
      <c r="BN58" s="176"/>
      <c r="BO58" s="12" t="e">
        <f t="shared" si="6"/>
        <v>#DIV/0!</v>
      </c>
      <c r="BP58" s="11"/>
      <c r="BQ58" s="6"/>
      <c r="BR58" s="6"/>
    </row>
    <row r="59" spans="1:70" ht="20.25" customHeight="1">
      <c r="A59" s="326">
        <v>24</v>
      </c>
      <c r="B59" s="377"/>
      <c r="C59" s="377"/>
      <c r="D59" s="225"/>
      <c r="E59" s="24">
        <v>1</v>
      </c>
      <c r="F59" s="17"/>
      <c r="G59" s="17"/>
      <c r="H59" s="17"/>
      <c r="I59" s="17"/>
      <c r="J59" s="17"/>
      <c r="K59" s="8" t="e">
        <f t="shared" si="7"/>
        <v>#DIV/0!</v>
      </c>
      <c r="L59" s="17"/>
      <c r="M59" s="17"/>
      <c r="N59" s="17"/>
      <c r="O59" s="17"/>
      <c r="P59" s="17"/>
      <c r="Q59" s="9" t="e">
        <f t="shared" si="23"/>
        <v>#DIV/0!</v>
      </c>
      <c r="R59" s="17"/>
      <c r="S59" s="17"/>
      <c r="T59" s="17"/>
      <c r="U59" s="17"/>
      <c r="V59" s="17"/>
      <c r="W59" s="9" t="e">
        <f t="shared" si="8"/>
        <v>#DIV/0!</v>
      </c>
      <c r="X59" s="233"/>
      <c r="Y59" s="234"/>
      <c r="Z59" s="9" t="str">
        <f t="shared" si="9"/>
        <v>0</v>
      </c>
      <c r="AA59" s="7" t="e">
        <f t="shared" si="0"/>
        <v>#DIV/0!</v>
      </c>
      <c r="AB59" s="365"/>
      <c r="AC59" s="17"/>
      <c r="AD59" s="17"/>
      <c r="AE59" s="17"/>
      <c r="AF59" s="17"/>
      <c r="AG59" s="17"/>
      <c r="AH59" s="9" t="e">
        <f t="shared" si="10"/>
        <v>#DIV/0!</v>
      </c>
      <c r="AI59" s="17"/>
      <c r="AJ59" s="17"/>
      <c r="AK59" s="17"/>
      <c r="AL59" s="17"/>
      <c r="AM59" s="17"/>
      <c r="AN59" s="9" t="e">
        <f t="shared" si="11"/>
        <v>#DIV/0!</v>
      </c>
      <c r="AO59" s="17"/>
      <c r="AP59" s="17"/>
      <c r="AQ59" s="17"/>
      <c r="AR59" s="17"/>
      <c r="AS59" s="17"/>
      <c r="AT59" s="9" t="e">
        <f t="shared" si="12"/>
        <v>#DIV/0!</v>
      </c>
      <c r="AU59" s="208"/>
      <c r="AV59" s="209"/>
      <c r="AW59" s="9" t="str">
        <f t="shared" si="13"/>
        <v>0</v>
      </c>
      <c r="AX59" s="7" t="e">
        <f t="shared" si="1"/>
        <v>#DIV/0!</v>
      </c>
      <c r="AY59" s="18" t="e">
        <f t="shared" si="1"/>
        <v>#DIV/0!</v>
      </c>
      <c r="AZ59" s="231" t="e">
        <f t="shared" ref="AZ59" si="55">IF(BP59&gt;=4.5, " 5 ", IF(BP59&gt;=3.5," 4 ",IF(BP59&gt;=2.5," 3  ",IF(BP59&gt;=1.5," 2 ",IF(BP59&gt;=1,"1 ",IF(BP59&gt;=0,"0"))))))</f>
        <v>#DIV/0!</v>
      </c>
      <c r="BA59" s="4" t="e">
        <f t="shared" si="2"/>
        <v>#DIV/0!</v>
      </c>
      <c r="BB59" s="4" t="e">
        <f t="shared" si="14"/>
        <v>#DIV/0!</v>
      </c>
      <c r="BC59" s="4" t="e">
        <f t="shared" si="15"/>
        <v>#DIV/0!</v>
      </c>
      <c r="BD59" s="4">
        <f t="shared" si="16"/>
        <v>0</v>
      </c>
      <c r="BE59" s="12" t="e">
        <f t="shared" si="3"/>
        <v>#DIV/0!</v>
      </c>
      <c r="BF59" s="4" t="e">
        <f t="shared" si="17"/>
        <v>#DIV/0!</v>
      </c>
      <c r="BG59" s="4" t="e">
        <f t="shared" si="18"/>
        <v>#DIV/0!</v>
      </c>
      <c r="BH59" s="4" t="e">
        <f t="shared" si="19"/>
        <v>#DIV/0!</v>
      </c>
      <c r="BI59" s="4">
        <f t="shared" si="20"/>
        <v>0</v>
      </c>
      <c r="BJ59" s="12" t="e">
        <f t="shared" si="4"/>
        <v>#DIV/0!</v>
      </c>
      <c r="BK59" s="12" t="e">
        <f t="shared" si="5"/>
        <v>#DIV/0!</v>
      </c>
      <c r="BL59" s="12" t="e">
        <f>(BE59+BJ59)/2</f>
        <v>#DIV/0!</v>
      </c>
      <c r="BM59" s="10" t="e">
        <f t="shared" si="21"/>
        <v>#DIV/0!</v>
      </c>
      <c r="BN59" s="176" t="e">
        <f t="shared" si="35"/>
        <v>#DIV/0!</v>
      </c>
      <c r="BO59" s="12" t="e">
        <f t="shared" si="6"/>
        <v>#DIV/0!</v>
      </c>
      <c r="BP59" s="11" t="e">
        <f t="shared" si="25"/>
        <v>#DIV/0!</v>
      </c>
      <c r="BQ59" s="6"/>
      <c r="BR59" s="6"/>
    </row>
    <row r="60" spans="1:70" ht="20.25" customHeight="1" thickBot="1">
      <c r="A60" s="327"/>
      <c r="B60" s="377"/>
      <c r="C60" s="377"/>
      <c r="D60" s="225"/>
      <c r="E60" s="25">
        <v>2</v>
      </c>
      <c r="F60" s="17"/>
      <c r="G60" s="17"/>
      <c r="H60" s="17"/>
      <c r="I60" s="17"/>
      <c r="J60" s="17"/>
      <c r="K60" s="8" t="e">
        <f t="shared" si="7"/>
        <v>#DIV/0!</v>
      </c>
      <c r="L60" s="17"/>
      <c r="M60" s="17"/>
      <c r="N60" s="17"/>
      <c r="O60" s="17"/>
      <c r="P60" s="17"/>
      <c r="Q60" s="9" t="e">
        <f t="shared" si="23"/>
        <v>#DIV/0!</v>
      </c>
      <c r="R60" s="17"/>
      <c r="S60" s="17"/>
      <c r="T60" s="17"/>
      <c r="U60" s="17"/>
      <c r="V60" s="17"/>
      <c r="W60" s="9" t="e">
        <f t="shared" si="8"/>
        <v>#DIV/0!</v>
      </c>
      <c r="X60" s="233"/>
      <c r="Y60" s="234"/>
      <c r="Z60" s="9" t="str">
        <f t="shared" si="9"/>
        <v>0</v>
      </c>
      <c r="AA60" s="7" t="e">
        <f t="shared" si="0"/>
        <v>#DIV/0!</v>
      </c>
      <c r="AB60" s="365"/>
      <c r="AC60" s="17"/>
      <c r="AD60" s="17"/>
      <c r="AE60" s="17"/>
      <c r="AF60" s="17"/>
      <c r="AG60" s="17"/>
      <c r="AH60" s="9" t="e">
        <f t="shared" si="10"/>
        <v>#DIV/0!</v>
      </c>
      <c r="AI60" s="17"/>
      <c r="AJ60" s="17"/>
      <c r="AK60" s="17"/>
      <c r="AL60" s="17"/>
      <c r="AM60" s="17"/>
      <c r="AN60" s="9" t="e">
        <f t="shared" si="11"/>
        <v>#DIV/0!</v>
      </c>
      <c r="AO60" s="17"/>
      <c r="AP60" s="17"/>
      <c r="AQ60" s="17"/>
      <c r="AR60" s="17"/>
      <c r="AS60" s="17"/>
      <c r="AT60" s="9" t="e">
        <f t="shared" si="12"/>
        <v>#DIV/0!</v>
      </c>
      <c r="AU60" s="208"/>
      <c r="AV60" s="209"/>
      <c r="AW60" s="9" t="str">
        <f t="shared" si="13"/>
        <v>0</v>
      </c>
      <c r="AX60" s="7" t="e">
        <f t="shared" si="1"/>
        <v>#DIV/0!</v>
      </c>
      <c r="AY60" s="18" t="e">
        <f t="shared" si="1"/>
        <v>#DIV/0!</v>
      </c>
      <c r="AZ60" s="232"/>
      <c r="BA60" s="4" t="e">
        <f t="shared" si="2"/>
        <v>#DIV/0!</v>
      </c>
      <c r="BB60" s="4" t="e">
        <f t="shared" si="14"/>
        <v>#DIV/0!</v>
      </c>
      <c r="BC60" s="4" t="e">
        <f t="shared" si="15"/>
        <v>#DIV/0!</v>
      </c>
      <c r="BD60" s="4">
        <f t="shared" si="16"/>
        <v>0</v>
      </c>
      <c r="BE60" s="12" t="e">
        <f t="shared" si="3"/>
        <v>#DIV/0!</v>
      </c>
      <c r="BF60" s="4" t="e">
        <f t="shared" si="17"/>
        <v>#DIV/0!</v>
      </c>
      <c r="BG60" s="4" t="e">
        <f t="shared" si="18"/>
        <v>#DIV/0!</v>
      </c>
      <c r="BH60" s="4" t="e">
        <f t="shared" si="19"/>
        <v>#DIV/0!</v>
      </c>
      <c r="BI60" s="4">
        <f t="shared" si="20"/>
        <v>0</v>
      </c>
      <c r="BJ60" s="12" t="e">
        <f t="shared" si="4"/>
        <v>#DIV/0!</v>
      </c>
      <c r="BK60" s="12" t="e">
        <f t="shared" si="5"/>
        <v>#DIV/0!</v>
      </c>
      <c r="BL60" s="12"/>
      <c r="BM60" s="10"/>
      <c r="BN60" s="176"/>
      <c r="BO60" s="12" t="e">
        <f t="shared" si="6"/>
        <v>#DIV/0!</v>
      </c>
      <c r="BP60" s="11"/>
      <c r="BQ60" s="6"/>
      <c r="BR60" s="6"/>
    </row>
    <row r="61" spans="1:70" ht="20.25" customHeight="1">
      <c r="A61" s="326">
        <v>25</v>
      </c>
      <c r="B61" s="377"/>
      <c r="C61" s="377"/>
      <c r="D61" s="225"/>
      <c r="E61" s="24">
        <v>1</v>
      </c>
      <c r="F61" s="17"/>
      <c r="G61" s="17"/>
      <c r="H61" s="17"/>
      <c r="I61" s="17"/>
      <c r="J61" s="17"/>
      <c r="K61" s="8" t="e">
        <f t="shared" si="7"/>
        <v>#DIV/0!</v>
      </c>
      <c r="L61" s="17"/>
      <c r="M61" s="17"/>
      <c r="N61" s="17"/>
      <c r="O61" s="17"/>
      <c r="P61" s="17"/>
      <c r="Q61" s="9" t="e">
        <f t="shared" si="23"/>
        <v>#DIV/0!</v>
      </c>
      <c r="R61" s="17"/>
      <c r="S61" s="17"/>
      <c r="T61" s="17"/>
      <c r="U61" s="17"/>
      <c r="V61" s="17"/>
      <c r="W61" s="9" t="e">
        <f t="shared" si="8"/>
        <v>#DIV/0!</v>
      </c>
      <c r="X61" s="233"/>
      <c r="Y61" s="234"/>
      <c r="Z61" s="9" t="str">
        <f t="shared" si="9"/>
        <v>0</v>
      </c>
      <c r="AA61" s="7" t="e">
        <f t="shared" si="0"/>
        <v>#DIV/0!</v>
      </c>
      <c r="AB61" s="365"/>
      <c r="AC61" s="17"/>
      <c r="AD61" s="17"/>
      <c r="AE61" s="17"/>
      <c r="AF61" s="17"/>
      <c r="AG61" s="17"/>
      <c r="AH61" s="9" t="e">
        <f t="shared" si="10"/>
        <v>#DIV/0!</v>
      </c>
      <c r="AI61" s="17"/>
      <c r="AJ61" s="17"/>
      <c r="AK61" s="17"/>
      <c r="AL61" s="17"/>
      <c r="AM61" s="17"/>
      <c r="AN61" s="9" t="e">
        <f t="shared" si="11"/>
        <v>#DIV/0!</v>
      </c>
      <c r="AO61" s="17"/>
      <c r="AP61" s="17"/>
      <c r="AQ61" s="17"/>
      <c r="AR61" s="17"/>
      <c r="AS61" s="17"/>
      <c r="AT61" s="9" t="e">
        <f t="shared" si="12"/>
        <v>#DIV/0!</v>
      </c>
      <c r="AU61" s="208"/>
      <c r="AV61" s="209"/>
      <c r="AW61" s="9" t="str">
        <f t="shared" si="13"/>
        <v>0</v>
      </c>
      <c r="AX61" s="7" t="e">
        <f t="shared" si="1"/>
        <v>#DIV/0!</v>
      </c>
      <c r="AY61" s="18" t="e">
        <f t="shared" si="1"/>
        <v>#DIV/0!</v>
      </c>
      <c r="AZ61" s="231" t="e">
        <f t="shared" ref="AZ61" si="56">IF(BP61&gt;=4.5, " 5 ", IF(BP61&gt;=3.5," 4 ",IF(BP61&gt;=2.5," 3  ",IF(BP61&gt;=1.5," 2 ",IF(BP61&gt;=1,"1 ",IF(BP61&gt;=0,"0"))))))</f>
        <v>#DIV/0!</v>
      </c>
      <c r="BA61" s="4" t="e">
        <f t="shared" si="2"/>
        <v>#DIV/0!</v>
      </c>
      <c r="BB61" s="4" t="e">
        <f t="shared" si="14"/>
        <v>#DIV/0!</v>
      </c>
      <c r="BC61" s="4" t="e">
        <f t="shared" si="15"/>
        <v>#DIV/0!</v>
      </c>
      <c r="BD61" s="4">
        <f t="shared" si="16"/>
        <v>0</v>
      </c>
      <c r="BE61" s="12" t="e">
        <f t="shared" si="3"/>
        <v>#DIV/0!</v>
      </c>
      <c r="BF61" s="4" t="e">
        <f t="shared" si="17"/>
        <v>#DIV/0!</v>
      </c>
      <c r="BG61" s="4" t="e">
        <f t="shared" si="18"/>
        <v>#DIV/0!</v>
      </c>
      <c r="BH61" s="4" t="e">
        <f t="shared" si="19"/>
        <v>#DIV/0!</v>
      </c>
      <c r="BI61" s="4">
        <f t="shared" si="20"/>
        <v>0</v>
      </c>
      <c r="BJ61" s="12" t="e">
        <f t="shared" si="4"/>
        <v>#DIV/0!</v>
      </c>
      <c r="BK61" s="12" t="e">
        <f t="shared" si="5"/>
        <v>#DIV/0!</v>
      </c>
      <c r="BL61" s="12" t="e">
        <f>(BE61+BJ61)/2</f>
        <v>#DIV/0!</v>
      </c>
      <c r="BM61" s="10" t="e">
        <f t="shared" si="21"/>
        <v>#DIV/0!</v>
      </c>
      <c r="BN61" s="176" t="e">
        <f t="shared" ref="BN61" si="57">ROUND(BO62,)</f>
        <v>#DIV/0!</v>
      </c>
      <c r="BO61" s="12" t="e">
        <f t="shared" si="6"/>
        <v>#DIV/0!</v>
      </c>
      <c r="BP61" s="11" t="e">
        <f t="shared" si="25"/>
        <v>#DIV/0!</v>
      </c>
      <c r="BQ61" s="6"/>
      <c r="BR61" s="6"/>
    </row>
    <row r="62" spans="1:70" ht="17.25" customHeight="1" thickBot="1">
      <c r="A62" s="327"/>
      <c r="B62" s="377"/>
      <c r="C62" s="377"/>
      <c r="D62" s="225"/>
      <c r="E62" s="25">
        <v>2</v>
      </c>
      <c r="F62" s="17"/>
      <c r="G62" s="17"/>
      <c r="H62" s="17"/>
      <c r="I62" s="17"/>
      <c r="J62" s="17"/>
      <c r="K62" s="8" t="e">
        <f t="shared" si="7"/>
        <v>#DIV/0!</v>
      </c>
      <c r="L62" s="17"/>
      <c r="M62" s="17"/>
      <c r="N62" s="17"/>
      <c r="O62" s="17"/>
      <c r="P62" s="17"/>
      <c r="Q62" s="9" t="e">
        <f t="shared" si="23"/>
        <v>#DIV/0!</v>
      </c>
      <c r="R62" s="17"/>
      <c r="S62" s="17"/>
      <c r="T62" s="17"/>
      <c r="U62" s="17"/>
      <c r="V62" s="17"/>
      <c r="W62" s="9" t="e">
        <f t="shared" si="8"/>
        <v>#DIV/0!</v>
      </c>
      <c r="X62" s="233"/>
      <c r="Y62" s="234"/>
      <c r="Z62" s="9" t="str">
        <f t="shared" si="9"/>
        <v>0</v>
      </c>
      <c r="AA62" s="7" t="e">
        <f t="shared" si="0"/>
        <v>#DIV/0!</v>
      </c>
      <c r="AB62" s="365"/>
      <c r="AC62" s="17"/>
      <c r="AD62" s="17"/>
      <c r="AE62" s="17"/>
      <c r="AF62" s="17"/>
      <c r="AG62" s="17"/>
      <c r="AH62" s="9" t="e">
        <f t="shared" si="10"/>
        <v>#DIV/0!</v>
      </c>
      <c r="AI62" s="17"/>
      <c r="AJ62" s="17"/>
      <c r="AK62" s="17"/>
      <c r="AL62" s="17"/>
      <c r="AM62" s="17"/>
      <c r="AN62" s="9" t="e">
        <f t="shared" si="11"/>
        <v>#DIV/0!</v>
      </c>
      <c r="AO62" s="17"/>
      <c r="AP62" s="17"/>
      <c r="AQ62" s="17"/>
      <c r="AR62" s="17"/>
      <c r="AS62" s="17"/>
      <c r="AT62" s="9" t="e">
        <f t="shared" si="12"/>
        <v>#DIV/0!</v>
      </c>
      <c r="AU62" s="208"/>
      <c r="AV62" s="209"/>
      <c r="AW62" s="9" t="str">
        <f t="shared" si="13"/>
        <v>0</v>
      </c>
      <c r="AX62" s="7" t="e">
        <f t="shared" si="1"/>
        <v>#DIV/0!</v>
      </c>
      <c r="AY62" s="18" t="e">
        <f t="shared" si="1"/>
        <v>#DIV/0!</v>
      </c>
      <c r="AZ62" s="232"/>
      <c r="BA62" s="4" t="e">
        <f t="shared" si="2"/>
        <v>#DIV/0!</v>
      </c>
      <c r="BB62" s="4" t="e">
        <f t="shared" si="14"/>
        <v>#DIV/0!</v>
      </c>
      <c r="BC62" s="4" t="e">
        <f t="shared" si="15"/>
        <v>#DIV/0!</v>
      </c>
      <c r="BD62" s="4">
        <f t="shared" si="16"/>
        <v>0</v>
      </c>
      <c r="BE62" s="12" t="e">
        <f t="shared" si="3"/>
        <v>#DIV/0!</v>
      </c>
      <c r="BF62" s="4" t="e">
        <f t="shared" si="17"/>
        <v>#DIV/0!</v>
      </c>
      <c r="BG62" s="4" t="e">
        <f t="shared" si="18"/>
        <v>#DIV/0!</v>
      </c>
      <c r="BH62" s="4" t="e">
        <f t="shared" si="19"/>
        <v>#DIV/0!</v>
      </c>
      <c r="BI62" s="4">
        <f t="shared" si="20"/>
        <v>0</v>
      </c>
      <c r="BJ62" s="12" t="e">
        <f t="shared" si="4"/>
        <v>#DIV/0!</v>
      </c>
      <c r="BK62" s="12" t="e">
        <f t="shared" si="5"/>
        <v>#DIV/0!</v>
      </c>
      <c r="BL62" s="12"/>
      <c r="BM62" s="10"/>
      <c r="BN62" s="176"/>
      <c r="BO62" s="12" t="e">
        <f t="shared" si="6"/>
        <v>#DIV/0!</v>
      </c>
      <c r="BP62" s="11"/>
      <c r="BQ62" s="6"/>
      <c r="BR62" s="6"/>
    </row>
    <row r="63" spans="1:70" ht="21" customHeight="1">
      <c r="A63" s="326">
        <v>26</v>
      </c>
      <c r="B63" s="377"/>
      <c r="C63" s="377"/>
      <c r="D63" s="225"/>
      <c r="E63" s="24">
        <v>1</v>
      </c>
      <c r="F63" s="17"/>
      <c r="G63" s="17"/>
      <c r="H63" s="17"/>
      <c r="I63" s="17"/>
      <c r="J63" s="17"/>
      <c r="K63" s="8" t="e">
        <f t="shared" si="7"/>
        <v>#DIV/0!</v>
      </c>
      <c r="L63" s="17"/>
      <c r="M63" s="17"/>
      <c r="N63" s="17"/>
      <c r="O63" s="17"/>
      <c r="P63" s="17"/>
      <c r="Q63" s="9" t="e">
        <f t="shared" si="23"/>
        <v>#DIV/0!</v>
      </c>
      <c r="R63" s="17"/>
      <c r="S63" s="17"/>
      <c r="T63" s="17"/>
      <c r="U63" s="17"/>
      <c r="V63" s="17"/>
      <c r="W63" s="9" t="e">
        <f t="shared" si="8"/>
        <v>#DIV/0!</v>
      </c>
      <c r="X63" s="233"/>
      <c r="Y63" s="234"/>
      <c r="Z63" s="9" t="str">
        <f t="shared" si="9"/>
        <v>0</v>
      </c>
      <c r="AA63" s="7" t="e">
        <f t="shared" si="0"/>
        <v>#DIV/0!</v>
      </c>
      <c r="AB63" s="365"/>
      <c r="AC63" s="17"/>
      <c r="AD63" s="17"/>
      <c r="AE63" s="17"/>
      <c r="AF63" s="17"/>
      <c r="AG63" s="17"/>
      <c r="AH63" s="9" t="e">
        <f t="shared" si="10"/>
        <v>#DIV/0!</v>
      </c>
      <c r="AI63" s="17"/>
      <c r="AJ63" s="17"/>
      <c r="AK63" s="17"/>
      <c r="AL63" s="17"/>
      <c r="AM63" s="17"/>
      <c r="AN63" s="9" t="e">
        <f t="shared" si="11"/>
        <v>#DIV/0!</v>
      </c>
      <c r="AO63" s="17"/>
      <c r="AP63" s="17"/>
      <c r="AQ63" s="17"/>
      <c r="AR63" s="17"/>
      <c r="AS63" s="17"/>
      <c r="AT63" s="9" t="e">
        <f t="shared" si="12"/>
        <v>#DIV/0!</v>
      </c>
      <c r="AU63" s="208"/>
      <c r="AV63" s="209"/>
      <c r="AW63" s="9" t="str">
        <f t="shared" si="13"/>
        <v>0</v>
      </c>
      <c r="AX63" s="7" t="e">
        <f t="shared" si="1"/>
        <v>#DIV/0!</v>
      </c>
      <c r="AY63" s="18" t="e">
        <f t="shared" si="1"/>
        <v>#DIV/0!</v>
      </c>
      <c r="AZ63" s="231" t="e">
        <f t="shared" ref="AZ63" si="58">IF(BP63&gt;=4.5, " 5 ", IF(BP63&gt;=3.5," 4 ",IF(BP63&gt;=2.5," 3  ",IF(BP63&gt;=1.5," 2 ",IF(BP63&gt;=1,"1 ",IF(BP63&gt;=0,"0"))))))</f>
        <v>#DIV/0!</v>
      </c>
      <c r="BA63" s="4" t="e">
        <f t="shared" si="2"/>
        <v>#DIV/0!</v>
      </c>
      <c r="BB63" s="4" t="e">
        <f t="shared" si="14"/>
        <v>#DIV/0!</v>
      </c>
      <c r="BC63" s="4" t="e">
        <f t="shared" si="15"/>
        <v>#DIV/0!</v>
      </c>
      <c r="BD63" s="4">
        <f t="shared" si="16"/>
        <v>0</v>
      </c>
      <c r="BE63" s="12" t="e">
        <f t="shared" si="3"/>
        <v>#DIV/0!</v>
      </c>
      <c r="BF63" s="4" t="e">
        <f t="shared" si="17"/>
        <v>#DIV/0!</v>
      </c>
      <c r="BG63" s="4" t="e">
        <f t="shared" si="18"/>
        <v>#DIV/0!</v>
      </c>
      <c r="BH63" s="4" t="e">
        <f t="shared" si="19"/>
        <v>#DIV/0!</v>
      </c>
      <c r="BI63" s="4">
        <f t="shared" si="20"/>
        <v>0</v>
      </c>
      <c r="BJ63" s="12" t="e">
        <f t="shared" si="4"/>
        <v>#DIV/0!</v>
      </c>
      <c r="BK63" s="12" t="e">
        <f t="shared" si="5"/>
        <v>#DIV/0!</v>
      </c>
      <c r="BL63" s="12" t="e">
        <f>(BE63+BJ63)/2</f>
        <v>#DIV/0!</v>
      </c>
      <c r="BM63" s="10" t="e">
        <f t="shared" si="21"/>
        <v>#DIV/0!</v>
      </c>
      <c r="BN63" s="176" t="e">
        <f t="shared" si="31"/>
        <v>#DIV/0!</v>
      </c>
      <c r="BO63" s="12" t="e">
        <f t="shared" si="6"/>
        <v>#DIV/0!</v>
      </c>
      <c r="BP63" s="11" t="e">
        <f t="shared" si="25"/>
        <v>#DIV/0!</v>
      </c>
      <c r="BQ63" s="6"/>
      <c r="BR63" s="6"/>
    </row>
    <row r="64" spans="1:70" ht="18" customHeight="1" thickBot="1">
      <c r="A64" s="327"/>
      <c r="B64" s="377"/>
      <c r="C64" s="377"/>
      <c r="D64" s="225"/>
      <c r="E64" s="25">
        <v>2</v>
      </c>
      <c r="F64" s="17"/>
      <c r="G64" s="17"/>
      <c r="H64" s="17"/>
      <c r="I64" s="17"/>
      <c r="J64" s="17"/>
      <c r="K64" s="8" t="e">
        <f t="shared" si="7"/>
        <v>#DIV/0!</v>
      </c>
      <c r="L64" s="17"/>
      <c r="M64" s="17"/>
      <c r="N64" s="17"/>
      <c r="O64" s="17"/>
      <c r="P64" s="17"/>
      <c r="Q64" s="9" t="e">
        <f t="shared" si="23"/>
        <v>#DIV/0!</v>
      </c>
      <c r="R64" s="17"/>
      <c r="S64" s="17"/>
      <c r="T64" s="17"/>
      <c r="U64" s="17"/>
      <c r="V64" s="17"/>
      <c r="W64" s="9" t="e">
        <f t="shared" si="8"/>
        <v>#DIV/0!</v>
      </c>
      <c r="X64" s="233"/>
      <c r="Y64" s="234"/>
      <c r="Z64" s="9" t="str">
        <f t="shared" si="9"/>
        <v>0</v>
      </c>
      <c r="AA64" s="7" t="e">
        <f t="shared" si="0"/>
        <v>#DIV/0!</v>
      </c>
      <c r="AB64" s="365"/>
      <c r="AC64" s="17"/>
      <c r="AD64" s="17"/>
      <c r="AE64" s="17"/>
      <c r="AF64" s="17"/>
      <c r="AG64" s="17"/>
      <c r="AH64" s="9" t="e">
        <f t="shared" si="10"/>
        <v>#DIV/0!</v>
      </c>
      <c r="AI64" s="17"/>
      <c r="AJ64" s="17"/>
      <c r="AK64" s="17"/>
      <c r="AL64" s="17"/>
      <c r="AM64" s="17"/>
      <c r="AN64" s="9" t="e">
        <f t="shared" si="11"/>
        <v>#DIV/0!</v>
      </c>
      <c r="AO64" s="17"/>
      <c r="AP64" s="17"/>
      <c r="AQ64" s="17"/>
      <c r="AR64" s="17"/>
      <c r="AS64" s="17"/>
      <c r="AT64" s="9" t="e">
        <f t="shared" si="12"/>
        <v>#DIV/0!</v>
      </c>
      <c r="AU64" s="208"/>
      <c r="AV64" s="209"/>
      <c r="AW64" s="9" t="str">
        <f t="shared" si="13"/>
        <v>0</v>
      </c>
      <c r="AX64" s="7" t="e">
        <f t="shared" si="1"/>
        <v>#DIV/0!</v>
      </c>
      <c r="AY64" s="18" t="e">
        <f t="shared" si="1"/>
        <v>#DIV/0!</v>
      </c>
      <c r="AZ64" s="232"/>
      <c r="BA64" s="4" t="e">
        <f t="shared" si="2"/>
        <v>#DIV/0!</v>
      </c>
      <c r="BB64" s="4" t="e">
        <f t="shared" si="14"/>
        <v>#DIV/0!</v>
      </c>
      <c r="BC64" s="4" t="e">
        <f t="shared" si="15"/>
        <v>#DIV/0!</v>
      </c>
      <c r="BD64" s="4">
        <f t="shared" si="16"/>
        <v>0</v>
      </c>
      <c r="BE64" s="12" t="e">
        <f t="shared" si="3"/>
        <v>#DIV/0!</v>
      </c>
      <c r="BF64" s="4" t="e">
        <f t="shared" si="17"/>
        <v>#DIV/0!</v>
      </c>
      <c r="BG64" s="4" t="e">
        <f t="shared" si="18"/>
        <v>#DIV/0!</v>
      </c>
      <c r="BH64" s="4" t="e">
        <f t="shared" si="19"/>
        <v>#DIV/0!</v>
      </c>
      <c r="BI64" s="4">
        <f t="shared" si="20"/>
        <v>0</v>
      </c>
      <c r="BJ64" s="12" t="e">
        <f t="shared" si="4"/>
        <v>#DIV/0!</v>
      </c>
      <c r="BK64" s="12" t="e">
        <f t="shared" si="5"/>
        <v>#DIV/0!</v>
      </c>
      <c r="BL64" s="12"/>
      <c r="BM64" s="10"/>
      <c r="BN64" s="176"/>
      <c r="BO64" s="12" t="e">
        <f t="shared" si="6"/>
        <v>#DIV/0!</v>
      </c>
      <c r="BP64" s="11"/>
      <c r="BQ64" s="6"/>
      <c r="BR64" s="6"/>
    </row>
    <row r="65" spans="1:70" ht="18" customHeight="1">
      <c r="A65" s="326">
        <v>27</v>
      </c>
      <c r="B65" s="328"/>
      <c r="C65" s="329"/>
      <c r="D65" s="225"/>
      <c r="E65" s="24">
        <v>1</v>
      </c>
      <c r="F65" s="17"/>
      <c r="G65" s="17"/>
      <c r="H65" s="17"/>
      <c r="I65" s="17"/>
      <c r="J65" s="17"/>
      <c r="K65" s="8" t="e">
        <f t="shared" si="7"/>
        <v>#DIV/0!</v>
      </c>
      <c r="L65" s="17"/>
      <c r="M65" s="17"/>
      <c r="N65" s="17"/>
      <c r="O65" s="17"/>
      <c r="P65" s="17"/>
      <c r="Q65" s="9" t="e">
        <f t="shared" si="23"/>
        <v>#DIV/0!</v>
      </c>
      <c r="R65" s="17"/>
      <c r="S65" s="17"/>
      <c r="T65" s="17"/>
      <c r="U65" s="17"/>
      <c r="V65" s="17"/>
      <c r="W65" s="9" t="e">
        <f t="shared" si="8"/>
        <v>#DIV/0!</v>
      </c>
      <c r="X65" s="233"/>
      <c r="Y65" s="234"/>
      <c r="Z65" s="9" t="str">
        <f t="shared" si="9"/>
        <v>0</v>
      </c>
      <c r="AA65" s="7" t="e">
        <f t="shared" si="0"/>
        <v>#DIV/0!</v>
      </c>
      <c r="AB65" s="365"/>
      <c r="AC65" s="17"/>
      <c r="AD65" s="17"/>
      <c r="AE65" s="17"/>
      <c r="AF65" s="17"/>
      <c r="AG65" s="17"/>
      <c r="AH65" s="9" t="e">
        <f t="shared" si="10"/>
        <v>#DIV/0!</v>
      </c>
      <c r="AI65" s="17"/>
      <c r="AJ65" s="17"/>
      <c r="AK65" s="17"/>
      <c r="AL65" s="17"/>
      <c r="AM65" s="17"/>
      <c r="AN65" s="9" t="e">
        <f t="shared" si="11"/>
        <v>#DIV/0!</v>
      </c>
      <c r="AO65" s="17"/>
      <c r="AP65" s="17"/>
      <c r="AQ65" s="17"/>
      <c r="AR65" s="17"/>
      <c r="AS65" s="17"/>
      <c r="AT65" s="9" t="e">
        <f t="shared" si="12"/>
        <v>#DIV/0!</v>
      </c>
      <c r="AU65" s="208"/>
      <c r="AV65" s="209"/>
      <c r="AW65" s="9" t="str">
        <f t="shared" si="13"/>
        <v>0</v>
      </c>
      <c r="AX65" s="7" t="e">
        <f t="shared" si="1"/>
        <v>#DIV/0!</v>
      </c>
      <c r="AY65" s="18" t="e">
        <f t="shared" si="1"/>
        <v>#DIV/0!</v>
      </c>
      <c r="AZ65" s="231" t="e">
        <f t="shared" ref="AZ65" si="59">IF(BP65&gt;=4.5, " 5 ", IF(BP65&gt;=3.5," 4 ",IF(BP65&gt;=2.5," 3  ",IF(BP65&gt;=1.5," 2 ",IF(BP65&gt;=1,"1 ",IF(BP65&gt;=0,"0"))))))</f>
        <v>#DIV/0!</v>
      </c>
      <c r="BA65" s="4" t="e">
        <f t="shared" si="2"/>
        <v>#DIV/0!</v>
      </c>
      <c r="BB65" s="4" t="e">
        <f t="shared" si="14"/>
        <v>#DIV/0!</v>
      </c>
      <c r="BC65" s="4" t="e">
        <f t="shared" si="15"/>
        <v>#DIV/0!</v>
      </c>
      <c r="BD65" s="4">
        <f t="shared" si="16"/>
        <v>0</v>
      </c>
      <c r="BE65" s="12" t="e">
        <f t="shared" si="3"/>
        <v>#DIV/0!</v>
      </c>
      <c r="BF65" s="4" t="e">
        <f t="shared" si="17"/>
        <v>#DIV/0!</v>
      </c>
      <c r="BG65" s="4" t="e">
        <f t="shared" si="18"/>
        <v>#DIV/0!</v>
      </c>
      <c r="BH65" s="4" t="e">
        <f t="shared" si="19"/>
        <v>#DIV/0!</v>
      </c>
      <c r="BI65" s="4">
        <f t="shared" si="20"/>
        <v>0</v>
      </c>
      <c r="BJ65" s="12" t="e">
        <f t="shared" si="4"/>
        <v>#DIV/0!</v>
      </c>
      <c r="BK65" s="12" t="e">
        <f t="shared" si="5"/>
        <v>#DIV/0!</v>
      </c>
      <c r="BL65" s="12" t="e">
        <f>(BE65+BJ65)/2</f>
        <v>#DIV/0!</v>
      </c>
      <c r="BM65" s="10" t="e">
        <f t="shared" si="21"/>
        <v>#DIV/0!</v>
      </c>
      <c r="BN65" s="176" t="e">
        <f t="shared" si="33"/>
        <v>#DIV/0!</v>
      </c>
      <c r="BO65" s="12" t="e">
        <f t="shared" si="6"/>
        <v>#DIV/0!</v>
      </c>
      <c r="BP65" s="11" t="e">
        <f t="shared" si="25"/>
        <v>#DIV/0!</v>
      </c>
      <c r="BQ65" s="6"/>
      <c r="BR65" s="6"/>
    </row>
    <row r="66" spans="1:70" ht="18" customHeight="1" thickBot="1">
      <c r="A66" s="327"/>
      <c r="B66" s="330"/>
      <c r="C66" s="331"/>
      <c r="D66" s="225"/>
      <c r="E66" s="26">
        <v>2</v>
      </c>
      <c r="F66" s="17"/>
      <c r="G66" s="17"/>
      <c r="H66" s="17"/>
      <c r="I66" s="17"/>
      <c r="J66" s="17"/>
      <c r="K66" s="8" t="e">
        <f t="shared" si="7"/>
        <v>#DIV/0!</v>
      </c>
      <c r="L66" s="17"/>
      <c r="M66" s="17"/>
      <c r="N66" s="17"/>
      <c r="O66" s="17"/>
      <c r="P66" s="17"/>
      <c r="Q66" s="9" t="e">
        <f t="shared" si="23"/>
        <v>#DIV/0!</v>
      </c>
      <c r="R66" s="17"/>
      <c r="S66" s="17"/>
      <c r="T66" s="17"/>
      <c r="U66" s="17"/>
      <c r="V66" s="17"/>
      <c r="W66" s="9" t="e">
        <f t="shared" si="8"/>
        <v>#DIV/0!</v>
      </c>
      <c r="X66" s="233"/>
      <c r="Y66" s="234"/>
      <c r="Z66" s="9" t="str">
        <f t="shared" si="9"/>
        <v>0</v>
      </c>
      <c r="AA66" s="7" t="e">
        <f t="shared" si="0"/>
        <v>#DIV/0!</v>
      </c>
      <c r="AB66" s="365"/>
      <c r="AC66" s="17"/>
      <c r="AD66" s="17"/>
      <c r="AE66" s="17"/>
      <c r="AF66" s="17"/>
      <c r="AG66" s="17"/>
      <c r="AH66" s="9" t="e">
        <f t="shared" si="10"/>
        <v>#DIV/0!</v>
      </c>
      <c r="AI66" s="17"/>
      <c r="AJ66" s="17"/>
      <c r="AK66" s="17"/>
      <c r="AL66" s="17"/>
      <c r="AM66" s="17"/>
      <c r="AN66" s="9" t="e">
        <f t="shared" si="11"/>
        <v>#DIV/0!</v>
      </c>
      <c r="AO66" s="17"/>
      <c r="AP66" s="17"/>
      <c r="AQ66" s="17"/>
      <c r="AR66" s="17"/>
      <c r="AS66" s="17"/>
      <c r="AT66" s="9" t="e">
        <f t="shared" si="12"/>
        <v>#DIV/0!</v>
      </c>
      <c r="AU66" s="208"/>
      <c r="AV66" s="209"/>
      <c r="AW66" s="9" t="str">
        <f t="shared" si="13"/>
        <v>0</v>
      </c>
      <c r="AX66" s="7" t="e">
        <f t="shared" si="1"/>
        <v>#DIV/0!</v>
      </c>
      <c r="AY66" s="18" t="e">
        <f t="shared" si="1"/>
        <v>#DIV/0!</v>
      </c>
      <c r="AZ66" s="232"/>
      <c r="BA66" s="4" t="e">
        <f t="shared" si="2"/>
        <v>#DIV/0!</v>
      </c>
      <c r="BB66" s="4" t="e">
        <f t="shared" si="14"/>
        <v>#DIV/0!</v>
      </c>
      <c r="BC66" s="4" t="e">
        <f t="shared" si="15"/>
        <v>#DIV/0!</v>
      </c>
      <c r="BD66" s="4">
        <f t="shared" si="16"/>
        <v>0</v>
      </c>
      <c r="BE66" s="12" t="e">
        <f t="shared" si="3"/>
        <v>#DIV/0!</v>
      </c>
      <c r="BF66" s="4" t="e">
        <f t="shared" si="17"/>
        <v>#DIV/0!</v>
      </c>
      <c r="BG66" s="4" t="e">
        <f t="shared" si="18"/>
        <v>#DIV/0!</v>
      </c>
      <c r="BH66" s="4" t="e">
        <f t="shared" si="19"/>
        <v>#DIV/0!</v>
      </c>
      <c r="BI66" s="4">
        <f t="shared" si="20"/>
        <v>0</v>
      </c>
      <c r="BJ66" s="12" t="e">
        <f t="shared" si="4"/>
        <v>#DIV/0!</v>
      </c>
      <c r="BK66" s="12" t="e">
        <f t="shared" si="5"/>
        <v>#DIV/0!</v>
      </c>
      <c r="BL66" s="12"/>
      <c r="BM66" s="10"/>
      <c r="BN66" s="176"/>
      <c r="BO66" s="12" t="e">
        <f t="shared" si="6"/>
        <v>#DIV/0!</v>
      </c>
      <c r="BP66" s="11"/>
      <c r="BQ66" s="6"/>
      <c r="BR66" s="6"/>
    </row>
    <row r="67" spans="1:70" ht="18.75" customHeight="1">
      <c r="A67" s="326">
        <v>28</v>
      </c>
      <c r="B67" s="328"/>
      <c r="C67" s="329"/>
      <c r="D67" s="225"/>
      <c r="E67" s="27">
        <v>1</v>
      </c>
      <c r="F67" s="17"/>
      <c r="G67" s="17"/>
      <c r="H67" s="17"/>
      <c r="I67" s="17"/>
      <c r="J67" s="17"/>
      <c r="K67" s="8" t="e">
        <f t="shared" si="7"/>
        <v>#DIV/0!</v>
      </c>
      <c r="L67" s="17"/>
      <c r="M67" s="17"/>
      <c r="N67" s="17"/>
      <c r="O67" s="17"/>
      <c r="P67" s="17"/>
      <c r="Q67" s="9" t="e">
        <f t="shared" si="23"/>
        <v>#DIV/0!</v>
      </c>
      <c r="R67" s="17"/>
      <c r="S67" s="17"/>
      <c r="T67" s="17"/>
      <c r="U67" s="17"/>
      <c r="V67" s="17"/>
      <c r="W67" s="9" t="e">
        <f t="shared" si="8"/>
        <v>#DIV/0!</v>
      </c>
      <c r="X67" s="233"/>
      <c r="Y67" s="234"/>
      <c r="Z67" s="9" t="str">
        <f t="shared" si="9"/>
        <v>0</v>
      </c>
      <c r="AA67" s="7" t="e">
        <f t="shared" si="0"/>
        <v>#DIV/0!</v>
      </c>
      <c r="AB67" s="365"/>
      <c r="AC67" s="17"/>
      <c r="AD67" s="17"/>
      <c r="AE67" s="17"/>
      <c r="AF67" s="17"/>
      <c r="AG67" s="17"/>
      <c r="AH67" s="9" t="e">
        <f t="shared" si="10"/>
        <v>#DIV/0!</v>
      </c>
      <c r="AI67" s="17"/>
      <c r="AJ67" s="17"/>
      <c r="AK67" s="17"/>
      <c r="AL67" s="17"/>
      <c r="AM67" s="17"/>
      <c r="AN67" s="9" t="e">
        <f t="shared" si="11"/>
        <v>#DIV/0!</v>
      </c>
      <c r="AO67" s="17"/>
      <c r="AP67" s="17"/>
      <c r="AQ67" s="17"/>
      <c r="AR67" s="17"/>
      <c r="AS67" s="17"/>
      <c r="AT67" s="9" t="e">
        <f t="shared" si="12"/>
        <v>#DIV/0!</v>
      </c>
      <c r="AU67" s="208"/>
      <c r="AV67" s="209"/>
      <c r="AW67" s="9" t="str">
        <f t="shared" si="13"/>
        <v>0</v>
      </c>
      <c r="AX67" s="7" t="e">
        <f t="shared" si="1"/>
        <v>#DIV/0!</v>
      </c>
      <c r="AY67" s="18" t="e">
        <f t="shared" si="1"/>
        <v>#DIV/0!</v>
      </c>
      <c r="AZ67" s="231" t="e">
        <f t="shared" ref="AZ67" si="60">IF(BP67&gt;=4.5, " 5 ", IF(BP67&gt;=3.5," 4 ",IF(BP67&gt;=2.5," 3  ",IF(BP67&gt;=1.5," 2 ",IF(BP67&gt;=1,"1 ",IF(BP67&gt;=0,"0"))))))</f>
        <v>#DIV/0!</v>
      </c>
      <c r="BA67" s="4" t="e">
        <f t="shared" si="2"/>
        <v>#DIV/0!</v>
      </c>
      <c r="BB67" s="4" t="e">
        <f t="shared" si="14"/>
        <v>#DIV/0!</v>
      </c>
      <c r="BC67" s="4" t="e">
        <f t="shared" si="15"/>
        <v>#DIV/0!</v>
      </c>
      <c r="BD67" s="4">
        <f t="shared" si="16"/>
        <v>0</v>
      </c>
      <c r="BE67" s="12" t="e">
        <f t="shared" si="3"/>
        <v>#DIV/0!</v>
      </c>
      <c r="BF67" s="4" t="e">
        <f t="shared" si="17"/>
        <v>#DIV/0!</v>
      </c>
      <c r="BG67" s="4" t="e">
        <f t="shared" si="18"/>
        <v>#DIV/0!</v>
      </c>
      <c r="BH67" s="4" t="e">
        <f t="shared" si="19"/>
        <v>#DIV/0!</v>
      </c>
      <c r="BI67" s="4">
        <f t="shared" si="20"/>
        <v>0</v>
      </c>
      <c r="BJ67" s="12" t="e">
        <f t="shared" si="4"/>
        <v>#DIV/0!</v>
      </c>
      <c r="BK67" s="12" t="e">
        <f t="shared" si="5"/>
        <v>#DIV/0!</v>
      </c>
      <c r="BL67" s="12" t="e">
        <f>(BE67+BJ67)/2</f>
        <v>#DIV/0!</v>
      </c>
      <c r="BM67" s="10" t="e">
        <f t="shared" si="21"/>
        <v>#DIV/0!</v>
      </c>
      <c r="BN67" s="176" t="e">
        <f t="shared" si="35"/>
        <v>#DIV/0!</v>
      </c>
      <c r="BO67" s="12" t="e">
        <f t="shared" si="6"/>
        <v>#DIV/0!</v>
      </c>
      <c r="BP67" s="11" t="e">
        <f t="shared" si="25"/>
        <v>#DIV/0!</v>
      </c>
      <c r="BQ67" s="6"/>
      <c r="BR67" s="6"/>
    </row>
    <row r="68" spans="1:70" ht="19.5" customHeight="1" thickBot="1">
      <c r="A68" s="327"/>
      <c r="B68" s="330"/>
      <c r="C68" s="331"/>
      <c r="D68" s="225"/>
      <c r="E68" s="28">
        <v>2</v>
      </c>
      <c r="F68" s="17"/>
      <c r="G68" s="17"/>
      <c r="H68" s="17"/>
      <c r="I68" s="17"/>
      <c r="J68" s="17"/>
      <c r="K68" s="8" t="e">
        <f t="shared" si="7"/>
        <v>#DIV/0!</v>
      </c>
      <c r="L68" s="17"/>
      <c r="M68" s="17"/>
      <c r="N68" s="17"/>
      <c r="O68" s="17"/>
      <c r="P68" s="17"/>
      <c r="Q68" s="9" t="e">
        <f t="shared" si="23"/>
        <v>#DIV/0!</v>
      </c>
      <c r="R68" s="17"/>
      <c r="S68" s="17"/>
      <c r="T68" s="17"/>
      <c r="U68" s="17"/>
      <c r="V68" s="17"/>
      <c r="W68" s="9" t="e">
        <f t="shared" si="8"/>
        <v>#DIV/0!</v>
      </c>
      <c r="X68" s="233"/>
      <c r="Y68" s="234"/>
      <c r="Z68" s="9" t="str">
        <f t="shared" si="9"/>
        <v>0</v>
      </c>
      <c r="AA68" s="7" t="e">
        <f t="shared" si="0"/>
        <v>#DIV/0!</v>
      </c>
      <c r="AB68" s="365"/>
      <c r="AC68" s="17"/>
      <c r="AD68" s="17"/>
      <c r="AE68" s="17"/>
      <c r="AF68" s="17"/>
      <c r="AG68" s="17"/>
      <c r="AH68" s="9" t="e">
        <f t="shared" si="10"/>
        <v>#DIV/0!</v>
      </c>
      <c r="AI68" s="17"/>
      <c r="AJ68" s="17"/>
      <c r="AK68" s="17"/>
      <c r="AL68" s="17"/>
      <c r="AM68" s="17"/>
      <c r="AN68" s="9" t="e">
        <f t="shared" si="11"/>
        <v>#DIV/0!</v>
      </c>
      <c r="AO68" s="17"/>
      <c r="AP68" s="17"/>
      <c r="AQ68" s="17"/>
      <c r="AR68" s="17"/>
      <c r="AS68" s="17"/>
      <c r="AT68" s="9" t="e">
        <f t="shared" si="12"/>
        <v>#DIV/0!</v>
      </c>
      <c r="AU68" s="208"/>
      <c r="AV68" s="209"/>
      <c r="AW68" s="9" t="str">
        <f t="shared" si="13"/>
        <v>0</v>
      </c>
      <c r="AX68" s="7" t="e">
        <f t="shared" si="1"/>
        <v>#DIV/0!</v>
      </c>
      <c r="AY68" s="18" t="e">
        <f t="shared" si="1"/>
        <v>#DIV/0!</v>
      </c>
      <c r="AZ68" s="232"/>
      <c r="BA68" s="4" t="e">
        <f t="shared" si="2"/>
        <v>#DIV/0!</v>
      </c>
      <c r="BB68" s="4" t="e">
        <f t="shared" si="14"/>
        <v>#DIV/0!</v>
      </c>
      <c r="BC68" s="4" t="e">
        <f t="shared" si="15"/>
        <v>#DIV/0!</v>
      </c>
      <c r="BD68" s="4">
        <f t="shared" si="16"/>
        <v>0</v>
      </c>
      <c r="BE68" s="12" t="e">
        <f t="shared" si="3"/>
        <v>#DIV/0!</v>
      </c>
      <c r="BF68" s="4" t="e">
        <f t="shared" si="17"/>
        <v>#DIV/0!</v>
      </c>
      <c r="BG68" s="4" t="e">
        <f t="shared" si="18"/>
        <v>#DIV/0!</v>
      </c>
      <c r="BH68" s="4" t="e">
        <f t="shared" si="19"/>
        <v>#DIV/0!</v>
      </c>
      <c r="BI68" s="4">
        <f t="shared" si="20"/>
        <v>0</v>
      </c>
      <c r="BJ68" s="12" t="e">
        <f t="shared" si="4"/>
        <v>#DIV/0!</v>
      </c>
      <c r="BK68" s="12" t="e">
        <f t="shared" si="5"/>
        <v>#DIV/0!</v>
      </c>
      <c r="BL68" s="12"/>
      <c r="BM68" s="10"/>
      <c r="BN68" s="176"/>
      <c r="BO68" s="12" t="e">
        <f t="shared" si="6"/>
        <v>#DIV/0!</v>
      </c>
      <c r="BP68" s="11"/>
      <c r="BQ68" s="6"/>
      <c r="BR68" s="6"/>
    </row>
    <row r="69" spans="1:70" ht="18.75" customHeight="1">
      <c r="A69" s="326">
        <v>29</v>
      </c>
      <c r="B69" s="328"/>
      <c r="C69" s="329"/>
      <c r="D69" s="225"/>
      <c r="E69" s="27">
        <v>1</v>
      </c>
      <c r="F69" s="17"/>
      <c r="G69" s="17"/>
      <c r="H69" s="17"/>
      <c r="I69" s="17"/>
      <c r="J69" s="17"/>
      <c r="K69" s="8" t="e">
        <f t="shared" si="7"/>
        <v>#DIV/0!</v>
      </c>
      <c r="L69" s="17"/>
      <c r="M69" s="17"/>
      <c r="N69" s="17"/>
      <c r="O69" s="17"/>
      <c r="P69" s="17"/>
      <c r="Q69" s="9" t="e">
        <f t="shared" si="23"/>
        <v>#DIV/0!</v>
      </c>
      <c r="R69" s="17"/>
      <c r="S69" s="17"/>
      <c r="T69" s="17"/>
      <c r="U69" s="17"/>
      <c r="V69" s="17"/>
      <c r="W69" s="9" t="e">
        <f t="shared" si="8"/>
        <v>#DIV/0!</v>
      </c>
      <c r="X69" s="233"/>
      <c r="Y69" s="234"/>
      <c r="Z69" s="9" t="str">
        <f t="shared" si="9"/>
        <v>0</v>
      </c>
      <c r="AA69" s="7" t="e">
        <f t="shared" si="0"/>
        <v>#DIV/0!</v>
      </c>
      <c r="AB69" s="365"/>
      <c r="AC69" s="17"/>
      <c r="AD69" s="17"/>
      <c r="AE69" s="17"/>
      <c r="AF69" s="17"/>
      <c r="AG69" s="17"/>
      <c r="AH69" s="9" t="e">
        <f t="shared" si="10"/>
        <v>#DIV/0!</v>
      </c>
      <c r="AI69" s="17"/>
      <c r="AJ69" s="17"/>
      <c r="AK69" s="17"/>
      <c r="AL69" s="17"/>
      <c r="AM69" s="17"/>
      <c r="AN69" s="9" t="e">
        <f t="shared" si="11"/>
        <v>#DIV/0!</v>
      </c>
      <c r="AO69" s="17"/>
      <c r="AP69" s="17"/>
      <c r="AQ69" s="17"/>
      <c r="AR69" s="17"/>
      <c r="AS69" s="17"/>
      <c r="AT69" s="9" t="e">
        <f t="shared" si="12"/>
        <v>#DIV/0!</v>
      </c>
      <c r="AU69" s="208"/>
      <c r="AV69" s="209"/>
      <c r="AW69" s="9" t="str">
        <f t="shared" si="13"/>
        <v>0</v>
      </c>
      <c r="AX69" s="7" t="e">
        <f t="shared" si="1"/>
        <v>#DIV/0!</v>
      </c>
      <c r="AY69" s="18" t="e">
        <f t="shared" si="1"/>
        <v>#DIV/0!</v>
      </c>
      <c r="AZ69" s="231" t="e">
        <f t="shared" ref="AZ69" si="61">IF(BP69&gt;=4.5, " 5 ", IF(BP69&gt;=3.5," 4 ",IF(BP69&gt;=2.5," 3  ",IF(BP69&gt;=1.5," 2 ",IF(BP69&gt;=1,"1 ",IF(BP69&gt;=0,"0"))))))</f>
        <v>#DIV/0!</v>
      </c>
      <c r="BA69" s="4" t="e">
        <f t="shared" si="2"/>
        <v>#DIV/0!</v>
      </c>
      <c r="BB69" s="4" t="e">
        <f t="shared" si="14"/>
        <v>#DIV/0!</v>
      </c>
      <c r="BC69" s="4" t="e">
        <f t="shared" si="15"/>
        <v>#DIV/0!</v>
      </c>
      <c r="BD69" s="4">
        <f t="shared" si="16"/>
        <v>0</v>
      </c>
      <c r="BE69" s="12" t="e">
        <f t="shared" si="3"/>
        <v>#DIV/0!</v>
      </c>
      <c r="BF69" s="4" t="e">
        <f t="shared" si="17"/>
        <v>#DIV/0!</v>
      </c>
      <c r="BG69" s="4" t="e">
        <f t="shared" si="18"/>
        <v>#DIV/0!</v>
      </c>
      <c r="BH69" s="4" t="e">
        <f t="shared" si="19"/>
        <v>#DIV/0!</v>
      </c>
      <c r="BI69" s="4">
        <f t="shared" si="20"/>
        <v>0</v>
      </c>
      <c r="BJ69" s="12" t="e">
        <f t="shared" si="4"/>
        <v>#DIV/0!</v>
      </c>
      <c r="BK69" s="12" t="e">
        <f t="shared" si="5"/>
        <v>#DIV/0!</v>
      </c>
      <c r="BL69" s="12" t="e">
        <f>(BE69+BJ69)/2</f>
        <v>#DIV/0!</v>
      </c>
      <c r="BM69" s="10" t="e">
        <f t="shared" si="21"/>
        <v>#DIV/0!</v>
      </c>
      <c r="BN69" s="176" t="e">
        <f t="shared" ref="BN69" si="62">ROUND(BO70,)</f>
        <v>#DIV/0!</v>
      </c>
      <c r="BO69" s="12" t="e">
        <f t="shared" si="6"/>
        <v>#DIV/0!</v>
      </c>
      <c r="BP69" s="11" t="e">
        <f t="shared" si="25"/>
        <v>#DIV/0!</v>
      </c>
      <c r="BQ69" s="6"/>
      <c r="BR69" s="6"/>
    </row>
    <row r="70" spans="1:70" ht="17.25" customHeight="1" thickBot="1">
      <c r="A70" s="327"/>
      <c r="B70" s="330"/>
      <c r="C70" s="331"/>
      <c r="D70" s="225"/>
      <c r="E70" s="29">
        <v>2</v>
      </c>
      <c r="F70" s="17"/>
      <c r="G70" s="17"/>
      <c r="H70" s="17"/>
      <c r="I70" s="17"/>
      <c r="J70" s="17"/>
      <c r="K70" s="8" t="e">
        <f t="shared" si="7"/>
        <v>#DIV/0!</v>
      </c>
      <c r="L70" s="17"/>
      <c r="M70" s="17"/>
      <c r="N70" s="17"/>
      <c r="O70" s="17"/>
      <c r="P70" s="17"/>
      <c r="Q70" s="9" t="e">
        <f t="shared" si="23"/>
        <v>#DIV/0!</v>
      </c>
      <c r="R70" s="17"/>
      <c r="S70" s="17"/>
      <c r="T70" s="17"/>
      <c r="U70" s="17"/>
      <c r="V70" s="17"/>
      <c r="W70" s="9" t="e">
        <f t="shared" si="8"/>
        <v>#DIV/0!</v>
      </c>
      <c r="X70" s="233"/>
      <c r="Y70" s="234"/>
      <c r="Z70" s="9" t="str">
        <f t="shared" si="9"/>
        <v>0</v>
      </c>
      <c r="AA70" s="7" t="e">
        <f t="shared" si="0"/>
        <v>#DIV/0!</v>
      </c>
      <c r="AB70" s="365"/>
      <c r="AC70" s="17"/>
      <c r="AD70" s="17"/>
      <c r="AE70" s="17"/>
      <c r="AF70" s="17"/>
      <c r="AG70" s="17"/>
      <c r="AH70" s="9" t="e">
        <f t="shared" si="10"/>
        <v>#DIV/0!</v>
      </c>
      <c r="AI70" s="17"/>
      <c r="AJ70" s="17"/>
      <c r="AK70" s="17"/>
      <c r="AL70" s="17"/>
      <c r="AM70" s="17"/>
      <c r="AN70" s="9" t="e">
        <f t="shared" si="11"/>
        <v>#DIV/0!</v>
      </c>
      <c r="AO70" s="17"/>
      <c r="AP70" s="17"/>
      <c r="AQ70" s="17"/>
      <c r="AR70" s="17"/>
      <c r="AS70" s="17"/>
      <c r="AT70" s="9" t="e">
        <f t="shared" si="12"/>
        <v>#DIV/0!</v>
      </c>
      <c r="AU70" s="208"/>
      <c r="AV70" s="209"/>
      <c r="AW70" s="9" t="str">
        <f t="shared" si="13"/>
        <v>0</v>
      </c>
      <c r="AX70" s="7" t="e">
        <f t="shared" si="1"/>
        <v>#DIV/0!</v>
      </c>
      <c r="AY70" s="18" t="e">
        <f t="shared" si="1"/>
        <v>#DIV/0!</v>
      </c>
      <c r="AZ70" s="232"/>
      <c r="BA70" s="4" t="e">
        <f t="shared" si="2"/>
        <v>#DIV/0!</v>
      </c>
      <c r="BB70" s="4" t="e">
        <f t="shared" si="14"/>
        <v>#DIV/0!</v>
      </c>
      <c r="BC70" s="4" t="e">
        <f t="shared" si="15"/>
        <v>#DIV/0!</v>
      </c>
      <c r="BD70" s="4">
        <f t="shared" si="16"/>
        <v>0</v>
      </c>
      <c r="BE70" s="12" t="e">
        <f t="shared" si="3"/>
        <v>#DIV/0!</v>
      </c>
      <c r="BF70" s="4" t="e">
        <f t="shared" si="17"/>
        <v>#DIV/0!</v>
      </c>
      <c r="BG70" s="4" t="e">
        <f t="shared" si="18"/>
        <v>#DIV/0!</v>
      </c>
      <c r="BH70" s="4" t="e">
        <f t="shared" si="19"/>
        <v>#DIV/0!</v>
      </c>
      <c r="BI70" s="4">
        <f t="shared" si="20"/>
        <v>0</v>
      </c>
      <c r="BJ70" s="12" t="e">
        <f t="shared" si="4"/>
        <v>#DIV/0!</v>
      </c>
      <c r="BK70" s="12" t="e">
        <f t="shared" si="5"/>
        <v>#DIV/0!</v>
      </c>
      <c r="BL70" s="12"/>
      <c r="BM70" s="10"/>
      <c r="BN70" s="176"/>
      <c r="BO70" s="12" t="e">
        <f t="shared" si="6"/>
        <v>#DIV/0!</v>
      </c>
      <c r="BP70" s="11"/>
      <c r="BQ70" s="6"/>
      <c r="BR70" s="6"/>
    </row>
    <row r="71" spans="1:70" ht="17.25" customHeight="1">
      <c r="A71" s="326">
        <v>30</v>
      </c>
      <c r="B71" s="328"/>
      <c r="C71" s="329"/>
      <c r="D71" s="225"/>
      <c r="E71" s="24">
        <v>1</v>
      </c>
      <c r="F71" s="17"/>
      <c r="G71" s="17"/>
      <c r="H71" s="17"/>
      <c r="I71" s="17"/>
      <c r="J71" s="17"/>
      <c r="K71" s="8" t="e">
        <f t="shared" si="7"/>
        <v>#DIV/0!</v>
      </c>
      <c r="L71" s="17"/>
      <c r="M71" s="17"/>
      <c r="N71" s="17"/>
      <c r="O71" s="17"/>
      <c r="P71" s="17"/>
      <c r="Q71" s="9" t="e">
        <f t="shared" si="23"/>
        <v>#DIV/0!</v>
      </c>
      <c r="R71" s="17"/>
      <c r="S71" s="17"/>
      <c r="T71" s="17"/>
      <c r="U71" s="17"/>
      <c r="V71" s="17"/>
      <c r="W71" s="9" t="e">
        <f t="shared" si="8"/>
        <v>#DIV/0!</v>
      </c>
      <c r="X71" s="233"/>
      <c r="Y71" s="234"/>
      <c r="Z71" s="9" t="str">
        <f t="shared" si="9"/>
        <v>0</v>
      </c>
      <c r="AA71" s="7" t="e">
        <f t="shared" si="0"/>
        <v>#DIV/0!</v>
      </c>
      <c r="AB71" s="365"/>
      <c r="AC71" s="17"/>
      <c r="AD71" s="17"/>
      <c r="AE71" s="17"/>
      <c r="AF71" s="17"/>
      <c r="AG71" s="17"/>
      <c r="AH71" s="9" t="e">
        <f t="shared" si="10"/>
        <v>#DIV/0!</v>
      </c>
      <c r="AI71" s="17"/>
      <c r="AJ71" s="17"/>
      <c r="AK71" s="17"/>
      <c r="AL71" s="17"/>
      <c r="AM71" s="17"/>
      <c r="AN71" s="9" t="e">
        <f t="shared" si="11"/>
        <v>#DIV/0!</v>
      </c>
      <c r="AO71" s="17"/>
      <c r="AP71" s="17"/>
      <c r="AQ71" s="17"/>
      <c r="AR71" s="17"/>
      <c r="AS71" s="17"/>
      <c r="AT71" s="9" t="e">
        <f t="shared" si="12"/>
        <v>#DIV/0!</v>
      </c>
      <c r="AU71" s="208"/>
      <c r="AV71" s="209"/>
      <c r="AW71" s="9" t="str">
        <f t="shared" si="13"/>
        <v>0</v>
      </c>
      <c r="AX71" s="7" t="e">
        <f t="shared" si="1"/>
        <v>#DIV/0!</v>
      </c>
      <c r="AY71" s="18" t="e">
        <f t="shared" si="1"/>
        <v>#DIV/0!</v>
      </c>
      <c r="AZ71" s="231" t="e">
        <f t="shared" ref="AZ71" si="63">IF(BP71&gt;=4.5, " 5 ", IF(BP71&gt;=3.5," 4 ",IF(BP71&gt;=2.5," 3  ",IF(BP71&gt;=1.5," 2 ",IF(BP71&gt;=1,"1 ",IF(BP71&gt;=0,"0"))))))</f>
        <v>#DIV/0!</v>
      </c>
      <c r="BA71" s="4" t="e">
        <f t="shared" si="2"/>
        <v>#DIV/0!</v>
      </c>
      <c r="BB71" s="4" t="e">
        <f t="shared" si="14"/>
        <v>#DIV/0!</v>
      </c>
      <c r="BC71" s="4" t="e">
        <f t="shared" si="15"/>
        <v>#DIV/0!</v>
      </c>
      <c r="BD71" s="4">
        <f t="shared" si="16"/>
        <v>0</v>
      </c>
      <c r="BE71" s="12" t="e">
        <f t="shared" si="3"/>
        <v>#DIV/0!</v>
      </c>
      <c r="BF71" s="4" t="e">
        <f t="shared" si="17"/>
        <v>#DIV/0!</v>
      </c>
      <c r="BG71" s="4" t="e">
        <f t="shared" si="18"/>
        <v>#DIV/0!</v>
      </c>
      <c r="BH71" s="4" t="e">
        <f t="shared" si="19"/>
        <v>#DIV/0!</v>
      </c>
      <c r="BI71" s="4">
        <f t="shared" si="20"/>
        <v>0</v>
      </c>
      <c r="BJ71" s="12" t="e">
        <f t="shared" si="4"/>
        <v>#DIV/0!</v>
      </c>
      <c r="BK71" s="12" t="e">
        <f t="shared" si="5"/>
        <v>#DIV/0!</v>
      </c>
      <c r="BL71" s="12" t="e">
        <f>(BE71+BJ71)/2</f>
        <v>#DIV/0!</v>
      </c>
      <c r="BM71" s="10" t="e">
        <f t="shared" si="21"/>
        <v>#DIV/0!</v>
      </c>
      <c r="BN71" s="176" t="e">
        <f t="shared" si="31"/>
        <v>#DIV/0!</v>
      </c>
      <c r="BO71" s="12" t="e">
        <f t="shared" si="6"/>
        <v>#DIV/0!</v>
      </c>
      <c r="BP71" s="11" t="e">
        <f t="shared" si="25"/>
        <v>#DIV/0!</v>
      </c>
      <c r="BQ71" s="6"/>
      <c r="BR71" s="6"/>
    </row>
    <row r="72" spans="1:70" ht="17.25" customHeight="1" thickBot="1">
      <c r="A72" s="327"/>
      <c r="B72" s="330"/>
      <c r="C72" s="331"/>
      <c r="D72" s="225"/>
      <c r="E72" s="25">
        <v>2</v>
      </c>
      <c r="F72" s="17"/>
      <c r="G72" s="17"/>
      <c r="H72" s="17"/>
      <c r="I72" s="17"/>
      <c r="J72" s="17"/>
      <c r="K72" s="8" t="e">
        <f t="shared" si="7"/>
        <v>#DIV/0!</v>
      </c>
      <c r="L72" s="17"/>
      <c r="M72" s="17"/>
      <c r="N72" s="17"/>
      <c r="O72" s="17"/>
      <c r="P72" s="17"/>
      <c r="Q72" s="9" t="e">
        <f t="shared" si="23"/>
        <v>#DIV/0!</v>
      </c>
      <c r="R72" s="17"/>
      <c r="S72" s="17"/>
      <c r="T72" s="17"/>
      <c r="U72" s="17"/>
      <c r="V72" s="17"/>
      <c r="W72" s="9" t="e">
        <f>AVERAGE(R72:V72)</f>
        <v>#DIV/0!</v>
      </c>
      <c r="X72" s="233"/>
      <c r="Y72" s="234"/>
      <c r="Z72" s="9" t="str">
        <f t="shared" si="9"/>
        <v>0</v>
      </c>
      <c r="AA72" s="7" t="e">
        <f t="shared" si="0"/>
        <v>#DIV/0!</v>
      </c>
      <c r="AB72" s="366"/>
      <c r="AC72" s="17"/>
      <c r="AD72" s="17"/>
      <c r="AE72" s="17"/>
      <c r="AF72" s="17"/>
      <c r="AG72" s="17"/>
      <c r="AH72" s="9" t="e">
        <f t="shared" si="10"/>
        <v>#DIV/0!</v>
      </c>
      <c r="AI72" s="17"/>
      <c r="AJ72" s="17"/>
      <c r="AK72" s="17"/>
      <c r="AL72" s="17"/>
      <c r="AM72" s="17"/>
      <c r="AN72" s="9" t="e">
        <f t="shared" si="11"/>
        <v>#DIV/0!</v>
      </c>
      <c r="AO72" s="17"/>
      <c r="AP72" s="17"/>
      <c r="AQ72" s="17"/>
      <c r="AR72" s="17"/>
      <c r="AS72" s="17"/>
      <c r="AT72" s="9" t="e">
        <f t="shared" si="12"/>
        <v>#DIV/0!</v>
      </c>
      <c r="AU72" s="208"/>
      <c r="AV72" s="209"/>
      <c r="AW72" s="9" t="str">
        <f t="shared" si="13"/>
        <v>0</v>
      </c>
      <c r="AX72" s="7" t="e">
        <f t="shared" si="1"/>
        <v>#DIV/0!</v>
      </c>
      <c r="AY72" s="18" t="e">
        <f t="shared" si="1"/>
        <v>#DIV/0!</v>
      </c>
      <c r="AZ72" s="232"/>
      <c r="BA72" s="4" t="e">
        <f t="shared" si="2"/>
        <v>#DIV/0!</v>
      </c>
      <c r="BB72" s="4" t="e">
        <f t="shared" si="14"/>
        <v>#DIV/0!</v>
      </c>
      <c r="BC72" s="4" t="e">
        <f t="shared" si="15"/>
        <v>#DIV/0!</v>
      </c>
      <c r="BD72" s="4">
        <f t="shared" si="16"/>
        <v>0</v>
      </c>
      <c r="BE72" s="12" t="e">
        <f t="shared" si="3"/>
        <v>#DIV/0!</v>
      </c>
      <c r="BF72" s="4" t="e">
        <f t="shared" si="17"/>
        <v>#DIV/0!</v>
      </c>
      <c r="BG72" s="4" t="e">
        <f t="shared" si="18"/>
        <v>#DIV/0!</v>
      </c>
      <c r="BH72" s="4" t="e">
        <f t="shared" si="19"/>
        <v>#DIV/0!</v>
      </c>
      <c r="BI72" s="4">
        <f t="shared" si="20"/>
        <v>0</v>
      </c>
      <c r="BJ72" s="12" t="e">
        <f t="shared" si="4"/>
        <v>#DIV/0!</v>
      </c>
      <c r="BK72" s="12" t="e">
        <f t="shared" si="5"/>
        <v>#DIV/0!</v>
      </c>
      <c r="BL72" s="12"/>
      <c r="BM72" s="10"/>
      <c r="BN72" s="176"/>
      <c r="BO72" s="12" t="e">
        <f t="shared" si="6"/>
        <v>#DIV/0!</v>
      </c>
      <c r="BP72" s="11"/>
      <c r="BQ72" s="6"/>
      <c r="BR72" s="6"/>
    </row>
  </sheetData>
  <sheetProtection sheet="1" selectLockedCells="1"/>
  <mergeCells count="414">
    <mergeCell ref="X72:Y72"/>
    <mergeCell ref="AU72:AV72"/>
    <mergeCell ref="D9:D12"/>
    <mergeCell ref="D8:R8"/>
    <mergeCell ref="BN69:BN70"/>
    <mergeCell ref="X70:Y70"/>
    <mergeCell ref="AU70:AV70"/>
    <mergeCell ref="A71:A72"/>
    <mergeCell ref="B71:C72"/>
    <mergeCell ref="D71:D72"/>
    <mergeCell ref="X71:Y71"/>
    <mergeCell ref="AU71:AV71"/>
    <mergeCell ref="AZ71:AZ72"/>
    <mergeCell ref="BN71:BN72"/>
    <mergeCell ref="AZ67:AZ68"/>
    <mergeCell ref="BN67:BN68"/>
    <mergeCell ref="X68:Y68"/>
    <mergeCell ref="AU68:AV68"/>
    <mergeCell ref="A69:A70"/>
    <mergeCell ref="B69:C70"/>
    <mergeCell ref="D69:D70"/>
    <mergeCell ref="X69:Y69"/>
    <mergeCell ref="AU69:AV69"/>
    <mergeCell ref="AZ69:AZ70"/>
    <mergeCell ref="X66:Y66"/>
    <mergeCell ref="AU66:AV66"/>
    <mergeCell ref="A67:A68"/>
    <mergeCell ref="B67:C68"/>
    <mergeCell ref="D67:D68"/>
    <mergeCell ref="X67:Y67"/>
    <mergeCell ref="AU67:AV67"/>
    <mergeCell ref="BN63:BN64"/>
    <mergeCell ref="X64:Y64"/>
    <mergeCell ref="AU64:AV64"/>
    <mergeCell ref="A65:A66"/>
    <mergeCell ref="B65:C66"/>
    <mergeCell ref="D65:D66"/>
    <mergeCell ref="X65:Y65"/>
    <mergeCell ref="AU65:AV65"/>
    <mergeCell ref="AZ65:AZ66"/>
    <mergeCell ref="BN65:BN66"/>
    <mergeCell ref="BN61:BN62"/>
    <mergeCell ref="X62:Y62"/>
    <mergeCell ref="AU62:AV62"/>
    <mergeCell ref="A63:A64"/>
    <mergeCell ref="B63:C64"/>
    <mergeCell ref="D63:D64"/>
    <mergeCell ref="X63:Y63"/>
    <mergeCell ref="AU63:AV63"/>
    <mergeCell ref="AZ63:AZ64"/>
    <mergeCell ref="A61:A62"/>
    <mergeCell ref="B61:C62"/>
    <mergeCell ref="D61:D62"/>
    <mergeCell ref="X61:Y61"/>
    <mergeCell ref="AU61:AV61"/>
    <mergeCell ref="AZ61:AZ62"/>
    <mergeCell ref="BN57:BN58"/>
    <mergeCell ref="X58:Y58"/>
    <mergeCell ref="AU58:AV58"/>
    <mergeCell ref="A59:A60"/>
    <mergeCell ref="B59:C60"/>
    <mergeCell ref="D59:D60"/>
    <mergeCell ref="X59:Y59"/>
    <mergeCell ref="AU59:AV59"/>
    <mergeCell ref="AZ59:AZ60"/>
    <mergeCell ref="BN59:BN60"/>
    <mergeCell ref="A57:A58"/>
    <mergeCell ref="B57:C58"/>
    <mergeCell ref="D57:D58"/>
    <mergeCell ref="X57:Y57"/>
    <mergeCell ref="AU57:AV57"/>
    <mergeCell ref="AZ57:AZ58"/>
    <mergeCell ref="X60:Y60"/>
    <mergeCell ref="AU60:AV60"/>
    <mergeCell ref="X54:Y54"/>
    <mergeCell ref="AU54:AV54"/>
    <mergeCell ref="A55:A56"/>
    <mergeCell ref="B55:C56"/>
    <mergeCell ref="D55:D56"/>
    <mergeCell ref="X55:Y55"/>
    <mergeCell ref="AU55:AV55"/>
    <mergeCell ref="BN51:BN52"/>
    <mergeCell ref="X52:Y52"/>
    <mergeCell ref="AU52:AV52"/>
    <mergeCell ref="A53:A54"/>
    <mergeCell ref="B53:C54"/>
    <mergeCell ref="D53:D54"/>
    <mergeCell ref="X53:Y53"/>
    <mergeCell ref="AU53:AV53"/>
    <mergeCell ref="AZ53:AZ54"/>
    <mergeCell ref="BN53:BN54"/>
    <mergeCell ref="AZ55:AZ56"/>
    <mergeCell ref="BN55:BN56"/>
    <mergeCell ref="X56:Y56"/>
    <mergeCell ref="AU56:AV56"/>
    <mergeCell ref="BN49:BN50"/>
    <mergeCell ref="X50:Y50"/>
    <mergeCell ref="AU50:AV50"/>
    <mergeCell ref="A51:A52"/>
    <mergeCell ref="B51:C52"/>
    <mergeCell ref="D51:D52"/>
    <mergeCell ref="X51:Y51"/>
    <mergeCell ref="AU51:AV51"/>
    <mergeCell ref="AZ51:AZ52"/>
    <mergeCell ref="A49:A50"/>
    <mergeCell ref="B49:C50"/>
    <mergeCell ref="D49:D50"/>
    <mergeCell ref="X49:Y49"/>
    <mergeCell ref="AU49:AV49"/>
    <mergeCell ref="AZ49:AZ50"/>
    <mergeCell ref="BN45:BN46"/>
    <mergeCell ref="X46:Y46"/>
    <mergeCell ref="AU46:AV46"/>
    <mergeCell ref="A47:A48"/>
    <mergeCell ref="B47:C48"/>
    <mergeCell ref="D47:D48"/>
    <mergeCell ref="X47:Y47"/>
    <mergeCell ref="AU47:AV47"/>
    <mergeCell ref="AZ47:AZ48"/>
    <mergeCell ref="BN47:BN48"/>
    <mergeCell ref="A45:A46"/>
    <mergeCell ref="B45:C46"/>
    <mergeCell ref="D45:D46"/>
    <mergeCell ref="X45:Y45"/>
    <mergeCell ref="AU45:AV45"/>
    <mergeCell ref="AZ45:AZ46"/>
    <mergeCell ref="X48:Y48"/>
    <mergeCell ref="AU48:AV48"/>
    <mergeCell ref="X42:Y42"/>
    <mergeCell ref="AU42:AV42"/>
    <mergeCell ref="A43:A44"/>
    <mergeCell ref="B43:C44"/>
    <mergeCell ref="D43:D44"/>
    <mergeCell ref="X43:Y43"/>
    <mergeCell ref="AU43:AV43"/>
    <mergeCell ref="BN39:BN40"/>
    <mergeCell ref="X40:Y40"/>
    <mergeCell ref="AU40:AV40"/>
    <mergeCell ref="A41:A42"/>
    <mergeCell ref="B41:C42"/>
    <mergeCell ref="D41:D42"/>
    <mergeCell ref="X41:Y41"/>
    <mergeCell ref="AU41:AV41"/>
    <mergeCell ref="AZ41:AZ42"/>
    <mergeCell ref="BN41:BN42"/>
    <mergeCell ref="AZ43:AZ44"/>
    <mergeCell ref="BN43:BN44"/>
    <mergeCell ref="X44:Y44"/>
    <mergeCell ref="AU44:AV44"/>
    <mergeCell ref="BN37:BN38"/>
    <mergeCell ref="X38:Y38"/>
    <mergeCell ref="AU38:AV38"/>
    <mergeCell ref="A39:A40"/>
    <mergeCell ref="B39:C40"/>
    <mergeCell ref="D39:D40"/>
    <mergeCell ref="X39:Y39"/>
    <mergeCell ref="AU39:AV39"/>
    <mergeCell ref="AZ39:AZ40"/>
    <mergeCell ref="A37:A38"/>
    <mergeCell ref="B37:C38"/>
    <mergeCell ref="D37:D38"/>
    <mergeCell ref="X37:Y37"/>
    <mergeCell ref="AU37:AV37"/>
    <mergeCell ref="AZ37:AZ38"/>
    <mergeCell ref="BN33:BN34"/>
    <mergeCell ref="X34:Y34"/>
    <mergeCell ref="AU34:AV34"/>
    <mergeCell ref="A35:A36"/>
    <mergeCell ref="B35:C36"/>
    <mergeCell ref="D35:D36"/>
    <mergeCell ref="X35:Y35"/>
    <mergeCell ref="AU35:AV35"/>
    <mergeCell ref="AZ35:AZ36"/>
    <mergeCell ref="BN35:BN36"/>
    <mergeCell ref="A33:A34"/>
    <mergeCell ref="B33:C34"/>
    <mergeCell ref="D33:D34"/>
    <mergeCell ref="X33:Y33"/>
    <mergeCell ref="AU33:AV33"/>
    <mergeCell ref="AZ33:AZ34"/>
    <mergeCell ref="X36:Y36"/>
    <mergeCell ref="AU36:AV36"/>
    <mergeCell ref="AU30:AV30"/>
    <mergeCell ref="A31:A32"/>
    <mergeCell ref="B31:C32"/>
    <mergeCell ref="D31:D32"/>
    <mergeCell ref="X31:Y31"/>
    <mergeCell ref="AU31:AV31"/>
    <mergeCell ref="BN27:BN28"/>
    <mergeCell ref="X28:Y28"/>
    <mergeCell ref="AU28:AV28"/>
    <mergeCell ref="A29:A30"/>
    <mergeCell ref="B29:C30"/>
    <mergeCell ref="D29:D30"/>
    <mergeCell ref="X29:Y29"/>
    <mergeCell ref="AU29:AV29"/>
    <mergeCell ref="AZ29:AZ30"/>
    <mergeCell ref="BN29:BN30"/>
    <mergeCell ref="X30:Y30"/>
    <mergeCell ref="AZ31:AZ32"/>
    <mergeCell ref="BN31:BN32"/>
    <mergeCell ref="X32:Y32"/>
    <mergeCell ref="AU32:AV32"/>
    <mergeCell ref="BN25:BN26"/>
    <mergeCell ref="X26:Y26"/>
    <mergeCell ref="AU26:AV26"/>
    <mergeCell ref="A27:A28"/>
    <mergeCell ref="B27:C28"/>
    <mergeCell ref="D27:D28"/>
    <mergeCell ref="X27:Y27"/>
    <mergeCell ref="AU27:AV27"/>
    <mergeCell ref="AZ27:AZ28"/>
    <mergeCell ref="A25:A26"/>
    <mergeCell ref="B25:C26"/>
    <mergeCell ref="D25:D26"/>
    <mergeCell ref="X25:Y25"/>
    <mergeCell ref="AU25:AV25"/>
    <mergeCell ref="AZ25:AZ26"/>
    <mergeCell ref="BN21:BN22"/>
    <mergeCell ref="X22:Y22"/>
    <mergeCell ref="AU22:AV22"/>
    <mergeCell ref="A23:A24"/>
    <mergeCell ref="B23:C24"/>
    <mergeCell ref="D23:D24"/>
    <mergeCell ref="X23:Y23"/>
    <mergeCell ref="AU23:AV23"/>
    <mergeCell ref="AZ23:AZ24"/>
    <mergeCell ref="BN23:BN24"/>
    <mergeCell ref="X24:Y24"/>
    <mergeCell ref="A21:A22"/>
    <mergeCell ref="B21:C22"/>
    <mergeCell ref="D21:D22"/>
    <mergeCell ref="X21:Y21"/>
    <mergeCell ref="AU21:AV21"/>
    <mergeCell ref="AZ21:AZ22"/>
    <mergeCell ref="AU24:AV24"/>
    <mergeCell ref="AU18:AV18"/>
    <mergeCell ref="A19:A20"/>
    <mergeCell ref="B19:C20"/>
    <mergeCell ref="D19:D20"/>
    <mergeCell ref="X19:Y19"/>
    <mergeCell ref="AU19:AV19"/>
    <mergeCell ref="BN15:BN16"/>
    <mergeCell ref="X16:Y16"/>
    <mergeCell ref="AU16:AV16"/>
    <mergeCell ref="A17:A18"/>
    <mergeCell ref="B17:C18"/>
    <mergeCell ref="D17:D18"/>
    <mergeCell ref="X17:Y17"/>
    <mergeCell ref="AU17:AV17"/>
    <mergeCell ref="AZ17:AZ18"/>
    <mergeCell ref="BN17:BN18"/>
    <mergeCell ref="AZ19:AZ20"/>
    <mergeCell ref="BN19:BN20"/>
    <mergeCell ref="X20:Y20"/>
    <mergeCell ref="AU20:AV20"/>
    <mergeCell ref="AZ13:AZ14"/>
    <mergeCell ref="BN13:BN14"/>
    <mergeCell ref="X14:Y14"/>
    <mergeCell ref="AU14:AV14"/>
    <mergeCell ref="A15:A16"/>
    <mergeCell ref="B15:C16"/>
    <mergeCell ref="D15:D16"/>
    <mergeCell ref="X15:Y15"/>
    <mergeCell ref="AU15:AV15"/>
    <mergeCell ref="AZ15:AZ16"/>
    <mergeCell ref="AU12:AV12"/>
    <mergeCell ref="A13:A14"/>
    <mergeCell ref="B13:C14"/>
    <mergeCell ref="D13:D14"/>
    <mergeCell ref="X13:Y13"/>
    <mergeCell ref="AU13:AV13"/>
    <mergeCell ref="AU9:AV11"/>
    <mergeCell ref="AW9:AW12"/>
    <mergeCell ref="AX9:AX11"/>
    <mergeCell ref="A9:C10"/>
    <mergeCell ref="E9:E12"/>
    <mergeCell ref="F9:J11"/>
    <mergeCell ref="K9:K12"/>
    <mergeCell ref="L9:P11"/>
    <mergeCell ref="Q9:Q12"/>
    <mergeCell ref="AY9:AY12"/>
    <mergeCell ref="AZ9:AZ12"/>
    <mergeCell ref="A11:A12"/>
    <mergeCell ref="B11:C12"/>
    <mergeCell ref="F12:J12"/>
    <mergeCell ref="L12:P12"/>
    <mergeCell ref="R12:V12"/>
    <mergeCell ref="AC9:AG11"/>
    <mergeCell ref="AH9:AH12"/>
    <mergeCell ref="AI9:AM11"/>
    <mergeCell ref="AN9:AN12"/>
    <mergeCell ref="AO9:AS11"/>
    <mergeCell ref="AT9:AT12"/>
    <mergeCell ref="AC12:AG12"/>
    <mergeCell ref="AI12:AM12"/>
    <mergeCell ref="AO12:AS12"/>
    <mergeCell ref="R9:V11"/>
    <mergeCell ref="W9:W12"/>
    <mergeCell ref="X9:Y11"/>
    <mergeCell ref="Z9:Z12"/>
    <mergeCell ref="AA9:AA11"/>
    <mergeCell ref="AB9:AB72"/>
    <mergeCell ref="X12:Y12"/>
    <mergeCell ref="X18:Y18"/>
    <mergeCell ref="A8:C8"/>
    <mergeCell ref="S8:AC8"/>
    <mergeCell ref="AD8:AF8"/>
    <mergeCell ref="AG8:AN8"/>
    <mergeCell ref="AO8:AQ8"/>
    <mergeCell ref="AM7:AN7"/>
    <mergeCell ref="AO7:AQ7"/>
    <mergeCell ref="AR7:AS7"/>
    <mergeCell ref="AT7:AU7"/>
    <mergeCell ref="A6:C7"/>
    <mergeCell ref="D6:R7"/>
    <mergeCell ref="AW7:AX7"/>
    <mergeCell ref="AY7:AZ7"/>
    <mergeCell ref="AT6:AU6"/>
    <mergeCell ref="AW6:AX6"/>
    <mergeCell ref="AY6:AZ6"/>
    <mergeCell ref="S7:W7"/>
    <mergeCell ref="X7:Y7"/>
    <mergeCell ref="Z7:AA7"/>
    <mergeCell ref="AD7:AF7"/>
    <mergeCell ref="AG7:AH7"/>
    <mergeCell ref="AI7:AJ7"/>
    <mergeCell ref="AK7:AL7"/>
    <mergeCell ref="AG6:AH6"/>
    <mergeCell ref="AI6:AJ6"/>
    <mergeCell ref="AK6:AL6"/>
    <mergeCell ref="AM6:AN6"/>
    <mergeCell ref="AO6:AQ6"/>
    <mergeCell ref="AR6:AS6"/>
    <mergeCell ref="S6:W6"/>
    <mergeCell ref="X6:Y6"/>
    <mergeCell ref="Z6:AA6"/>
    <mergeCell ref="AD6:AF6"/>
    <mergeCell ref="AT5:AU5"/>
    <mergeCell ref="AW5:AX5"/>
    <mergeCell ref="AT4:AU4"/>
    <mergeCell ref="AW4:AX4"/>
    <mergeCell ref="AY4:AZ4"/>
    <mergeCell ref="AK4:AL4"/>
    <mergeCell ref="AM4:AN4"/>
    <mergeCell ref="AO4:AQ4"/>
    <mergeCell ref="AR4:AS4"/>
    <mergeCell ref="A4:C5"/>
    <mergeCell ref="D4:R4"/>
    <mergeCell ref="S4:W4"/>
    <mergeCell ref="X4:Y4"/>
    <mergeCell ref="Z4:AA4"/>
    <mergeCell ref="AD4:AF4"/>
    <mergeCell ref="AK3:AL3"/>
    <mergeCell ref="AM3:AN3"/>
    <mergeCell ref="AO3:AQ3"/>
    <mergeCell ref="A1:A3"/>
    <mergeCell ref="B1:R1"/>
    <mergeCell ref="S1:X1"/>
    <mergeCell ref="Y1:AF1"/>
    <mergeCell ref="AG1:AQ1"/>
    <mergeCell ref="D5:R5"/>
    <mergeCell ref="S5:W5"/>
    <mergeCell ref="X5:Y5"/>
    <mergeCell ref="Z5:AA5"/>
    <mergeCell ref="AD5:AF5"/>
    <mergeCell ref="AG5:AH5"/>
    <mergeCell ref="AI5:AJ5"/>
    <mergeCell ref="AG4:AH4"/>
    <mergeCell ref="AI4:AJ4"/>
    <mergeCell ref="AK5:AL5"/>
    <mergeCell ref="BM2:BM12"/>
    <mergeCell ref="BN2:BN12"/>
    <mergeCell ref="BO2:BO12"/>
    <mergeCell ref="BP2:BP12"/>
    <mergeCell ref="S3:W3"/>
    <mergeCell ref="X3:Y3"/>
    <mergeCell ref="Z3:AA3"/>
    <mergeCell ref="AD3:AF3"/>
    <mergeCell ref="AG3:AH3"/>
    <mergeCell ref="AI3:AJ3"/>
    <mergeCell ref="AW2:AX2"/>
    <mergeCell ref="AY2:AZ2"/>
    <mergeCell ref="BE2:BE12"/>
    <mergeCell ref="BJ2:BJ12"/>
    <mergeCell ref="BK2:BK12"/>
    <mergeCell ref="BL2:BL12"/>
    <mergeCell ref="AY3:AZ3"/>
    <mergeCell ref="AY5:AZ5"/>
    <mergeCell ref="AR8:AX8"/>
    <mergeCell ref="AY8:AZ8"/>
    <mergeCell ref="AI2:AJ2"/>
    <mergeCell ref="AM5:AN5"/>
    <mergeCell ref="AO5:AQ5"/>
    <mergeCell ref="AR5:AS5"/>
    <mergeCell ref="AR1:AZ1"/>
    <mergeCell ref="B2:C3"/>
    <mergeCell ref="D2:H3"/>
    <mergeCell ref="I2:L3"/>
    <mergeCell ref="M2:O3"/>
    <mergeCell ref="AK2:AL2"/>
    <mergeCell ref="AM2:AN2"/>
    <mergeCell ref="AO2:AQ2"/>
    <mergeCell ref="AR2:AS2"/>
    <mergeCell ref="AT2:AU2"/>
    <mergeCell ref="P2:R3"/>
    <mergeCell ref="S2:W2"/>
    <mergeCell ref="X2:Y2"/>
    <mergeCell ref="Z2:AA2"/>
    <mergeCell ref="AD2:AF2"/>
    <mergeCell ref="AG2:AH2"/>
    <mergeCell ref="AR3:AS3"/>
    <mergeCell ref="AT3:AU3"/>
    <mergeCell ref="AW3:AX3"/>
  </mergeCells>
  <pageMargins left="0.21030092592592592" right="4.5717592592592594E-2" top="0.37037037037037035" bottom="0.25" header="7.9166666666666673E-3" footer="0"/>
  <pageSetup scale="80" fitToWidth="0" fitToHeight="0" orientation="landscape" r:id="rId1"/>
  <headerFooter>
    <oddHeader>&amp;L                                                                                                                         &amp;18     DITARI PERSONAL I MËSIMDHËNËSIT-ES</oddHeader>
  </headerFooter>
  <rowBreaks count="1" manualBreakCount="1">
    <brk id="36" max="5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1396-4EA2-478B-B50A-388EDA16FD98}">
  <sheetPr>
    <tabColor rgb="FFC00000"/>
  </sheetPr>
  <dimension ref="A1:BR72"/>
  <sheetViews>
    <sheetView view="pageLayout" zoomScale="90" zoomScaleNormal="80" zoomScalePageLayoutView="90" workbookViewId="0">
      <selection activeCell="D5" sqref="D5:R5"/>
    </sheetView>
  </sheetViews>
  <sheetFormatPr defaultColWidth="3" defaultRowHeight="20.25" customHeight="1"/>
  <cols>
    <col min="1" max="1" width="4.5" customWidth="1"/>
    <col min="2" max="2" width="1.1640625" hidden="1" customWidth="1"/>
    <col min="3" max="3" width="22.1640625" customWidth="1"/>
    <col min="4" max="4" width="3.6640625" style="11" customWidth="1"/>
    <col min="5" max="5" width="3" customWidth="1"/>
    <col min="11" max="11" width="3.5" bestFit="1" customWidth="1"/>
    <col min="17" max="17" width="3.5" bestFit="1" customWidth="1"/>
    <col min="25" max="25" width="3.6640625" customWidth="1"/>
    <col min="27" max="27" width="4.83203125" customWidth="1"/>
    <col min="28" max="29" width="4" customWidth="1"/>
    <col min="37" max="37" width="2.33203125" customWidth="1"/>
    <col min="48" max="48" width="4.6640625" customWidth="1"/>
    <col min="49" max="49" width="3" customWidth="1"/>
    <col min="50" max="50" width="5.33203125" customWidth="1"/>
    <col min="51" max="51" width="4.33203125" customWidth="1"/>
    <col min="52" max="52" width="7.1640625" customWidth="1"/>
    <col min="53" max="53" width="7.1640625" style="4" hidden="1" customWidth="1"/>
    <col min="54" max="54" width="6.83203125" style="4" hidden="1" customWidth="1"/>
    <col min="55" max="56" width="5.6640625" style="4" hidden="1" customWidth="1"/>
    <col min="57" max="57" width="8.1640625" style="10" hidden="1" customWidth="1"/>
    <col min="58" max="58" width="6.1640625" style="4" hidden="1" customWidth="1"/>
    <col min="59" max="59" width="9.1640625" style="4" hidden="1" customWidth="1"/>
    <col min="60" max="60" width="6.33203125" style="4" hidden="1" customWidth="1"/>
    <col min="61" max="61" width="5.6640625" style="4" hidden="1" customWidth="1"/>
    <col min="62" max="62" width="6.5" style="11" hidden="1" customWidth="1"/>
    <col min="63" max="63" width="8.33203125" hidden="1" customWidth="1"/>
    <col min="64" max="64" width="8.6640625" hidden="1" customWidth="1"/>
    <col min="65" max="65" width="6.5" hidden="1" customWidth="1"/>
    <col min="66" max="66" width="5.1640625" hidden="1" customWidth="1"/>
    <col min="67" max="67" width="6.6640625" hidden="1" customWidth="1"/>
    <col min="68" max="68" width="6.1640625" hidden="1" customWidth="1"/>
    <col min="70" max="70" width="7" customWidth="1"/>
  </cols>
  <sheetData>
    <row r="1" spans="1:70" ht="20.25" customHeight="1">
      <c r="A1" s="248" t="s">
        <v>30</v>
      </c>
      <c r="B1" s="268" t="s">
        <v>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210" t="s">
        <v>7</v>
      </c>
      <c r="T1" s="211"/>
      <c r="U1" s="211"/>
      <c r="V1" s="211"/>
      <c r="W1" s="211"/>
      <c r="X1" s="212"/>
      <c r="Y1" s="177" t="s">
        <v>46</v>
      </c>
      <c r="Z1" s="177"/>
      <c r="AA1" s="177"/>
      <c r="AB1" s="177"/>
      <c r="AC1" s="177"/>
      <c r="AD1" s="177"/>
      <c r="AE1" s="177"/>
      <c r="AF1" s="178"/>
      <c r="AG1" s="179" t="s">
        <v>47</v>
      </c>
      <c r="AH1" s="180"/>
      <c r="AI1" s="180"/>
      <c r="AJ1" s="180"/>
      <c r="AK1" s="180"/>
      <c r="AL1" s="180"/>
      <c r="AM1" s="180"/>
      <c r="AN1" s="180"/>
      <c r="AO1" s="180"/>
      <c r="AP1" s="180"/>
      <c r="AQ1" s="181"/>
      <c r="AR1" s="182" t="s">
        <v>23</v>
      </c>
      <c r="AS1" s="183"/>
      <c r="AT1" s="183"/>
      <c r="AU1" s="183"/>
      <c r="AV1" s="183"/>
      <c r="AW1" s="183"/>
      <c r="AX1" s="183"/>
      <c r="AY1" s="183"/>
      <c r="AZ1" s="184"/>
    </row>
    <row r="2" spans="1:70" ht="20.25" customHeight="1">
      <c r="A2" s="248"/>
      <c r="B2" s="250"/>
      <c r="C2" s="250"/>
      <c r="D2" s="271" t="s">
        <v>9</v>
      </c>
      <c r="E2" s="272"/>
      <c r="F2" s="272"/>
      <c r="G2" s="272"/>
      <c r="H2" s="273"/>
      <c r="I2" s="225" t="s">
        <v>51</v>
      </c>
      <c r="J2" s="225"/>
      <c r="K2" s="225"/>
      <c r="L2" s="225"/>
      <c r="M2" s="267" t="s">
        <v>6</v>
      </c>
      <c r="N2" s="267"/>
      <c r="O2" s="267"/>
      <c r="P2" s="268" t="s">
        <v>136</v>
      </c>
      <c r="Q2" s="268"/>
      <c r="R2" s="269"/>
      <c r="S2" s="291" t="s">
        <v>43</v>
      </c>
      <c r="T2" s="292"/>
      <c r="U2" s="292"/>
      <c r="V2" s="292"/>
      <c r="W2" s="293"/>
      <c r="X2" s="264" t="s">
        <v>44</v>
      </c>
      <c r="Y2" s="254"/>
      <c r="Z2" s="254" t="s">
        <v>45</v>
      </c>
      <c r="AA2" s="254"/>
      <c r="AB2" s="30" t="s">
        <v>53</v>
      </c>
      <c r="AC2" s="30" t="s">
        <v>52</v>
      </c>
      <c r="AD2" s="285" t="s">
        <v>15</v>
      </c>
      <c r="AE2" s="285"/>
      <c r="AF2" s="286"/>
      <c r="AG2" s="295" t="s">
        <v>44</v>
      </c>
      <c r="AH2" s="296"/>
      <c r="AI2" s="296" t="s">
        <v>45</v>
      </c>
      <c r="AJ2" s="296"/>
      <c r="AK2" s="221" t="s">
        <v>53</v>
      </c>
      <c r="AL2" s="221"/>
      <c r="AM2" s="221" t="s">
        <v>52</v>
      </c>
      <c r="AN2" s="221"/>
      <c r="AO2" s="222" t="s">
        <v>15</v>
      </c>
      <c r="AP2" s="222"/>
      <c r="AQ2" s="223"/>
      <c r="AR2" s="229" t="s">
        <v>44</v>
      </c>
      <c r="AS2" s="230"/>
      <c r="AT2" s="312" t="s">
        <v>45</v>
      </c>
      <c r="AU2" s="312"/>
      <c r="AV2" s="31" t="s">
        <v>53</v>
      </c>
      <c r="AW2" s="206" t="s">
        <v>52</v>
      </c>
      <c r="AX2" s="206"/>
      <c r="AY2" s="196" t="s">
        <v>15</v>
      </c>
      <c r="AZ2" s="197"/>
      <c r="BA2" s="13"/>
      <c r="BE2" s="240" t="s">
        <v>40</v>
      </c>
      <c r="BJ2" s="240" t="s">
        <v>39</v>
      </c>
      <c r="BK2" s="240" t="s">
        <v>38</v>
      </c>
      <c r="BL2" s="240" t="s">
        <v>41</v>
      </c>
      <c r="BM2" s="240" t="s">
        <v>41</v>
      </c>
      <c r="BN2" s="240" t="s">
        <v>42</v>
      </c>
      <c r="BO2" s="240" t="s">
        <v>42</v>
      </c>
      <c r="BP2" s="240" t="s">
        <v>50</v>
      </c>
    </row>
    <row r="3" spans="1:70" ht="20.25" customHeight="1">
      <c r="A3" s="248"/>
      <c r="B3" s="250"/>
      <c r="C3" s="250"/>
      <c r="D3" s="274"/>
      <c r="E3" s="275"/>
      <c r="F3" s="275"/>
      <c r="G3" s="275"/>
      <c r="H3" s="276"/>
      <c r="I3" s="225"/>
      <c r="J3" s="225"/>
      <c r="K3" s="225"/>
      <c r="L3" s="225"/>
      <c r="M3" s="267"/>
      <c r="N3" s="267"/>
      <c r="O3" s="267"/>
      <c r="P3" s="268"/>
      <c r="Q3" s="268"/>
      <c r="R3" s="269"/>
      <c r="S3" s="258" t="s">
        <v>11</v>
      </c>
      <c r="T3" s="259"/>
      <c r="U3" s="259"/>
      <c r="V3" s="259"/>
      <c r="W3" s="260"/>
      <c r="X3" s="265">
        <f>COUNTIF($BM$13:$BM$72,"5")</f>
        <v>0</v>
      </c>
      <c r="Y3" s="266"/>
      <c r="Z3" s="255" t="e">
        <f>X3/$AD$3</f>
        <v>#DIV/0!</v>
      </c>
      <c r="AA3" s="255"/>
      <c r="AB3" s="30">
        <f>COUNTIFS($BM$13:$BM$72,"5",$D$13:$D$72,"M")</f>
        <v>0</v>
      </c>
      <c r="AC3" s="30">
        <f>COUNTIFS($BM$13:$BM$72,"5",$D$13:$D$72,"F")</f>
        <v>0</v>
      </c>
      <c r="AD3" s="287">
        <f>SUM(X3:Y7)</f>
        <v>0</v>
      </c>
      <c r="AE3" s="287"/>
      <c r="AF3" s="288"/>
      <c r="AG3" s="297">
        <f>COUNTIF($BN$13:$BN$71,"5")</f>
        <v>0</v>
      </c>
      <c r="AH3" s="298"/>
      <c r="AI3" s="305" t="e">
        <f>AG3/$AO$3</f>
        <v>#DIV/0!</v>
      </c>
      <c r="AJ3" s="305"/>
      <c r="AK3" s="221">
        <f>COUNTIFS($BN$13:$BN$72,"5",$D$13:$D$72,"M")</f>
        <v>0</v>
      </c>
      <c r="AL3" s="221"/>
      <c r="AM3" s="221">
        <f>COUNTIFS($BN$13:$BN$72,"5",$D$13:$D$72,"F")</f>
        <v>0</v>
      </c>
      <c r="AN3" s="221"/>
      <c r="AO3" s="213">
        <f>SUM(AG3:AH7)</f>
        <v>0</v>
      </c>
      <c r="AP3" s="213"/>
      <c r="AQ3" s="214"/>
      <c r="AR3" s="303">
        <f>COUNTIF($AZ$13:$AZ$72,"5")</f>
        <v>0</v>
      </c>
      <c r="AS3" s="304"/>
      <c r="AT3" s="313" t="e">
        <f>AR3/$AY$3</f>
        <v>#DIV/0!</v>
      </c>
      <c r="AU3" s="313"/>
      <c r="AV3" s="31">
        <f>COUNTIFS($AZ$13:$AZ$72,"5",$D$13:$D$72,"M")</f>
        <v>0</v>
      </c>
      <c r="AW3" s="206">
        <f>COUNTIFS($AZ$13:$AZ$72,"5",$D$13:$D$72,"f")</f>
        <v>0</v>
      </c>
      <c r="AX3" s="206"/>
      <c r="AY3" s="198">
        <f>SUM(AR3:AS7)</f>
        <v>0</v>
      </c>
      <c r="AZ3" s="199"/>
      <c r="BA3" s="16"/>
      <c r="BE3" s="240"/>
      <c r="BJ3" s="240"/>
      <c r="BK3" s="240"/>
      <c r="BL3" s="240"/>
      <c r="BM3" s="240"/>
      <c r="BN3" s="240"/>
      <c r="BO3" s="240"/>
      <c r="BP3" s="240"/>
    </row>
    <row r="4" spans="1:70" ht="18" customHeight="1">
      <c r="A4" s="248"/>
      <c r="B4" s="248"/>
      <c r="C4" s="248"/>
      <c r="D4" s="277" t="s">
        <v>29</v>
      </c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9"/>
      <c r="S4" s="258" t="s">
        <v>12</v>
      </c>
      <c r="T4" s="259"/>
      <c r="U4" s="259"/>
      <c r="V4" s="259"/>
      <c r="W4" s="260"/>
      <c r="X4" s="265">
        <f>COUNTIF($BM$13:$BM$72,"4")</f>
        <v>0</v>
      </c>
      <c r="Y4" s="266"/>
      <c r="Z4" s="256" t="e">
        <f>X4/$AD$3</f>
        <v>#DIV/0!</v>
      </c>
      <c r="AA4" s="256"/>
      <c r="AB4" s="30">
        <f>COUNTIFS($BM$13:$BM$72,"4",$D$13:$D$72,"M")</f>
        <v>0</v>
      </c>
      <c r="AC4" s="30">
        <f>COUNTIFS($BM$13:$BM$72,"4",$D$13:$D$72,"F")</f>
        <v>0</v>
      </c>
      <c r="AD4" s="289" t="s">
        <v>48</v>
      </c>
      <c r="AE4" s="289"/>
      <c r="AF4" s="290"/>
      <c r="AG4" s="297">
        <f>COUNTIF($BN$13:$BN$71,"4")</f>
        <v>0</v>
      </c>
      <c r="AH4" s="298"/>
      <c r="AI4" s="305" t="e">
        <f>AG4/$AO$3</f>
        <v>#DIV/0!</v>
      </c>
      <c r="AJ4" s="305"/>
      <c r="AK4" s="221">
        <f>COUNTIFS($BN$13:$BN$72,"4",$D$13:$D$72,"M")</f>
        <v>0</v>
      </c>
      <c r="AL4" s="221"/>
      <c r="AM4" s="221">
        <f>COUNTIFS($BN$13:$BN$72,"4",$D$13:$D$72,"F")</f>
        <v>0</v>
      </c>
      <c r="AN4" s="221"/>
      <c r="AO4" s="215" t="s">
        <v>48</v>
      </c>
      <c r="AP4" s="215"/>
      <c r="AQ4" s="216"/>
      <c r="AR4" s="303">
        <f>COUNTIF($AZ$13:$AZ$72,"4")</f>
        <v>0</v>
      </c>
      <c r="AS4" s="304"/>
      <c r="AT4" s="313" t="e">
        <f>AR4/$AY$3</f>
        <v>#DIV/0!</v>
      </c>
      <c r="AU4" s="313"/>
      <c r="AV4" s="31">
        <f>COUNTIFS($AZ$13:$AZ$72,"4",$D$13:$D$72,"M")</f>
        <v>0</v>
      </c>
      <c r="AW4" s="206">
        <f>COUNTIFS($AZ$13:$AZ$72,"4",$D$13:$D$72,"F")</f>
        <v>0</v>
      </c>
      <c r="AX4" s="206"/>
      <c r="AY4" s="200" t="s">
        <v>48</v>
      </c>
      <c r="AZ4" s="201"/>
      <c r="BA4" s="15"/>
      <c r="BE4" s="240"/>
      <c r="BJ4" s="240"/>
      <c r="BK4" s="240"/>
      <c r="BL4" s="240"/>
      <c r="BM4" s="240"/>
      <c r="BN4" s="240"/>
      <c r="BO4" s="240"/>
      <c r="BP4" s="240"/>
    </row>
    <row r="5" spans="1:70" ht="19.5" customHeight="1">
      <c r="A5" s="248"/>
      <c r="B5" s="248"/>
      <c r="C5" s="248"/>
      <c r="D5" s="280" t="s">
        <v>2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2"/>
      <c r="S5" s="258" t="s">
        <v>13</v>
      </c>
      <c r="T5" s="259"/>
      <c r="U5" s="259"/>
      <c r="V5" s="259"/>
      <c r="W5" s="260"/>
      <c r="X5" s="265">
        <f>COUNTIF($BM$13:$BM$72,"3")</f>
        <v>0</v>
      </c>
      <c r="Y5" s="266"/>
      <c r="Z5" s="256" t="e">
        <f>X5/$AD$3</f>
        <v>#DIV/0!</v>
      </c>
      <c r="AA5" s="256"/>
      <c r="AB5" s="30">
        <f>COUNTIFS($BM$13:$BM$72,"3",$D$13:$D$72,"M")</f>
        <v>0</v>
      </c>
      <c r="AC5" s="30">
        <f>COUNTIFS($BM$13:$BM$72,"3",$D$13:$D$72,"F")</f>
        <v>0</v>
      </c>
      <c r="AD5" s="319">
        <f>SUM(X3:Y6)</f>
        <v>0</v>
      </c>
      <c r="AE5" s="319"/>
      <c r="AF5" s="320"/>
      <c r="AG5" s="297">
        <f>COUNTIF($BN$13:$BN$71,"3")</f>
        <v>0</v>
      </c>
      <c r="AH5" s="298"/>
      <c r="AI5" s="305" t="e">
        <f>AG5/$AO$3</f>
        <v>#DIV/0!</v>
      </c>
      <c r="AJ5" s="305"/>
      <c r="AK5" s="221">
        <f>COUNTIFS($BN$13:$BN$72,"3",$D$13:$D$72,"M")</f>
        <v>0</v>
      </c>
      <c r="AL5" s="221"/>
      <c r="AM5" s="221">
        <f>COUNTIFS($BN$13:$BN$72,"3",$D$13:$D$72,"F")</f>
        <v>0</v>
      </c>
      <c r="AN5" s="221"/>
      <c r="AO5" s="217">
        <f>SUM(AG3:AH6)</f>
        <v>0</v>
      </c>
      <c r="AP5" s="217"/>
      <c r="AQ5" s="218"/>
      <c r="AR5" s="303">
        <f>COUNTIF($AZ$13:$AZ$72,"3")</f>
        <v>0</v>
      </c>
      <c r="AS5" s="304"/>
      <c r="AT5" s="313" t="e">
        <f>AR5/$AY$3</f>
        <v>#DIV/0!</v>
      </c>
      <c r="AU5" s="313"/>
      <c r="AV5" s="31">
        <f>COUNTIFS($AZ$13:$AZ$72,"3",$D$13:$D$72,"M")</f>
        <v>0</v>
      </c>
      <c r="AW5" s="206">
        <f>COUNTIFS($AZ$13:$AZ$72,"3",$D$13:$D$72,"F")</f>
        <v>0</v>
      </c>
      <c r="AX5" s="206"/>
      <c r="AY5" s="202">
        <f>SUM(AQ3:AR6)</f>
        <v>0</v>
      </c>
      <c r="AZ5" s="203"/>
      <c r="BA5" s="14"/>
      <c r="BE5" s="240"/>
      <c r="BJ5" s="240"/>
      <c r="BK5" s="240"/>
      <c r="BL5" s="240"/>
      <c r="BM5" s="240"/>
      <c r="BN5" s="240"/>
      <c r="BO5" s="240"/>
      <c r="BP5" s="240"/>
    </row>
    <row r="6" spans="1:70" ht="17.25" customHeight="1">
      <c r="A6" s="241" t="s">
        <v>3</v>
      </c>
      <c r="B6" s="241"/>
      <c r="C6" s="241"/>
      <c r="D6" s="242" t="s">
        <v>4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58" t="s">
        <v>14</v>
      </c>
      <c r="T6" s="259"/>
      <c r="U6" s="259"/>
      <c r="V6" s="259"/>
      <c r="W6" s="260"/>
      <c r="X6" s="265">
        <f>COUNTIF($BM$13:$BM$72,"2")</f>
        <v>0</v>
      </c>
      <c r="Y6" s="266"/>
      <c r="Z6" s="255" t="e">
        <f>X6/$AD$3</f>
        <v>#DIV/0!</v>
      </c>
      <c r="AA6" s="255"/>
      <c r="AB6" s="30">
        <f>COUNTIFS($BM$13:$BM$72,"2",$D$13:$D$72,"M")</f>
        <v>0</v>
      </c>
      <c r="AC6" s="30">
        <f>COUNTIFS($BM$13:$BM$72,"2",$D$13:$D$72,"F")</f>
        <v>0</v>
      </c>
      <c r="AD6" s="289" t="s">
        <v>49</v>
      </c>
      <c r="AE6" s="289"/>
      <c r="AF6" s="290"/>
      <c r="AG6" s="297">
        <f>COUNTIF($BN$13:$BN$71,"2")</f>
        <v>0</v>
      </c>
      <c r="AH6" s="298"/>
      <c r="AI6" s="305" t="e">
        <f>AG6/$AO$3</f>
        <v>#DIV/0!</v>
      </c>
      <c r="AJ6" s="305"/>
      <c r="AK6" s="221">
        <f>COUNTIFS($BN$13:$BN$72,"2",$D$13:$D$72,"M")</f>
        <v>0</v>
      </c>
      <c r="AL6" s="221"/>
      <c r="AM6" s="221">
        <f>COUNTIFS($BN$13:$BN$72,"2",$D$13:$D$72,"F")</f>
        <v>0</v>
      </c>
      <c r="AN6" s="221"/>
      <c r="AO6" s="215" t="s">
        <v>49</v>
      </c>
      <c r="AP6" s="215"/>
      <c r="AQ6" s="216"/>
      <c r="AR6" s="303">
        <f>COUNTIF($AZ$13:$AZ$72,"2")</f>
        <v>0</v>
      </c>
      <c r="AS6" s="304"/>
      <c r="AT6" s="313" t="e">
        <f>AR6/$AY$3</f>
        <v>#DIV/0!</v>
      </c>
      <c r="AU6" s="313"/>
      <c r="AV6" s="31">
        <f>COUNTIFS($AZ$13:$AZ$72,"2",$D$13:$D$72,"M")</f>
        <v>0</v>
      </c>
      <c r="AW6" s="206">
        <f>COUNTIFS($AZ$13:$AZ$72,"2",$D$13:$D$72,"F")</f>
        <v>0</v>
      </c>
      <c r="AX6" s="206"/>
      <c r="AY6" s="200" t="s">
        <v>49</v>
      </c>
      <c r="AZ6" s="201"/>
      <c r="BA6" s="15"/>
      <c r="BE6" s="240"/>
      <c r="BJ6" s="240"/>
      <c r="BK6" s="240"/>
      <c r="BL6" s="240"/>
      <c r="BM6" s="240"/>
      <c r="BN6" s="240"/>
      <c r="BO6" s="240"/>
      <c r="BP6" s="240"/>
    </row>
    <row r="7" spans="1:70" ht="16.5" customHeight="1" thickBot="1">
      <c r="A7" s="241"/>
      <c r="B7" s="241"/>
      <c r="C7" s="241"/>
      <c r="D7" s="245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  <c r="S7" s="261" t="s">
        <v>21</v>
      </c>
      <c r="T7" s="262"/>
      <c r="U7" s="262"/>
      <c r="V7" s="262"/>
      <c r="W7" s="263"/>
      <c r="X7" s="283">
        <f>COUNTIF($BM$13:$BM$72,"1")</f>
        <v>0</v>
      </c>
      <c r="Y7" s="284"/>
      <c r="Z7" s="257" t="e">
        <f>X7/$AD$3</f>
        <v>#DIV/0!</v>
      </c>
      <c r="AA7" s="257"/>
      <c r="AB7" s="30">
        <f>COUNTIFS($BM$13:$BM$72,"1",$D$13:$D$72,"M")</f>
        <v>0</v>
      </c>
      <c r="AC7" s="30">
        <f>COUNTIFS($BM$13:$BM$72,"1",$D$13:$D$72,"F")</f>
        <v>0</v>
      </c>
      <c r="AD7" s="317">
        <f>X7</f>
        <v>0</v>
      </c>
      <c r="AE7" s="317"/>
      <c r="AF7" s="318"/>
      <c r="AG7" s="315">
        <f>COUNTIF($BN$13:$BN$71,"1")</f>
        <v>0</v>
      </c>
      <c r="AH7" s="316"/>
      <c r="AI7" s="294" t="e">
        <f>AG7/$AO$3</f>
        <v>#DIV/0!</v>
      </c>
      <c r="AJ7" s="294"/>
      <c r="AK7" s="270">
        <f>COUNTIFS($BN$13:$BN$72,"1",$D$13:$D$72,"M")</f>
        <v>0</v>
      </c>
      <c r="AL7" s="270"/>
      <c r="AM7" s="270">
        <f>COUNTIFS($BN$13:$BN$72,"1",$D$13:$D$72,"F")</f>
        <v>0</v>
      </c>
      <c r="AN7" s="270"/>
      <c r="AO7" s="219">
        <f>AG7</f>
        <v>0</v>
      </c>
      <c r="AP7" s="219"/>
      <c r="AQ7" s="220"/>
      <c r="AR7" s="310">
        <f>COUNTIF($AZ$13:$AZ$72,"1")</f>
        <v>0</v>
      </c>
      <c r="AS7" s="311"/>
      <c r="AT7" s="314" t="e">
        <f>AR7/$AY$3</f>
        <v>#DIV/0!</v>
      </c>
      <c r="AU7" s="314"/>
      <c r="AV7" s="33">
        <f>COUNTIFS($AZ$13:$AZ$72,"1",$D$13:$D$72,"M")</f>
        <v>0</v>
      </c>
      <c r="AW7" s="207">
        <f>COUNTIFS($AZ$13:$AZ$72,"1",$D$13:$D$72,"F")</f>
        <v>0</v>
      </c>
      <c r="AX7" s="207"/>
      <c r="AY7" s="204">
        <f>AR7</f>
        <v>0</v>
      </c>
      <c r="AZ7" s="205"/>
      <c r="BA7" s="14"/>
      <c r="BE7" s="240"/>
      <c r="BJ7" s="240"/>
      <c r="BK7" s="240"/>
      <c r="BL7" s="240"/>
      <c r="BM7" s="240"/>
      <c r="BN7" s="240"/>
      <c r="BO7" s="240"/>
      <c r="BP7" s="240"/>
    </row>
    <row r="8" spans="1:70" ht="17.25" customHeight="1" thickBot="1">
      <c r="A8" s="249" t="s">
        <v>22</v>
      </c>
      <c r="B8" s="249"/>
      <c r="C8" s="249"/>
      <c r="D8" s="237" t="s">
        <v>5</v>
      </c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185" t="s">
        <v>55</v>
      </c>
      <c r="T8" s="186"/>
      <c r="U8" s="186"/>
      <c r="V8" s="186"/>
      <c r="W8" s="186"/>
      <c r="X8" s="186"/>
      <c r="Y8" s="186"/>
      <c r="Z8" s="186"/>
      <c r="AA8" s="186"/>
      <c r="AB8" s="186"/>
      <c r="AC8" s="187"/>
      <c r="AD8" s="251" t="e">
        <f>AVERAGEIF(BL13:BL72,"&gt;=1")</f>
        <v>#DIV/0!</v>
      </c>
      <c r="AE8" s="252"/>
      <c r="AF8" s="253"/>
      <c r="AG8" s="188" t="s">
        <v>54</v>
      </c>
      <c r="AH8" s="189"/>
      <c r="AI8" s="189"/>
      <c r="AJ8" s="189"/>
      <c r="AK8" s="189"/>
      <c r="AL8" s="189"/>
      <c r="AM8" s="189"/>
      <c r="AN8" s="190"/>
      <c r="AO8" s="226" t="e">
        <f>AVERAGEIF(BO13:BO72,"&gt;=1")</f>
        <v>#DIV/0!</v>
      </c>
      <c r="AP8" s="227"/>
      <c r="AQ8" s="228"/>
      <c r="AR8" s="193" t="s">
        <v>24</v>
      </c>
      <c r="AS8" s="194"/>
      <c r="AT8" s="194"/>
      <c r="AU8" s="194"/>
      <c r="AV8" s="194"/>
      <c r="AW8" s="194"/>
      <c r="AX8" s="195"/>
      <c r="AY8" s="191" t="e">
        <f>AVERAGEIF(BK13:BK72,"&gt;=1")</f>
        <v>#DIV/0!</v>
      </c>
      <c r="AZ8" s="192"/>
      <c r="BA8" s="14"/>
      <c r="BE8" s="240"/>
      <c r="BJ8" s="240"/>
      <c r="BK8" s="240"/>
      <c r="BL8" s="240"/>
      <c r="BM8" s="240"/>
      <c r="BN8" s="240"/>
      <c r="BO8" s="240"/>
      <c r="BP8" s="240"/>
    </row>
    <row r="9" spans="1:70" ht="15.75" customHeight="1">
      <c r="A9" s="347" t="s">
        <v>28</v>
      </c>
      <c r="B9" s="347"/>
      <c r="C9" s="348"/>
      <c r="D9" s="356" t="s">
        <v>56</v>
      </c>
      <c r="E9" s="235" t="s">
        <v>7</v>
      </c>
      <c r="F9" s="301" t="s">
        <v>27</v>
      </c>
      <c r="G9" s="301"/>
      <c r="H9" s="301"/>
      <c r="I9" s="301"/>
      <c r="J9" s="301"/>
      <c r="K9" s="352" t="s">
        <v>1</v>
      </c>
      <c r="L9" s="340" t="s">
        <v>26</v>
      </c>
      <c r="M9" s="341"/>
      <c r="N9" s="341"/>
      <c r="O9" s="341"/>
      <c r="P9" s="342"/>
      <c r="Q9" s="352" t="s">
        <v>1</v>
      </c>
      <c r="R9" s="224" t="s">
        <v>25</v>
      </c>
      <c r="S9" s="224"/>
      <c r="T9" s="224"/>
      <c r="U9" s="224"/>
      <c r="V9" s="224"/>
      <c r="W9" s="352" t="s">
        <v>1</v>
      </c>
      <c r="X9" s="224" t="s">
        <v>10</v>
      </c>
      <c r="Y9" s="224"/>
      <c r="Z9" s="352" t="s">
        <v>1</v>
      </c>
      <c r="AA9" s="306" t="s">
        <v>34</v>
      </c>
      <c r="AB9" s="365" t="s">
        <v>58</v>
      </c>
      <c r="AC9" s="301" t="s">
        <v>27</v>
      </c>
      <c r="AD9" s="301"/>
      <c r="AE9" s="301"/>
      <c r="AF9" s="301"/>
      <c r="AG9" s="301"/>
      <c r="AH9" s="299" t="s">
        <v>1</v>
      </c>
      <c r="AI9" s="301" t="s">
        <v>26</v>
      </c>
      <c r="AJ9" s="301"/>
      <c r="AK9" s="301"/>
      <c r="AL9" s="301"/>
      <c r="AM9" s="301"/>
      <c r="AN9" s="299" t="s">
        <v>1</v>
      </c>
      <c r="AO9" s="224" t="s">
        <v>25</v>
      </c>
      <c r="AP9" s="224"/>
      <c r="AQ9" s="224"/>
      <c r="AR9" s="224"/>
      <c r="AS9" s="224"/>
      <c r="AT9" s="299" t="s">
        <v>1</v>
      </c>
      <c r="AU9" s="224" t="s">
        <v>10</v>
      </c>
      <c r="AV9" s="224"/>
      <c r="AW9" s="299" t="s">
        <v>1</v>
      </c>
      <c r="AX9" s="306" t="s">
        <v>33</v>
      </c>
      <c r="AY9" s="308" t="s">
        <v>32</v>
      </c>
      <c r="AZ9" s="363" t="s">
        <v>36</v>
      </c>
      <c r="BE9" s="240"/>
      <c r="BJ9" s="240"/>
      <c r="BK9" s="240"/>
      <c r="BL9" s="240"/>
      <c r="BM9" s="240"/>
      <c r="BN9" s="240"/>
      <c r="BO9" s="240"/>
      <c r="BP9" s="240"/>
    </row>
    <row r="10" spans="1:70" ht="18" customHeight="1">
      <c r="A10" s="349"/>
      <c r="B10" s="349"/>
      <c r="C10" s="350"/>
      <c r="D10" s="357"/>
      <c r="E10" s="235"/>
      <c r="F10" s="302"/>
      <c r="G10" s="302"/>
      <c r="H10" s="302"/>
      <c r="I10" s="302"/>
      <c r="J10" s="302"/>
      <c r="K10" s="352"/>
      <c r="L10" s="340"/>
      <c r="M10" s="341"/>
      <c r="N10" s="341"/>
      <c r="O10" s="341"/>
      <c r="P10" s="342"/>
      <c r="Q10" s="352"/>
      <c r="R10" s="225"/>
      <c r="S10" s="225"/>
      <c r="T10" s="225"/>
      <c r="U10" s="225"/>
      <c r="V10" s="225"/>
      <c r="W10" s="352"/>
      <c r="X10" s="225"/>
      <c r="Y10" s="225"/>
      <c r="Z10" s="352"/>
      <c r="AA10" s="307"/>
      <c r="AB10" s="365"/>
      <c r="AC10" s="302"/>
      <c r="AD10" s="302"/>
      <c r="AE10" s="302"/>
      <c r="AF10" s="302"/>
      <c r="AG10" s="302"/>
      <c r="AH10" s="300"/>
      <c r="AI10" s="302"/>
      <c r="AJ10" s="302"/>
      <c r="AK10" s="302"/>
      <c r="AL10" s="302"/>
      <c r="AM10" s="302"/>
      <c r="AN10" s="300"/>
      <c r="AO10" s="225"/>
      <c r="AP10" s="225"/>
      <c r="AQ10" s="225"/>
      <c r="AR10" s="225"/>
      <c r="AS10" s="225"/>
      <c r="AT10" s="300"/>
      <c r="AU10" s="225"/>
      <c r="AV10" s="225"/>
      <c r="AW10" s="300"/>
      <c r="AX10" s="307"/>
      <c r="AY10" s="309"/>
      <c r="AZ10" s="363"/>
      <c r="BE10" s="240"/>
      <c r="BJ10" s="240"/>
      <c r="BK10" s="240"/>
      <c r="BL10" s="240"/>
      <c r="BM10" s="240"/>
      <c r="BN10" s="240"/>
      <c r="BO10" s="240"/>
      <c r="BP10" s="240"/>
    </row>
    <row r="11" spans="1:70" ht="18" customHeight="1">
      <c r="A11" s="334" t="s">
        <v>8</v>
      </c>
      <c r="B11" s="359" t="s">
        <v>35</v>
      </c>
      <c r="C11" s="360"/>
      <c r="D11" s="357"/>
      <c r="E11" s="235"/>
      <c r="F11" s="302"/>
      <c r="G11" s="302"/>
      <c r="H11" s="302"/>
      <c r="I11" s="302"/>
      <c r="J11" s="302"/>
      <c r="K11" s="352"/>
      <c r="L11" s="343"/>
      <c r="M11" s="344"/>
      <c r="N11" s="344"/>
      <c r="O11" s="344"/>
      <c r="P11" s="345"/>
      <c r="Q11" s="352"/>
      <c r="R11" s="225"/>
      <c r="S11" s="225"/>
      <c r="T11" s="225"/>
      <c r="U11" s="225"/>
      <c r="V11" s="225"/>
      <c r="W11" s="352"/>
      <c r="X11" s="225"/>
      <c r="Y11" s="225"/>
      <c r="Z11" s="352"/>
      <c r="AA11" s="307"/>
      <c r="AB11" s="365"/>
      <c r="AC11" s="302"/>
      <c r="AD11" s="302"/>
      <c r="AE11" s="302"/>
      <c r="AF11" s="302"/>
      <c r="AG11" s="302"/>
      <c r="AH11" s="300"/>
      <c r="AI11" s="302"/>
      <c r="AJ11" s="302"/>
      <c r="AK11" s="302"/>
      <c r="AL11" s="302"/>
      <c r="AM11" s="302"/>
      <c r="AN11" s="300"/>
      <c r="AO11" s="225"/>
      <c r="AP11" s="225"/>
      <c r="AQ11" s="225"/>
      <c r="AR11" s="225"/>
      <c r="AS11" s="225"/>
      <c r="AT11" s="300"/>
      <c r="AU11" s="225"/>
      <c r="AV11" s="225"/>
      <c r="AW11" s="300"/>
      <c r="AX11" s="307"/>
      <c r="AY11" s="309"/>
      <c r="AZ11" s="363"/>
      <c r="BE11" s="240"/>
      <c r="BJ11" s="240"/>
      <c r="BK11" s="240"/>
      <c r="BL11" s="240"/>
      <c r="BM11" s="240"/>
      <c r="BN11" s="240"/>
      <c r="BO11" s="240"/>
      <c r="BP11" s="240"/>
    </row>
    <row r="12" spans="1:70" ht="24.75" customHeight="1">
      <c r="A12" s="335"/>
      <c r="B12" s="361"/>
      <c r="C12" s="362"/>
      <c r="D12" s="358"/>
      <c r="E12" s="236"/>
      <c r="F12" s="346">
        <v>0.25</v>
      </c>
      <c r="G12" s="346"/>
      <c r="H12" s="346"/>
      <c r="I12" s="346"/>
      <c r="J12" s="346"/>
      <c r="K12" s="299"/>
      <c r="L12" s="346">
        <v>0.15</v>
      </c>
      <c r="M12" s="346"/>
      <c r="N12" s="346"/>
      <c r="O12" s="346"/>
      <c r="P12" s="346"/>
      <c r="Q12" s="299"/>
      <c r="R12" s="346">
        <v>0.3</v>
      </c>
      <c r="S12" s="346"/>
      <c r="T12" s="346"/>
      <c r="U12" s="346"/>
      <c r="V12" s="346"/>
      <c r="W12" s="299"/>
      <c r="X12" s="351">
        <v>0.3</v>
      </c>
      <c r="Y12" s="351"/>
      <c r="Z12" s="299"/>
      <c r="AA12" s="32">
        <f>F12+L12+R12+X12</f>
        <v>1</v>
      </c>
      <c r="AB12" s="365"/>
      <c r="AC12" s="346">
        <v>0.25</v>
      </c>
      <c r="AD12" s="346"/>
      <c r="AE12" s="346"/>
      <c r="AF12" s="346"/>
      <c r="AG12" s="346"/>
      <c r="AH12" s="300"/>
      <c r="AI12" s="346">
        <v>0.15</v>
      </c>
      <c r="AJ12" s="346"/>
      <c r="AK12" s="346"/>
      <c r="AL12" s="346"/>
      <c r="AM12" s="346"/>
      <c r="AN12" s="300"/>
      <c r="AO12" s="346">
        <v>0.3</v>
      </c>
      <c r="AP12" s="346"/>
      <c r="AQ12" s="346"/>
      <c r="AR12" s="346"/>
      <c r="AS12" s="346"/>
      <c r="AT12" s="300"/>
      <c r="AU12" s="351">
        <v>0.3</v>
      </c>
      <c r="AV12" s="351"/>
      <c r="AW12" s="300"/>
      <c r="AX12" s="34">
        <f>AC12+AI12+AO12+AU12</f>
        <v>1</v>
      </c>
      <c r="AY12" s="309"/>
      <c r="AZ12" s="364"/>
      <c r="BE12" s="240"/>
      <c r="BJ12" s="240"/>
      <c r="BK12" s="240"/>
      <c r="BL12" s="240"/>
      <c r="BM12" s="240"/>
      <c r="BN12" s="240"/>
      <c r="BO12" s="240"/>
      <c r="BP12" s="240"/>
    </row>
    <row r="13" spans="1:70" ht="18.75" customHeight="1">
      <c r="A13" s="336">
        <v>1</v>
      </c>
      <c r="B13" s="338"/>
      <c r="C13" s="338"/>
      <c r="D13" s="225"/>
      <c r="E13" s="19">
        <v>1</v>
      </c>
      <c r="F13" s="17"/>
      <c r="G13" s="17"/>
      <c r="H13" s="17"/>
      <c r="I13" s="17"/>
      <c r="J13" s="17"/>
      <c r="K13" s="8" t="e">
        <f>AVERAGE(F13:J13)</f>
        <v>#DIV/0!</v>
      </c>
      <c r="L13" s="17"/>
      <c r="M13" s="17"/>
      <c r="N13" s="17"/>
      <c r="O13" s="17"/>
      <c r="P13" s="17"/>
      <c r="Q13" s="9" t="e">
        <f>AVERAGE(L13:P13)</f>
        <v>#DIV/0!</v>
      </c>
      <c r="R13" s="17"/>
      <c r="S13" s="17"/>
      <c r="T13" s="17"/>
      <c r="U13" s="17"/>
      <c r="V13" s="17"/>
      <c r="W13" s="9" t="e">
        <f>AVERAGE(R13:V13)</f>
        <v>#DIV/0!</v>
      </c>
      <c r="X13" s="233"/>
      <c r="Y13" s="234"/>
      <c r="Z13" s="9" t="str">
        <f>IF(X13&gt;=85,"5",IF(X13&gt;=65,"4",IF(X13&gt;=55,"3",IF(X13&gt;=40,"2",IF(X13&gt;=1,"1",IF(X13&gt;="","0"))))))</f>
        <v>0</v>
      </c>
      <c r="AA13" s="7" t="e">
        <f t="shared" ref="AA13:AA72" si="0">IF(BE13&gt;=4.5, " 5 ", IF(BE13&gt;=3.5," 4 ",IF(BE13&gt;=2.5," 3  ",IF(BE13&gt;=1.5," 2 ",IF(BE13&gt;=1,"1 ",IF(BE13&gt;=0,"0"))))))</f>
        <v>#DIV/0!</v>
      </c>
      <c r="AB13" s="365"/>
      <c r="AC13" s="17"/>
      <c r="AD13" s="17"/>
      <c r="AE13" s="17"/>
      <c r="AF13" s="17"/>
      <c r="AG13" s="17"/>
      <c r="AH13" s="9" t="e">
        <f>AVERAGE(AC13:AG13)</f>
        <v>#DIV/0!</v>
      </c>
      <c r="AI13" s="17"/>
      <c r="AJ13" s="17"/>
      <c r="AK13" s="17"/>
      <c r="AL13" s="17"/>
      <c r="AM13" s="17"/>
      <c r="AN13" s="9" t="e">
        <f>AVERAGE(AI13:AM13)</f>
        <v>#DIV/0!</v>
      </c>
      <c r="AO13" s="17"/>
      <c r="AP13" s="17"/>
      <c r="AQ13" s="17"/>
      <c r="AR13" s="17"/>
      <c r="AS13" s="17"/>
      <c r="AT13" s="9" t="e">
        <f>AVERAGE(AO13:AS13)</f>
        <v>#DIV/0!</v>
      </c>
      <c r="AU13" s="208"/>
      <c r="AV13" s="209"/>
      <c r="AW13" s="9" t="str">
        <f>IF(AU13&gt;=85,"5",IF(AU13&gt;=65,"4",IF(AU13&gt;=55,"3",IF(AU13&gt;=40,"2",IF(AU13&gt;=1,"1",IF(AU13&gt;="","0"))))))</f>
        <v>0</v>
      </c>
      <c r="AX13" s="7" t="e">
        <f t="shared" ref="AX13:AY72" si="1">IF(BJ13&gt;=4.5, " 5 ", IF(BJ13&gt;=3.5," 4 ",IF(BJ13&gt;=2.5," 3  ",IF(BJ13&gt;=1.5," 2 ",IF(BJ13&gt;=1,"1 ",IF(BJ13&gt;=0,"0"))))))</f>
        <v>#DIV/0!</v>
      </c>
      <c r="AY13" s="18" t="e">
        <f>IF(BK13&gt;=4.5, " 5 ", IF(BK13&gt;=3.5," 4 ",IF(BK13&gt;=2.5," 3  ",IF(BK13&gt;=1.5," 2 ",IF(BK13&gt;=1,"1 ",IF(BK13&gt;=0,"0"))))))</f>
        <v>#DIV/0!</v>
      </c>
      <c r="AZ13" s="231" t="e">
        <f>IF(BP13&gt;=4.5, " 5 ", IF(BP13&gt;=3.5," 4 ",IF(BP13&gt;=2.5," 3  ",IF(BP13&gt;=1.5," 2 ",IF(BP13&gt;=1,"1 ",IF(BP13&gt;=0,"0"))))))</f>
        <v>#DIV/0!</v>
      </c>
      <c r="BA13" s="4" t="e">
        <f t="shared" ref="BA13:BA72" si="2">$K13*$F$12</f>
        <v>#DIV/0!</v>
      </c>
      <c r="BB13" s="4" t="e">
        <f>Q13*L12</f>
        <v>#DIV/0!</v>
      </c>
      <c r="BC13" s="4" t="e">
        <f>$W13*$R$12</f>
        <v>#DIV/0!</v>
      </c>
      <c r="BD13" s="4">
        <f>$Z13*$X$12</f>
        <v>0</v>
      </c>
      <c r="BE13" s="12" t="e">
        <f t="shared" ref="BE13:BE72" si="3">BA13+BB13+BC13+BD13</f>
        <v>#DIV/0!</v>
      </c>
      <c r="BF13" s="4" t="e">
        <f>$AH13*$AC$12</f>
        <v>#DIV/0!</v>
      </c>
      <c r="BG13" s="4" t="e">
        <f>$AN13*$AI$12</f>
        <v>#DIV/0!</v>
      </c>
      <c r="BH13" s="4" t="e">
        <f>$AT13*$AO$12</f>
        <v>#DIV/0!</v>
      </c>
      <c r="BI13" s="4">
        <f>$AW13*$AU$12</f>
        <v>0</v>
      </c>
      <c r="BJ13" s="12" t="e">
        <f t="shared" ref="BJ13:BJ72" si="4">(BF13+BG13+BH13+BI13)</f>
        <v>#DIV/0!</v>
      </c>
      <c r="BK13" s="12" t="e">
        <f t="shared" ref="BK13:BK72" si="5">(BE13+BJ13)/2</f>
        <v>#DIV/0!</v>
      </c>
      <c r="BL13" s="12" t="e">
        <f>(BE13+BJ13)/2</f>
        <v>#DIV/0!</v>
      </c>
      <c r="BM13" s="10" t="e">
        <f>ROUND(BL13,)</f>
        <v>#DIV/0!</v>
      </c>
      <c r="BN13" s="176" t="e">
        <f>ROUND(BO14,)</f>
        <v>#DIV/0!</v>
      </c>
      <c r="BO13" s="12"/>
      <c r="BP13" s="11" t="e">
        <f>(AY13+AY14)/2</f>
        <v>#DIV/0!</v>
      </c>
      <c r="BQ13" s="6"/>
      <c r="BR13" s="6"/>
    </row>
    <row r="14" spans="1:70" ht="17.25" customHeight="1" thickBot="1">
      <c r="A14" s="337"/>
      <c r="B14" s="321"/>
      <c r="C14" s="321"/>
      <c r="D14" s="225"/>
      <c r="E14" s="20">
        <v>2</v>
      </c>
      <c r="F14" s="17"/>
      <c r="G14" s="17"/>
      <c r="H14" s="17"/>
      <c r="I14" s="17"/>
      <c r="J14" s="17"/>
      <c r="K14" s="8" t="e">
        <f t="shared" ref="K14:K72" si="6">AVERAGE(F14:J14)</f>
        <v>#DIV/0!</v>
      </c>
      <c r="L14" s="17"/>
      <c r="M14" s="17"/>
      <c r="N14" s="17"/>
      <c r="O14" s="17"/>
      <c r="P14" s="17"/>
      <c r="Q14" s="9" t="e">
        <f>AVERAGE(L14:P14)</f>
        <v>#DIV/0!</v>
      </c>
      <c r="R14" s="17"/>
      <c r="S14" s="17"/>
      <c r="T14" s="17"/>
      <c r="U14" s="17"/>
      <c r="V14" s="17"/>
      <c r="W14" s="9" t="e">
        <f t="shared" ref="W14:W71" si="7">AVERAGE(R14:V14)</f>
        <v>#DIV/0!</v>
      </c>
      <c r="X14" s="233"/>
      <c r="Y14" s="234"/>
      <c r="Z14" s="9" t="str">
        <f t="shared" ref="Z14:Z72" si="8">IF(X14&gt;=85,"5",IF(X14&gt;=65,"4",IF(X14&gt;=55,"3",IF(X14&gt;=40,"2",IF(X14&gt;=1,"1",IF(X14&gt;="","0"))))))</f>
        <v>0</v>
      </c>
      <c r="AA14" s="7" t="e">
        <f t="shared" si="0"/>
        <v>#DIV/0!</v>
      </c>
      <c r="AB14" s="365"/>
      <c r="AC14" s="17"/>
      <c r="AD14" s="17"/>
      <c r="AE14" s="17"/>
      <c r="AF14" s="17"/>
      <c r="AG14" s="17"/>
      <c r="AH14" s="9" t="e">
        <f t="shared" ref="AH14:AH72" si="9">AVERAGE(AC14:AG14)</f>
        <v>#DIV/0!</v>
      </c>
      <c r="AI14" s="17"/>
      <c r="AJ14" s="17"/>
      <c r="AK14" s="17"/>
      <c r="AL14" s="17"/>
      <c r="AM14" s="17"/>
      <c r="AN14" s="9" t="e">
        <f t="shared" ref="AN14:AN72" si="10">AVERAGE(AI14:AM14)</f>
        <v>#DIV/0!</v>
      </c>
      <c r="AO14" s="17"/>
      <c r="AP14" s="17"/>
      <c r="AQ14" s="17"/>
      <c r="AR14" s="17"/>
      <c r="AS14" s="17"/>
      <c r="AT14" s="9" t="e">
        <f t="shared" ref="AT14:AT72" si="11">AVERAGE(AO14:AS14)</f>
        <v>#DIV/0!</v>
      </c>
      <c r="AU14" s="208"/>
      <c r="AV14" s="209"/>
      <c r="AW14" s="9" t="str">
        <f t="shared" ref="AW14:AW72" si="12">IF(AU14&gt;=85,"5",IF(AU14&gt;=65,"4",IF(AU14&gt;=55,"3",IF(AU14&gt;=40,"2",IF(AU14&gt;=1,"1",IF(AU14&gt;="","0"))))))</f>
        <v>0</v>
      </c>
      <c r="AX14" s="7" t="e">
        <f t="shared" si="1"/>
        <v>#DIV/0!</v>
      </c>
      <c r="AY14" s="18" t="e">
        <f>IF(BK14&gt;=4.5, " 5 ", IF(BK14&gt;=3.5," 4 ",IF(BK14&gt;=2.5," 3  ",IF(BK14&gt;=1.5," 2 ",IF(BK14&gt;=1,"1 ",IF(BK14&gt;=0,"0"))))))</f>
        <v>#DIV/0!</v>
      </c>
      <c r="AZ14" s="232"/>
      <c r="BA14" s="4" t="e">
        <f t="shared" si="2"/>
        <v>#DIV/0!</v>
      </c>
      <c r="BB14" s="4" t="e">
        <f t="shared" ref="BB14:BB72" si="13">$Q14*$L$12</f>
        <v>#DIV/0!</v>
      </c>
      <c r="BC14" s="4" t="e">
        <f t="shared" ref="BC14:BC72" si="14">$W14*$R$12</f>
        <v>#DIV/0!</v>
      </c>
      <c r="BD14" s="4">
        <f t="shared" ref="BD14:BD72" si="15">$Z14*$X$12</f>
        <v>0</v>
      </c>
      <c r="BE14" s="12" t="e">
        <f t="shared" si="3"/>
        <v>#DIV/0!</v>
      </c>
      <c r="BF14" s="4" t="e">
        <f t="shared" ref="BF14:BF72" si="16">$AH14*$AC$12</f>
        <v>#DIV/0!</v>
      </c>
      <c r="BG14" s="4" t="e">
        <f t="shared" ref="BG14:BG72" si="17">$AN14*$AI$12</f>
        <v>#DIV/0!</v>
      </c>
      <c r="BH14" s="4" t="e">
        <f t="shared" ref="BH14:BH72" si="18">$AT14*$AO$12</f>
        <v>#DIV/0!</v>
      </c>
      <c r="BI14" s="4">
        <f t="shared" ref="BI14:BI72" si="19">$AW14*$AU$12</f>
        <v>0</v>
      </c>
      <c r="BJ14" s="12" t="e">
        <f t="shared" si="4"/>
        <v>#DIV/0!</v>
      </c>
      <c r="BK14" s="12" t="e">
        <f t="shared" si="5"/>
        <v>#DIV/0!</v>
      </c>
      <c r="BL14" s="12"/>
      <c r="BM14" s="10"/>
      <c r="BN14" s="176"/>
      <c r="BO14" s="12" t="e">
        <f t="shared" ref="BO14:BO44" si="20">(BE14+BJ14)/2</f>
        <v>#DIV/0!</v>
      </c>
      <c r="BP14" s="11"/>
      <c r="BQ14" s="6"/>
      <c r="BR14" s="6"/>
    </row>
    <row r="15" spans="1:70" ht="20.25" customHeight="1">
      <c r="A15" s="332">
        <v>2</v>
      </c>
      <c r="B15" s="321"/>
      <c r="C15" s="321"/>
      <c r="D15" s="225"/>
      <c r="E15" s="21">
        <v>1</v>
      </c>
      <c r="F15" s="17"/>
      <c r="G15" s="17"/>
      <c r="H15" s="17"/>
      <c r="I15" s="17"/>
      <c r="J15" s="17"/>
      <c r="K15" s="8" t="e">
        <f t="shared" si="6"/>
        <v>#DIV/0!</v>
      </c>
      <c r="L15" s="17"/>
      <c r="M15" s="17"/>
      <c r="N15" s="17"/>
      <c r="O15" s="17"/>
      <c r="P15" s="17"/>
      <c r="Q15" s="9" t="e">
        <f>AVERAGE(L15:P15)</f>
        <v>#DIV/0!</v>
      </c>
      <c r="R15" s="17"/>
      <c r="S15" s="17"/>
      <c r="T15" s="17"/>
      <c r="U15" s="17"/>
      <c r="V15" s="17"/>
      <c r="W15" s="9" t="e">
        <f t="shared" si="7"/>
        <v>#DIV/0!</v>
      </c>
      <c r="X15" s="233"/>
      <c r="Y15" s="234"/>
      <c r="Z15" s="9" t="str">
        <f t="shared" si="8"/>
        <v>0</v>
      </c>
      <c r="AA15" s="7" t="e">
        <f t="shared" si="0"/>
        <v>#DIV/0!</v>
      </c>
      <c r="AB15" s="365"/>
      <c r="AC15" s="17"/>
      <c r="AD15" s="17"/>
      <c r="AE15" s="17"/>
      <c r="AF15" s="17"/>
      <c r="AG15" s="17"/>
      <c r="AH15" s="9" t="e">
        <f t="shared" si="9"/>
        <v>#DIV/0!</v>
      </c>
      <c r="AI15" s="17"/>
      <c r="AJ15" s="17"/>
      <c r="AK15" s="17"/>
      <c r="AL15" s="17"/>
      <c r="AM15" s="17"/>
      <c r="AN15" s="9" t="e">
        <f t="shared" si="10"/>
        <v>#DIV/0!</v>
      </c>
      <c r="AO15" s="17"/>
      <c r="AP15" s="17"/>
      <c r="AQ15" s="17"/>
      <c r="AR15" s="17"/>
      <c r="AS15" s="17"/>
      <c r="AT15" s="9" t="e">
        <f t="shared" si="11"/>
        <v>#DIV/0!</v>
      </c>
      <c r="AU15" s="208"/>
      <c r="AV15" s="209"/>
      <c r="AW15" s="9" t="str">
        <f t="shared" si="12"/>
        <v>0</v>
      </c>
      <c r="AX15" s="7" t="e">
        <f t="shared" si="1"/>
        <v>#DIV/0!</v>
      </c>
      <c r="AY15" s="18" t="e">
        <f>IF(BK15&gt;=4.5, " 5 ", IF(BK15&gt;=3.5," 4 ",IF(BK15&gt;=2.5," 3  ",IF(BK15&gt;=1.5," 2 ",IF(BK15&gt;=1,"1 ",IF(BK15&gt;=0,"0"))))))</f>
        <v>#DIV/0!</v>
      </c>
      <c r="AZ15" s="231" t="e">
        <f>IF(BP15&gt;=4.5, " 5 ", IF(BP15&gt;=3.5," 4 ",IF(BP15&gt;=2.5," 3  ",IF(BP15&gt;=1.5," 2 ",IF(BP15&gt;=1,"1 ",IF(BP15&gt;=0,"0"))))))</f>
        <v>#DIV/0!</v>
      </c>
      <c r="BA15" s="4" t="e">
        <f t="shared" si="2"/>
        <v>#DIV/0!</v>
      </c>
      <c r="BB15" s="4" t="e">
        <f t="shared" si="13"/>
        <v>#DIV/0!</v>
      </c>
      <c r="BC15" s="4" t="e">
        <f t="shared" si="14"/>
        <v>#DIV/0!</v>
      </c>
      <c r="BD15" s="4">
        <f t="shared" si="15"/>
        <v>0</v>
      </c>
      <c r="BE15" s="12" t="e">
        <f t="shared" si="3"/>
        <v>#DIV/0!</v>
      </c>
      <c r="BF15" s="4" t="e">
        <f t="shared" si="16"/>
        <v>#DIV/0!</v>
      </c>
      <c r="BG15" s="4" t="e">
        <f t="shared" si="17"/>
        <v>#DIV/0!</v>
      </c>
      <c r="BH15" s="4" t="e">
        <f t="shared" si="18"/>
        <v>#DIV/0!</v>
      </c>
      <c r="BI15" s="4">
        <f t="shared" si="19"/>
        <v>0</v>
      </c>
      <c r="BJ15" s="12" t="e">
        <f t="shared" si="4"/>
        <v>#DIV/0!</v>
      </c>
      <c r="BK15" s="12" t="e">
        <f t="shared" si="5"/>
        <v>#DIV/0!</v>
      </c>
      <c r="BL15" s="12" t="e">
        <f>(BE15+BJ15)/2</f>
        <v>#DIV/0!</v>
      </c>
      <c r="BM15" s="10" t="e">
        <f t="shared" ref="BM15:BM71" si="21">ROUND(BL15,)</f>
        <v>#DIV/0!</v>
      </c>
      <c r="BN15" s="176" t="e">
        <f t="shared" ref="BN15" si="22">ROUND(BO16,)</f>
        <v>#DIV/0!</v>
      </c>
      <c r="BO15" s="12"/>
      <c r="BP15" s="11" t="e">
        <f>(AY15+AY16)/2</f>
        <v>#DIV/0!</v>
      </c>
      <c r="BQ15" s="6"/>
      <c r="BR15" s="6"/>
    </row>
    <row r="16" spans="1:70" ht="20.25" customHeight="1" thickBot="1">
      <c r="A16" s="333"/>
      <c r="B16" s="321"/>
      <c r="C16" s="321"/>
      <c r="D16" s="225"/>
      <c r="E16" s="20">
        <v>2</v>
      </c>
      <c r="F16" s="17"/>
      <c r="G16" s="17"/>
      <c r="H16" s="17"/>
      <c r="I16" s="17"/>
      <c r="J16" s="17"/>
      <c r="K16" s="8" t="e">
        <f t="shared" si="6"/>
        <v>#DIV/0!</v>
      </c>
      <c r="L16" s="17"/>
      <c r="M16" s="17"/>
      <c r="N16" s="17"/>
      <c r="O16" s="17"/>
      <c r="P16" s="17"/>
      <c r="Q16" s="9" t="e">
        <f>AVERAGE(L16:P16)</f>
        <v>#DIV/0!</v>
      </c>
      <c r="R16" s="17"/>
      <c r="S16" s="17"/>
      <c r="T16" s="17"/>
      <c r="U16" s="17"/>
      <c r="V16" s="17"/>
      <c r="W16" s="9" t="e">
        <f t="shared" si="7"/>
        <v>#DIV/0!</v>
      </c>
      <c r="X16" s="233"/>
      <c r="Y16" s="234"/>
      <c r="Z16" s="9" t="str">
        <f t="shared" si="8"/>
        <v>0</v>
      </c>
      <c r="AA16" s="7" t="e">
        <f t="shared" si="0"/>
        <v>#DIV/0!</v>
      </c>
      <c r="AB16" s="365"/>
      <c r="AC16" s="17"/>
      <c r="AD16" s="17"/>
      <c r="AE16" s="17"/>
      <c r="AF16" s="17"/>
      <c r="AG16" s="17"/>
      <c r="AH16" s="9" t="e">
        <f t="shared" si="9"/>
        <v>#DIV/0!</v>
      </c>
      <c r="AI16" s="17"/>
      <c r="AJ16" s="17"/>
      <c r="AK16" s="17"/>
      <c r="AL16" s="17"/>
      <c r="AM16" s="17"/>
      <c r="AN16" s="9" t="e">
        <f t="shared" si="10"/>
        <v>#DIV/0!</v>
      </c>
      <c r="AO16" s="17"/>
      <c r="AP16" s="17"/>
      <c r="AQ16" s="17"/>
      <c r="AR16" s="17"/>
      <c r="AS16" s="17"/>
      <c r="AT16" s="9" t="e">
        <f t="shared" si="11"/>
        <v>#DIV/0!</v>
      </c>
      <c r="AU16" s="208"/>
      <c r="AV16" s="209"/>
      <c r="AW16" s="9" t="str">
        <f t="shared" si="12"/>
        <v>0</v>
      </c>
      <c r="AX16" s="7" t="e">
        <f t="shared" si="1"/>
        <v>#DIV/0!</v>
      </c>
      <c r="AY16" s="18" t="e">
        <f>IF(BK16&gt;=4.5, " 5 ", IF(BK16&gt;=3.5," 4 ",IF(BK16&gt;=2.5," 3  ",IF(BK16&gt;=1.5," 2 ",IF(BK16&gt;=1,"1 ",IF(BK16&gt;=0,"0"))))))</f>
        <v>#DIV/0!</v>
      </c>
      <c r="AZ16" s="232"/>
      <c r="BA16" s="4" t="e">
        <f t="shared" si="2"/>
        <v>#DIV/0!</v>
      </c>
      <c r="BB16" s="4" t="e">
        <f t="shared" si="13"/>
        <v>#DIV/0!</v>
      </c>
      <c r="BC16" s="4" t="e">
        <f t="shared" si="14"/>
        <v>#DIV/0!</v>
      </c>
      <c r="BD16" s="4">
        <f t="shared" si="15"/>
        <v>0</v>
      </c>
      <c r="BE16" s="12" t="e">
        <f t="shared" si="3"/>
        <v>#DIV/0!</v>
      </c>
      <c r="BF16" s="4" t="e">
        <f t="shared" si="16"/>
        <v>#DIV/0!</v>
      </c>
      <c r="BG16" s="4" t="e">
        <f t="shared" si="17"/>
        <v>#DIV/0!</v>
      </c>
      <c r="BH16" s="4" t="e">
        <f t="shared" si="18"/>
        <v>#DIV/0!</v>
      </c>
      <c r="BI16" s="4">
        <f t="shared" si="19"/>
        <v>0</v>
      </c>
      <c r="BJ16" s="12" t="e">
        <f t="shared" si="4"/>
        <v>#DIV/0!</v>
      </c>
      <c r="BK16" s="12" t="e">
        <f t="shared" si="5"/>
        <v>#DIV/0!</v>
      </c>
      <c r="BL16" s="12"/>
      <c r="BM16" s="10"/>
      <c r="BN16" s="176"/>
      <c r="BO16" s="12" t="e">
        <f t="shared" si="20"/>
        <v>#DIV/0!</v>
      </c>
      <c r="BP16" s="11"/>
      <c r="BQ16" s="6"/>
      <c r="BR16" s="6"/>
    </row>
    <row r="17" spans="1:70" ht="20.25" customHeight="1">
      <c r="A17" s="332">
        <v>3</v>
      </c>
      <c r="B17" s="321"/>
      <c r="C17" s="321"/>
      <c r="D17" s="225"/>
      <c r="E17" s="21">
        <v>1</v>
      </c>
      <c r="F17" s="17"/>
      <c r="G17" s="17"/>
      <c r="H17" s="17"/>
      <c r="I17" s="17"/>
      <c r="J17" s="17"/>
      <c r="K17" s="8" t="e">
        <f t="shared" si="6"/>
        <v>#DIV/0!</v>
      </c>
      <c r="L17" s="17"/>
      <c r="M17" s="17"/>
      <c r="N17" s="17"/>
      <c r="O17" s="17"/>
      <c r="P17" s="17"/>
      <c r="Q17" s="9" t="e">
        <f t="shared" ref="Q17:Q72" si="23">AVERAGE(L17:P17)</f>
        <v>#DIV/0!</v>
      </c>
      <c r="R17" s="17"/>
      <c r="S17" s="17"/>
      <c r="T17" s="17"/>
      <c r="U17" s="17"/>
      <c r="V17" s="17"/>
      <c r="W17" s="9" t="e">
        <f t="shared" si="7"/>
        <v>#DIV/0!</v>
      </c>
      <c r="X17" s="233"/>
      <c r="Y17" s="234"/>
      <c r="Z17" s="9" t="str">
        <f t="shared" si="8"/>
        <v>0</v>
      </c>
      <c r="AA17" s="7" t="e">
        <f t="shared" si="0"/>
        <v>#DIV/0!</v>
      </c>
      <c r="AB17" s="365"/>
      <c r="AC17" s="17"/>
      <c r="AD17" s="17"/>
      <c r="AE17" s="17"/>
      <c r="AF17" s="17"/>
      <c r="AG17" s="17"/>
      <c r="AH17" s="9" t="e">
        <f t="shared" si="9"/>
        <v>#DIV/0!</v>
      </c>
      <c r="AI17" s="17"/>
      <c r="AJ17" s="17"/>
      <c r="AK17" s="17"/>
      <c r="AL17" s="17"/>
      <c r="AM17" s="17"/>
      <c r="AN17" s="9" t="e">
        <f t="shared" si="10"/>
        <v>#DIV/0!</v>
      </c>
      <c r="AO17" s="17"/>
      <c r="AP17" s="17"/>
      <c r="AQ17" s="17"/>
      <c r="AR17" s="17"/>
      <c r="AS17" s="17"/>
      <c r="AT17" s="9" t="e">
        <f t="shared" si="11"/>
        <v>#DIV/0!</v>
      </c>
      <c r="AU17" s="208"/>
      <c r="AV17" s="209"/>
      <c r="AW17" s="9" t="str">
        <f t="shared" si="12"/>
        <v>0</v>
      </c>
      <c r="AX17" s="7" t="e">
        <f t="shared" si="1"/>
        <v>#DIV/0!</v>
      </c>
      <c r="AY17" s="18" t="e">
        <f t="shared" si="1"/>
        <v>#DIV/0!</v>
      </c>
      <c r="AZ17" s="231" t="e">
        <f>IF(BP17&gt;=4.5, " 5 ", IF(BP17&gt;=3.5," 4 ",IF(BP17&gt;=2.5," 3  ",IF(BP17&gt;=1.5," 2 ",IF(BP17&gt;=1,"1 ",IF(BP17&gt;=0,"0"))))))</f>
        <v>#DIV/0!</v>
      </c>
      <c r="BA17" s="4" t="e">
        <f t="shared" si="2"/>
        <v>#DIV/0!</v>
      </c>
      <c r="BB17" s="4" t="e">
        <f t="shared" si="13"/>
        <v>#DIV/0!</v>
      </c>
      <c r="BC17" s="4" t="e">
        <f t="shared" si="14"/>
        <v>#DIV/0!</v>
      </c>
      <c r="BD17" s="4">
        <f t="shared" si="15"/>
        <v>0</v>
      </c>
      <c r="BE17" s="12" t="e">
        <f t="shared" si="3"/>
        <v>#DIV/0!</v>
      </c>
      <c r="BF17" s="4" t="e">
        <f t="shared" si="16"/>
        <v>#DIV/0!</v>
      </c>
      <c r="BG17" s="4" t="e">
        <f t="shared" si="17"/>
        <v>#DIV/0!</v>
      </c>
      <c r="BH17" s="4" t="e">
        <f t="shared" si="18"/>
        <v>#DIV/0!</v>
      </c>
      <c r="BI17" s="4">
        <f t="shared" si="19"/>
        <v>0</v>
      </c>
      <c r="BJ17" s="12" t="e">
        <f t="shared" si="4"/>
        <v>#DIV/0!</v>
      </c>
      <c r="BK17" s="12" t="e">
        <f t="shared" si="5"/>
        <v>#DIV/0!</v>
      </c>
      <c r="BL17" s="12" t="e">
        <f>(BE17+BJ17)/2</f>
        <v>#DIV/0!</v>
      </c>
      <c r="BM17" s="10" t="e">
        <f t="shared" si="21"/>
        <v>#DIV/0!</v>
      </c>
      <c r="BN17" s="176" t="e">
        <f t="shared" ref="BN17" si="24">ROUND(BO18,)</f>
        <v>#DIV/0!</v>
      </c>
      <c r="BO17" s="12"/>
      <c r="BP17" s="11" t="e">
        <f t="shared" ref="BP17:BP71" si="25">(AY17+AY18)/2</f>
        <v>#DIV/0!</v>
      </c>
      <c r="BQ17" s="6"/>
      <c r="BR17" s="6"/>
    </row>
    <row r="18" spans="1:70" ht="20.25" customHeight="1" thickBot="1">
      <c r="A18" s="333"/>
      <c r="B18" s="321"/>
      <c r="C18" s="321"/>
      <c r="D18" s="225"/>
      <c r="E18" s="20">
        <v>2</v>
      </c>
      <c r="F18" s="17"/>
      <c r="G18" s="17"/>
      <c r="H18" s="17"/>
      <c r="I18" s="17"/>
      <c r="J18" s="17"/>
      <c r="K18" s="8" t="e">
        <f t="shared" si="6"/>
        <v>#DIV/0!</v>
      </c>
      <c r="L18" s="17"/>
      <c r="M18" s="17"/>
      <c r="N18" s="17"/>
      <c r="O18" s="17"/>
      <c r="P18" s="17"/>
      <c r="Q18" s="9" t="e">
        <f t="shared" si="23"/>
        <v>#DIV/0!</v>
      </c>
      <c r="R18" s="17"/>
      <c r="S18" s="17"/>
      <c r="T18" s="17"/>
      <c r="U18" s="17"/>
      <c r="V18" s="17"/>
      <c r="W18" s="9" t="e">
        <f t="shared" si="7"/>
        <v>#DIV/0!</v>
      </c>
      <c r="X18" s="233"/>
      <c r="Y18" s="234"/>
      <c r="Z18" s="9" t="str">
        <f t="shared" si="8"/>
        <v>0</v>
      </c>
      <c r="AA18" s="7" t="e">
        <f t="shared" si="0"/>
        <v>#DIV/0!</v>
      </c>
      <c r="AB18" s="365"/>
      <c r="AC18" s="17"/>
      <c r="AD18" s="17"/>
      <c r="AE18" s="17"/>
      <c r="AF18" s="17"/>
      <c r="AG18" s="17"/>
      <c r="AH18" s="9" t="e">
        <f t="shared" si="9"/>
        <v>#DIV/0!</v>
      </c>
      <c r="AI18" s="17"/>
      <c r="AJ18" s="17"/>
      <c r="AK18" s="17"/>
      <c r="AL18" s="17"/>
      <c r="AM18" s="17"/>
      <c r="AN18" s="9" t="e">
        <f t="shared" si="10"/>
        <v>#DIV/0!</v>
      </c>
      <c r="AO18" s="17"/>
      <c r="AP18" s="17"/>
      <c r="AQ18" s="17"/>
      <c r="AR18" s="17"/>
      <c r="AS18" s="17"/>
      <c r="AT18" s="9" t="e">
        <f t="shared" si="11"/>
        <v>#DIV/0!</v>
      </c>
      <c r="AU18" s="208"/>
      <c r="AV18" s="209"/>
      <c r="AW18" s="9" t="str">
        <f t="shared" si="12"/>
        <v>0</v>
      </c>
      <c r="AX18" s="7" t="e">
        <f t="shared" si="1"/>
        <v>#DIV/0!</v>
      </c>
      <c r="AY18" s="18" t="e">
        <f t="shared" si="1"/>
        <v>#DIV/0!</v>
      </c>
      <c r="AZ18" s="232"/>
      <c r="BA18" s="4" t="e">
        <f t="shared" si="2"/>
        <v>#DIV/0!</v>
      </c>
      <c r="BB18" s="4" t="e">
        <f t="shared" si="13"/>
        <v>#DIV/0!</v>
      </c>
      <c r="BC18" s="4" t="e">
        <f t="shared" si="14"/>
        <v>#DIV/0!</v>
      </c>
      <c r="BD18" s="4">
        <f t="shared" si="15"/>
        <v>0</v>
      </c>
      <c r="BE18" s="12" t="e">
        <f t="shared" si="3"/>
        <v>#DIV/0!</v>
      </c>
      <c r="BF18" s="4" t="e">
        <f t="shared" si="16"/>
        <v>#DIV/0!</v>
      </c>
      <c r="BG18" s="4" t="e">
        <f t="shared" si="17"/>
        <v>#DIV/0!</v>
      </c>
      <c r="BH18" s="4" t="e">
        <f t="shared" si="18"/>
        <v>#DIV/0!</v>
      </c>
      <c r="BI18" s="4">
        <f t="shared" si="19"/>
        <v>0</v>
      </c>
      <c r="BJ18" s="12" t="e">
        <f t="shared" si="4"/>
        <v>#DIV/0!</v>
      </c>
      <c r="BK18" s="12" t="e">
        <f t="shared" si="5"/>
        <v>#DIV/0!</v>
      </c>
      <c r="BL18" s="12"/>
      <c r="BM18" s="10"/>
      <c r="BN18" s="176"/>
      <c r="BO18" s="12" t="e">
        <f t="shared" si="20"/>
        <v>#DIV/0!</v>
      </c>
      <c r="BP18" s="11"/>
      <c r="BQ18" s="6"/>
      <c r="BR18" s="6"/>
    </row>
    <row r="19" spans="1:70" ht="17.25" customHeight="1">
      <c r="A19" s="332">
        <v>4</v>
      </c>
      <c r="B19" s="321"/>
      <c r="C19" s="321"/>
      <c r="D19" s="225"/>
      <c r="E19" s="21">
        <v>1</v>
      </c>
      <c r="F19" s="17"/>
      <c r="G19" s="17"/>
      <c r="H19" s="17"/>
      <c r="I19" s="17"/>
      <c r="J19" s="17"/>
      <c r="K19" s="8" t="e">
        <f t="shared" si="6"/>
        <v>#DIV/0!</v>
      </c>
      <c r="L19" s="17"/>
      <c r="M19" s="17"/>
      <c r="N19" s="17"/>
      <c r="O19" s="17"/>
      <c r="P19" s="17"/>
      <c r="Q19" s="9" t="e">
        <f t="shared" si="23"/>
        <v>#DIV/0!</v>
      </c>
      <c r="R19" s="17"/>
      <c r="S19" s="17"/>
      <c r="T19" s="17"/>
      <c r="U19" s="17"/>
      <c r="V19" s="17"/>
      <c r="W19" s="9" t="e">
        <f t="shared" si="7"/>
        <v>#DIV/0!</v>
      </c>
      <c r="X19" s="233"/>
      <c r="Y19" s="234"/>
      <c r="Z19" s="9" t="str">
        <f t="shared" si="8"/>
        <v>0</v>
      </c>
      <c r="AA19" s="7" t="e">
        <f t="shared" si="0"/>
        <v>#DIV/0!</v>
      </c>
      <c r="AB19" s="365"/>
      <c r="AC19" s="17"/>
      <c r="AD19" s="17"/>
      <c r="AE19" s="17"/>
      <c r="AF19" s="17"/>
      <c r="AG19" s="17"/>
      <c r="AH19" s="9" t="e">
        <f t="shared" si="9"/>
        <v>#DIV/0!</v>
      </c>
      <c r="AI19" s="17"/>
      <c r="AJ19" s="17"/>
      <c r="AK19" s="17"/>
      <c r="AL19" s="17"/>
      <c r="AM19" s="17"/>
      <c r="AN19" s="9" t="e">
        <f t="shared" si="10"/>
        <v>#DIV/0!</v>
      </c>
      <c r="AO19" s="17"/>
      <c r="AP19" s="17"/>
      <c r="AQ19" s="17"/>
      <c r="AR19" s="17"/>
      <c r="AS19" s="17"/>
      <c r="AT19" s="9" t="e">
        <f t="shared" si="11"/>
        <v>#DIV/0!</v>
      </c>
      <c r="AU19" s="208"/>
      <c r="AV19" s="209"/>
      <c r="AW19" s="9" t="str">
        <f t="shared" si="12"/>
        <v>0</v>
      </c>
      <c r="AX19" s="7" t="e">
        <f t="shared" si="1"/>
        <v>#DIV/0!</v>
      </c>
      <c r="AY19" s="18" t="e">
        <f t="shared" si="1"/>
        <v>#DIV/0!</v>
      </c>
      <c r="AZ19" s="231" t="e">
        <f t="shared" ref="AZ19" si="26">IF(BP19&gt;=4.5, " 5 ", IF(BP19&gt;=3.5," 4 ",IF(BP19&gt;=2.5," 3  ",IF(BP19&gt;=1.5," 2 ",IF(BP19&gt;=1,"1 ",IF(BP19&gt;=0,"0"))))))</f>
        <v>#DIV/0!</v>
      </c>
      <c r="BA19" s="4" t="e">
        <f t="shared" si="2"/>
        <v>#DIV/0!</v>
      </c>
      <c r="BB19" s="4" t="e">
        <f t="shared" si="13"/>
        <v>#DIV/0!</v>
      </c>
      <c r="BC19" s="4" t="e">
        <f t="shared" si="14"/>
        <v>#DIV/0!</v>
      </c>
      <c r="BD19" s="4">
        <f t="shared" si="15"/>
        <v>0</v>
      </c>
      <c r="BE19" s="12" t="e">
        <f t="shared" si="3"/>
        <v>#DIV/0!</v>
      </c>
      <c r="BF19" s="4" t="e">
        <f t="shared" si="16"/>
        <v>#DIV/0!</v>
      </c>
      <c r="BG19" s="4" t="e">
        <f t="shared" si="17"/>
        <v>#DIV/0!</v>
      </c>
      <c r="BH19" s="4" t="e">
        <f t="shared" si="18"/>
        <v>#DIV/0!</v>
      </c>
      <c r="BI19" s="4">
        <f t="shared" si="19"/>
        <v>0</v>
      </c>
      <c r="BJ19" s="12" t="e">
        <f t="shared" si="4"/>
        <v>#DIV/0!</v>
      </c>
      <c r="BK19" s="12" t="e">
        <f t="shared" si="5"/>
        <v>#DIV/0!</v>
      </c>
      <c r="BL19" s="12" t="e">
        <f>(BE19+BJ19)/2</f>
        <v>#DIV/0!</v>
      </c>
      <c r="BM19" s="10" t="e">
        <f t="shared" si="21"/>
        <v>#DIV/0!</v>
      </c>
      <c r="BN19" s="176" t="e">
        <f t="shared" ref="BN19" si="27">ROUND(BO20,)</f>
        <v>#DIV/0!</v>
      </c>
      <c r="BO19" s="12"/>
      <c r="BP19" s="11" t="e">
        <f t="shared" si="25"/>
        <v>#DIV/0!</v>
      </c>
      <c r="BQ19" s="6"/>
      <c r="BR19" s="6"/>
    </row>
    <row r="20" spans="1:70" ht="17.25" customHeight="1" thickBot="1">
      <c r="A20" s="333"/>
      <c r="B20" s="321"/>
      <c r="C20" s="321"/>
      <c r="D20" s="225"/>
      <c r="E20" s="20">
        <v>2</v>
      </c>
      <c r="F20" s="17"/>
      <c r="G20" s="17"/>
      <c r="H20" s="17"/>
      <c r="I20" s="17"/>
      <c r="J20" s="17"/>
      <c r="K20" s="8" t="e">
        <f t="shared" si="6"/>
        <v>#DIV/0!</v>
      </c>
      <c r="L20" s="17"/>
      <c r="M20" s="17"/>
      <c r="N20" s="17"/>
      <c r="O20" s="17"/>
      <c r="P20" s="17"/>
      <c r="Q20" s="9" t="e">
        <f t="shared" si="23"/>
        <v>#DIV/0!</v>
      </c>
      <c r="R20" s="17"/>
      <c r="S20" s="17"/>
      <c r="T20" s="17"/>
      <c r="U20" s="17"/>
      <c r="V20" s="17"/>
      <c r="W20" s="9" t="e">
        <f t="shared" si="7"/>
        <v>#DIV/0!</v>
      </c>
      <c r="X20" s="233"/>
      <c r="Y20" s="234"/>
      <c r="Z20" s="9" t="str">
        <f t="shared" si="8"/>
        <v>0</v>
      </c>
      <c r="AA20" s="7" t="e">
        <f t="shared" si="0"/>
        <v>#DIV/0!</v>
      </c>
      <c r="AB20" s="365"/>
      <c r="AC20" s="17"/>
      <c r="AD20" s="17"/>
      <c r="AE20" s="17"/>
      <c r="AF20" s="17"/>
      <c r="AG20" s="17"/>
      <c r="AH20" s="9" t="e">
        <f t="shared" si="9"/>
        <v>#DIV/0!</v>
      </c>
      <c r="AI20" s="17"/>
      <c r="AJ20" s="17"/>
      <c r="AK20" s="17"/>
      <c r="AL20" s="17"/>
      <c r="AM20" s="17"/>
      <c r="AN20" s="9" t="e">
        <f t="shared" si="10"/>
        <v>#DIV/0!</v>
      </c>
      <c r="AO20" s="17"/>
      <c r="AP20" s="17"/>
      <c r="AQ20" s="17"/>
      <c r="AR20" s="17"/>
      <c r="AS20" s="17"/>
      <c r="AT20" s="9" t="e">
        <f t="shared" si="11"/>
        <v>#DIV/0!</v>
      </c>
      <c r="AU20" s="208"/>
      <c r="AV20" s="209"/>
      <c r="AW20" s="9" t="str">
        <f t="shared" si="12"/>
        <v>0</v>
      </c>
      <c r="AX20" s="7" t="e">
        <f t="shared" si="1"/>
        <v>#DIV/0!</v>
      </c>
      <c r="AY20" s="18" t="e">
        <f t="shared" si="1"/>
        <v>#DIV/0!</v>
      </c>
      <c r="AZ20" s="232"/>
      <c r="BA20" s="4" t="e">
        <f t="shared" si="2"/>
        <v>#DIV/0!</v>
      </c>
      <c r="BB20" s="4" t="e">
        <f t="shared" si="13"/>
        <v>#DIV/0!</v>
      </c>
      <c r="BC20" s="4" t="e">
        <f t="shared" si="14"/>
        <v>#DIV/0!</v>
      </c>
      <c r="BD20" s="4">
        <f t="shared" si="15"/>
        <v>0</v>
      </c>
      <c r="BE20" s="12" t="e">
        <f t="shared" si="3"/>
        <v>#DIV/0!</v>
      </c>
      <c r="BF20" s="4" t="e">
        <f t="shared" si="16"/>
        <v>#DIV/0!</v>
      </c>
      <c r="BG20" s="4" t="e">
        <f t="shared" si="17"/>
        <v>#DIV/0!</v>
      </c>
      <c r="BH20" s="4" t="e">
        <f t="shared" si="18"/>
        <v>#DIV/0!</v>
      </c>
      <c r="BI20" s="4">
        <f t="shared" si="19"/>
        <v>0</v>
      </c>
      <c r="BJ20" s="12" t="e">
        <f t="shared" si="4"/>
        <v>#DIV/0!</v>
      </c>
      <c r="BK20" s="12" t="e">
        <f t="shared" si="5"/>
        <v>#DIV/0!</v>
      </c>
      <c r="BL20" s="12"/>
      <c r="BM20" s="10"/>
      <c r="BN20" s="176"/>
      <c r="BO20" s="12" t="e">
        <f t="shared" si="20"/>
        <v>#DIV/0!</v>
      </c>
      <c r="BP20" s="11"/>
      <c r="BQ20" s="6"/>
      <c r="BR20" s="6"/>
    </row>
    <row r="21" spans="1:70" ht="20.25" customHeight="1">
      <c r="A21" s="332">
        <v>5</v>
      </c>
      <c r="B21" s="321"/>
      <c r="C21" s="321"/>
      <c r="D21" s="225"/>
      <c r="E21" s="21">
        <v>1</v>
      </c>
      <c r="F21" s="17"/>
      <c r="G21" s="17"/>
      <c r="H21" s="17"/>
      <c r="I21" s="17"/>
      <c r="J21" s="17"/>
      <c r="K21" s="8" t="e">
        <f t="shared" si="6"/>
        <v>#DIV/0!</v>
      </c>
      <c r="L21" s="17"/>
      <c r="M21" s="17"/>
      <c r="N21" s="17"/>
      <c r="O21" s="17"/>
      <c r="P21" s="17"/>
      <c r="Q21" s="9" t="e">
        <f t="shared" si="23"/>
        <v>#DIV/0!</v>
      </c>
      <c r="R21" s="17"/>
      <c r="S21" s="17"/>
      <c r="T21" s="17"/>
      <c r="U21" s="17"/>
      <c r="V21" s="17"/>
      <c r="W21" s="9" t="e">
        <f t="shared" si="7"/>
        <v>#DIV/0!</v>
      </c>
      <c r="X21" s="233"/>
      <c r="Y21" s="234"/>
      <c r="Z21" s="9" t="str">
        <f t="shared" si="8"/>
        <v>0</v>
      </c>
      <c r="AA21" s="7" t="e">
        <f t="shared" si="0"/>
        <v>#DIV/0!</v>
      </c>
      <c r="AB21" s="365"/>
      <c r="AC21" s="17"/>
      <c r="AD21" s="17"/>
      <c r="AE21" s="17"/>
      <c r="AF21" s="17"/>
      <c r="AG21" s="17"/>
      <c r="AH21" s="9" t="e">
        <f t="shared" si="9"/>
        <v>#DIV/0!</v>
      </c>
      <c r="AI21" s="17"/>
      <c r="AJ21" s="17"/>
      <c r="AK21" s="17"/>
      <c r="AL21" s="17"/>
      <c r="AM21" s="17"/>
      <c r="AN21" s="9" t="e">
        <f t="shared" si="10"/>
        <v>#DIV/0!</v>
      </c>
      <c r="AO21" s="17"/>
      <c r="AP21" s="17"/>
      <c r="AQ21" s="17"/>
      <c r="AR21" s="17"/>
      <c r="AS21" s="17"/>
      <c r="AT21" s="9" t="e">
        <f t="shared" si="11"/>
        <v>#DIV/0!</v>
      </c>
      <c r="AU21" s="208"/>
      <c r="AV21" s="209"/>
      <c r="AW21" s="9" t="str">
        <f t="shared" si="12"/>
        <v>0</v>
      </c>
      <c r="AX21" s="7" t="e">
        <f t="shared" si="1"/>
        <v>#DIV/0!</v>
      </c>
      <c r="AY21" s="18" t="e">
        <f t="shared" si="1"/>
        <v>#DIV/0!</v>
      </c>
      <c r="AZ21" s="231" t="e">
        <f t="shared" ref="AZ21" si="28">IF(BP21&gt;=4.5, " 5 ", IF(BP21&gt;=3.5," 4 ",IF(BP21&gt;=2.5," 3  ",IF(BP21&gt;=1.5," 2 ",IF(BP21&gt;=1,"1 ",IF(BP21&gt;=0,"0"))))))</f>
        <v>#DIV/0!</v>
      </c>
      <c r="BA21" s="4" t="e">
        <f t="shared" si="2"/>
        <v>#DIV/0!</v>
      </c>
      <c r="BB21" s="4" t="e">
        <f t="shared" si="13"/>
        <v>#DIV/0!</v>
      </c>
      <c r="BC21" s="4" t="e">
        <f t="shared" si="14"/>
        <v>#DIV/0!</v>
      </c>
      <c r="BD21" s="4">
        <f t="shared" si="15"/>
        <v>0</v>
      </c>
      <c r="BE21" s="12" t="e">
        <f t="shared" si="3"/>
        <v>#DIV/0!</v>
      </c>
      <c r="BF21" s="4" t="e">
        <f t="shared" si="16"/>
        <v>#DIV/0!</v>
      </c>
      <c r="BG21" s="4" t="e">
        <f t="shared" si="17"/>
        <v>#DIV/0!</v>
      </c>
      <c r="BH21" s="4" t="e">
        <f t="shared" si="18"/>
        <v>#DIV/0!</v>
      </c>
      <c r="BI21" s="4">
        <f t="shared" si="19"/>
        <v>0</v>
      </c>
      <c r="BJ21" s="12" t="e">
        <f t="shared" si="4"/>
        <v>#DIV/0!</v>
      </c>
      <c r="BK21" s="12" t="e">
        <f t="shared" si="5"/>
        <v>#DIV/0!</v>
      </c>
      <c r="BL21" s="12" t="e">
        <f>(BE21+BJ21)/2</f>
        <v>#DIV/0!</v>
      </c>
      <c r="BM21" s="10" t="e">
        <f t="shared" si="21"/>
        <v>#DIV/0!</v>
      </c>
      <c r="BN21" s="176" t="e">
        <f t="shared" ref="BN21" si="29">ROUND(BO22,)</f>
        <v>#DIV/0!</v>
      </c>
      <c r="BO21" s="12"/>
      <c r="BP21" s="11" t="e">
        <f t="shared" si="25"/>
        <v>#DIV/0!</v>
      </c>
      <c r="BQ21" s="6"/>
      <c r="BR21" s="6"/>
    </row>
    <row r="22" spans="1:70" ht="18" customHeight="1" thickBot="1">
      <c r="A22" s="333"/>
      <c r="B22" s="321"/>
      <c r="C22" s="321"/>
      <c r="D22" s="225"/>
      <c r="E22" s="20">
        <v>2</v>
      </c>
      <c r="F22" s="17"/>
      <c r="G22" s="17"/>
      <c r="H22" s="17"/>
      <c r="I22" s="17"/>
      <c r="J22" s="17"/>
      <c r="K22" s="8" t="e">
        <f t="shared" si="6"/>
        <v>#DIV/0!</v>
      </c>
      <c r="L22" s="17"/>
      <c r="M22" s="17"/>
      <c r="N22" s="17"/>
      <c r="O22" s="17"/>
      <c r="P22" s="17"/>
      <c r="Q22" s="9" t="e">
        <f t="shared" si="23"/>
        <v>#DIV/0!</v>
      </c>
      <c r="R22" s="17"/>
      <c r="S22" s="17"/>
      <c r="T22" s="17"/>
      <c r="U22" s="17"/>
      <c r="V22" s="17"/>
      <c r="W22" s="9" t="e">
        <f t="shared" si="7"/>
        <v>#DIV/0!</v>
      </c>
      <c r="X22" s="233"/>
      <c r="Y22" s="234"/>
      <c r="Z22" s="9" t="str">
        <f>IF(X22&gt;=85,"5",IF(X22&gt;=65,"4",IF(X22&gt;=55,"3",IF(X22&gt;=40,"2",IF(X22&gt;=1,"1",IF(X22&gt;="","0"))))))</f>
        <v>0</v>
      </c>
      <c r="AA22" s="7" t="e">
        <f t="shared" si="0"/>
        <v>#DIV/0!</v>
      </c>
      <c r="AB22" s="365"/>
      <c r="AC22" s="17"/>
      <c r="AD22" s="17"/>
      <c r="AE22" s="17"/>
      <c r="AF22" s="17"/>
      <c r="AG22" s="17"/>
      <c r="AH22" s="9" t="e">
        <f t="shared" si="9"/>
        <v>#DIV/0!</v>
      </c>
      <c r="AI22" s="17"/>
      <c r="AJ22" s="17"/>
      <c r="AK22" s="17"/>
      <c r="AL22" s="17"/>
      <c r="AM22" s="17"/>
      <c r="AN22" s="9" t="e">
        <f t="shared" si="10"/>
        <v>#DIV/0!</v>
      </c>
      <c r="AO22" s="17"/>
      <c r="AP22" s="17"/>
      <c r="AQ22" s="17"/>
      <c r="AR22" s="17"/>
      <c r="AS22" s="17"/>
      <c r="AT22" s="9" t="e">
        <f t="shared" si="11"/>
        <v>#DIV/0!</v>
      </c>
      <c r="AU22" s="208"/>
      <c r="AV22" s="209"/>
      <c r="AW22" s="9" t="str">
        <f t="shared" si="12"/>
        <v>0</v>
      </c>
      <c r="AX22" s="7" t="e">
        <f t="shared" si="1"/>
        <v>#DIV/0!</v>
      </c>
      <c r="AY22" s="18" t="e">
        <f t="shared" si="1"/>
        <v>#DIV/0!</v>
      </c>
      <c r="AZ22" s="232"/>
      <c r="BA22" s="4" t="e">
        <f t="shared" si="2"/>
        <v>#DIV/0!</v>
      </c>
      <c r="BB22" s="4" t="e">
        <f t="shared" si="13"/>
        <v>#DIV/0!</v>
      </c>
      <c r="BC22" s="4" t="e">
        <f t="shared" si="14"/>
        <v>#DIV/0!</v>
      </c>
      <c r="BD22" s="4">
        <f t="shared" si="15"/>
        <v>0</v>
      </c>
      <c r="BE22" s="12" t="e">
        <f t="shared" si="3"/>
        <v>#DIV/0!</v>
      </c>
      <c r="BF22" s="4" t="e">
        <f t="shared" si="16"/>
        <v>#DIV/0!</v>
      </c>
      <c r="BG22" s="4" t="e">
        <f t="shared" si="17"/>
        <v>#DIV/0!</v>
      </c>
      <c r="BH22" s="4" t="e">
        <f t="shared" si="18"/>
        <v>#DIV/0!</v>
      </c>
      <c r="BI22" s="4">
        <f t="shared" si="19"/>
        <v>0</v>
      </c>
      <c r="BJ22" s="12" t="e">
        <f t="shared" si="4"/>
        <v>#DIV/0!</v>
      </c>
      <c r="BK22" s="12" t="e">
        <f t="shared" si="5"/>
        <v>#DIV/0!</v>
      </c>
      <c r="BL22" s="12"/>
      <c r="BM22" s="10"/>
      <c r="BN22" s="176"/>
      <c r="BO22" s="12" t="e">
        <f t="shared" si="20"/>
        <v>#DIV/0!</v>
      </c>
      <c r="BP22" s="11"/>
      <c r="BQ22" s="6"/>
      <c r="BR22" s="6"/>
    </row>
    <row r="23" spans="1:70" ht="20.25" customHeight="1">
      <c r="A23" s="332">
        <v>6</v>
      </c>
      <c r="B23" s="321"/>
      <c r="C23" s="321"/>
      <c r="D23" s="225"/>
      <c r="E23" s="21">
        <v>1</v>
      </c>
      <c r="F23" s="17"/>
      <c r="G23" s="17"/>
      <c r="H23" s="17"/>
      <c r="I23" s="17"/>
      <c r="J23" s="17"/>
      <c r="K23" s="8" t="e">
        <f t="shared" si="6"/>
        <v>#DIV/0!</v>
      </c>
      <c r="L23" s="17"/>
      <c r="M23" s="17"/>
      <c r="N23" s="17"/>
      <c r="O23" s="17"/>
      <c r="P23" s="17"/>
      <c r="Q23" s="9" t="e">
        <f t="shared" si="23"/>
        <v>#DIV/0!</v>
      </c>
      <c r="R23" s="17"/>
      <c r="S23" s="17"/>
      <c r="T23" s="17"/>
      <c r="U23" s="17"/>
      <c r="V23" s="17"/>
      <c r="W23" s="9" t="e">
        <f t="shared" si="7"/>
        <v>#DIV/0!</v>
      </c>
      <c r="X23" s="233"/>
      <c r="Y23" s="234"/>
      <c r="Z23" s="9" t="str">
        <f>IF(X23&gt;=85,"5",IF(X23&gt;=65,"4",IF(X23&gt;=55,"3",IF(X23&gt;=40,"2",IF(X23&gt;=1,"1",IF(X23&gt;="","0"))))))</f>
        <v>0</v>
      </c>
      <c r="AA23" s="7" t="e">
        <f t="shared" si="0"/>
        <v>#DIV/0!</v>
      </c>
      <c r="AB23" s="365"/>
      <c r="AC23" s="17"/>
      <c r="AD23" s="17"/>
      <c r="AE23" s="17"/>
      <c r="AF23" s="17"/>
      <c r="AG23" s="17"/>
      <c r="AH23" s="9" t="e">
        <f t="shared" si="9"/>
        <v>#DIV/0!</v>
      </c>
      <c r="AI23" s="17"/>
      <c r="AJ23" s="17"/>
      <c r="AK23" s="17"/>
      <c r="AL23" s="17"/>
      <c r="AM23" s="17"/>
      <c r="AN23" s="9" t="e">
        <f t="shared" si="10"/>
        <v>#DIV/0!</v>
      </c>
      <c r="AO23" s="17"/>
      <c r="AP23" s="17"/>
      <c r="AQ23" s="17"/>
      <c r="AR23" s="17"/>
      <c r="AS23" s="17"/>
      <c r="AT23" s="9" t="e">
        <f t="shared" si="11"/>
        <v>#DIV/0!</v>
      </c>
      <c r="AU23" s="208"/>
      <c r="AV23" s="209"/>
      <c r="AW23" s="9" t="str">
        <f t="shared" si="12"/>
        <v>0</v>
      </c>
      <c r="AX23" s="7" t="e">
        <f t="shared" si="1"/>
        <v>#DIV/0!</v>
      </c>
      <c r="AY23" s="18" t="e">
        <f t="shared" si="1"/>
        <v>#DIV/0!</v>
      </c>
      <c r="AZ23" s="231" t="e">
        <f t="shared" ref="AZ23" si="30">IF(BP23&gt;=4.5, " 5 ", IF(BP23&gt;=3.5," 4 ",IF(BP23&gt;=2.5," 3  ",IF(BP23&gt;=1.5," 2 ",IF(BP23&gt;=1,"1 ",IF(BP23&gt;=0,"0"))))))</f>
        <v>#DIV/0!</v>
      </c>
      <c r="BA23" s="4" t="e">
        <f t="shared" si="2"/>
        <v>#DIV/0!</v>
      </c>
      <c r="BB23" s="4" t="e">
        <f t="shared" si="13"/>
        <v>#DIV/0!</v>
      </c>
      <c r="BC23" s="4" t="e">
        <f t="shared" si="14"/>
        <v>#DIV/0!</v>
      </c>
      <c r="BD23" s="4">
        <f t="shared" si="15"/>
        <v>0</v>
      </c>
      <c r="BE23" s="12" t="e">
        <f t="shared" si="3"/>
        <v>#DIV/0!</v>
      </c>
      <c r="BF23" s="4" t="e">
        <f t="shared" si="16"/>
        <v>#DIV/0!</v>
      </c>
      <c r="BG23" s="4" t="e">
        <f t="shared" si="17"/>
        <v>#DIV/0!</v>
      </c>
      <c r="BH23" s="4" t="e">
        <f t="shared" si="18"/>
        <v>#DIV/0!</v>
      </c>
      <c r="BI23" s="4">
        <f t="shared" si="19"/>
        <v>0</v>
      </c>
      <c r="BJ23" s="12" t="e">
        <f t="shared" si="4"/>
        <v>#DIV/0!</v>
      </c>
      <c r="BK23" s="12" t="e">
        <f t="shared" si="5"/>
        <v>#DIV/0!</v>
      </c>
      <c r="BL23" s="12" t="e">
        <f>(BE23+BJ23)/2</f>
        <v>#DIV/0!</v>
      </c>
      <c r="BM23" s="10" t="e">
        <f t="shared" si="21"/>
        <v>#DIV/0!</v>
      </c>
      <c r="BN23" s="176" t="e">
        <f t="shared" ref="BN23:BN71" si="31">ROUND(BO24,)</f>
        <v>#DIV/0!</v>
      </c>
      <c r="BO23" s="12"/>
      <c r="BP23" s="11" t="e">
        <f t="shared" si="25"/>
        <v>#DIV/0!</v>
      </c>
      <c r="BQ23" s="6"/>
      <c r="BR23" s="6"/>
    </row>
    <row r="24" spans="1:70" ht="20.25" customHeight="1" thickBot="1">
      <c r="A24" s="333"/>
      <c r="B24" s="321"/>
      <c r="C24" s="321"/>
      <c r="D24" s="225"/>
      <c r="E24" s="20">
        <v>2</v>
      </c>
      <c r="F24" s="17"/>
      <c r="G24" s="17"/>
      <c r="H24" s="17"/>
      <c r="I24" s="17"/>
      <c r="J24" s="17"/>
      <c r="K24" s="8" t="e">
        <f t="shared" si="6"/>
        <v>#DIV/0!</v>
      </c>
      <c r="L24" s="17"/>
      <c r="M24" s="17"/>
      <c r="N24" s="17"/>
      <c r="O24" s="17"/>
      <c r="P24" s="17"/>
      <c r="Q24" s="9" t="e">
        <f t="shared" si="23"/>
        <v>#DIV/0!</v>
      </c>
      <c r="R24" s="17"/>
      <c r="S24" s="17"/>
      <c r="T24" s="17"/>
      <c r="U24" s="17"/>
      <c r="V24" s="17"/>
      <c r="W24" s="9" t="e">
        <f t="shared" si="7"/>
        <v>#DIV/0!</v>
      </c>
      <c r="X24" s="233"/>
      <c r="Y24" s="234"/>
      <c r="Z24" s="9" t="str">
        <f t="shared" si="8"/>
        <v>0</v>
      </c>
      <c r="AA24" s="7" t="e">
        <f t="shared" si="0"/>
        <v>#DIV/0!</v>
      </c>
      <c r="AB24" s="365"/>
      <c r="AC24" s="17"/>
      <c r="AD24" s="17"/>
      <c r="AE24" s="17"/>
      <c r="AF24" s="17"/>
      <c r="AG24" s="17"/>
      <c r="AH24" s="9" t="e">
        <f t="shared" si="9"/>
        <v>#DIV/0!</v>
      </c>
      <c r="AI24" s="17"/>
      <c r="AJ24" s="17"/>
      <c r="AK24" s="17"/>
      <c r="AL24" s="17"/>
      <c r="AM24" s="17"/>
      <c r="AN24" s="9" t="e">
        <f t="shared" si="10"/>
        <v>#DIV/0!</v>
      </c>
      <c r="AO24" s="17"/>
      <c r="AP24" s="17"/>
      <c r="AQ24" s="17"/>
      <c r="AR24" s="17"/>
      <c r="AS24" s="17"/>
      <c r="AT24" s="9" t="e">
        <f t="shared" si="11"/>
        <v>#DIV/0!</v>
      </c>
      <c r="AU24" s="208"/>
      <c r="AV24" s="209"/>
      <c r="AW24" s="9" t="str">
        <f t="shared" si="12"/>
        <v>0</v>
      </c>
      <c r="AX24" s="7" t="e">
        <f t="shared" si="1"/>
        <v>#DIV/0!</v>
      </c>
      <c r="AY24" s="18" t="e">
        <f t="shared" si="1"/>
        <v>#DIV/0!</v>
      </c>
      <c r="AZ24" s="232"/>
      <c r="BA24" s="4" t="e">
        <f t="shared" si="2"/>
        <v>#DIV/0!</v>
      </c>
      <c r="BB24" s="4" t="e">
        <f t="shared" si="13"/>
        <v>#DIV/0!</v>
      </c>
      <c r="BC24" s="4" t="e">
        <f t="shared" si="14"/>
        <v>#DIV/0!</v>
      </c>
      <c r="BD24" s="4">
        <f t="shared" si="15"/>
        <v>0</v>
      </c>
      <c r="BE24" s="12" t="e">
        <f t="shared" si="3"/>
        <v>#DIV/0!</v>
      </c>
      <c r="BF24" s="4" t="e">
        <f t="shared" si="16"/>
        <v>#DIV/0!</v>
      </c>
      <c r="BG24" s="4" t="e">
        <f t="shared" si="17"/>
        <v>#DIV/0!</v>
      </c>
      <c r="BH24" s="4" t="e">
        <f t="shared" si="18"/>
        <v>#DIV/0!</v>
      </c>
      <c r="BI24" s="4">
        <f t="shared" si="19"/>
        <v>0</v>
      </c>
      <c r="BJ24" s="12" t="e">
        <f t="shared" si="4"/>
        <v>#DIV/0!</v>
      </c>
      <c r="BK24" s="12" t="e">
        <f t="shared" si="5"/>
        <v>#DIV/0!</v>
      </c>
      <c r="BL24" s="12"/>
      <c r="BM24" s="10"/>
      <c r="BN24" s="176"/>
      <c r="BO24" s="12" t="e">
        <f t="shared" si="20"/>
        <v>#DIV/0!</v>
      </c>
      <c r="BP24" s="11"/>
      <c r="BQ24" s="6"/>
      <c r="BR24" s="6"/>
    </row>
    <row r="25" spans="1:70" ht="20.25" customHeight="1">
      <c r="A25" s="332">
        <v>7</v>
      </c>
      <c r="B25" s="321"/>
      <c r="C25" s="321"/>
      <c r="D25" s="225"/>
      <c r="E25" s="21">
        <v>1</v>
      </c>
      <c r="F25" s="17"/>
      <c r="G25" s="17"/>
      <c r="H25" s="17"/>
      <c r="I25" s="17"/>
      <c r="J25" s="17"/>
      <c r="K25" s="8" t="e">
        <f t="shared" si="6"/>
        <v>#DIV/0!</v>
      </c>
      <c r="L25" s="17"/>
      <c r="M25" s="17"/>
      <c r="N25" s="17"/>
      <c r="O25" s="17"/>
      <c r="P25" s="17"/>
      <c r="Q25" s="9" t="e">
        <f t="shared" si="23"/>
        <v>#DIV/0!</v>
      </c>
      <c r="R25" s="17"/>
      <c r="S25" s="17"/>
      <c r="T25" s="17"/>
      <c r="U25" s="17"/>
      <c r="V25" s="17"/>
      <c r="W25" s="9" t="e">
        <f t="shared" si="7"/>
        <v>#DIV/0!</v>
      </c>
      <c r="X25" s="233"/>
      <c r="Y25" s="234"/>
      <c r="Z25" s="9" t="str">
        <f t="shared" si="8"/>
        <v>0</v>
      </c>
      <c r="AA25" s="7" t="e">
        <f t="shared" si="0"/>
        <v>#DIV/0!</v>
      </c>
      <c r="AB25" s="365"/>
      <c r="AC25" s="17"/>
      <c r="AD25" s="17"/>
      <c r="AE25" s="17"/>
      <c r="AF25" s="17"/>
      <c r="AG25" s="17"/>
      <c r="AH25" s="9" t="e">
        <f t="shared" si="9"/>
        <v>#DIV/0!</v>
      </c>
      <c r="AI25" s="17"/>
      <c r="AJ25" s="17"/>
      <c r="AK25" s="17"/>
      <c r="AL25" s="17"/>
      <c r="AM25" s="17"/>
      <c r="AN25" s="9" t="e">
        <f t="shared" si="10"/>
        <v>#DIV/0!</v>
      </c>
      <c r="AO25" s="17"/>
      <c r="AP25" s="17"/>
      <c r="AQ25" s="17"/>
      <c r="AR25" s="17"/>
      <c r="AS25" s="17"/>
      <c r="AT25" s="9" t="e">
        <f t="shared" si="11"/>
        <v>#DIV/0!</v>
      </c>
      <c r="AU25" s="208"/>
      <c r="AV25" s="209"/>
      <c r="AW25" s="9" t="str">
        <f t="shared" si="12"/>
        <v>0</v>
      </c>
      <c r="AX25" s="7" t="e">
        <f t="shared" si="1"/>
        <v>#DIV/0!</v>
      </c>
      <c r="AY25" s="18" t="e">
        <f t="shared" si="1"/>
        <v>#DIV/0!</v>
      </c>
      <c r="AZ25" s="231" t="e">
        <f t="shared" ref="AZ25" si="32">IF(BP25&gt;=4.5, " 5 ", IF(BP25&gt;=3.5," 4 ",IF(BP25&gt;=2.5," 3  ",IF(BP25&gt;=1.5," 2 ",IF(BP25&gt;=1,"1 ",IF(BP25&gt;=0,"0"))))))</f>
        <v>#DIV/0!</v>
      </c>
      <c r="BA25" s="4" t="e">
        <f t="shared" si="2"/>
        <v>#DIV/0!</v>
      </c>
      <c r="BB25" s="4" t="e">
        <f t="shared" si="13"/>
        <v>#DIV/0!</v>
      </c>
      <c r="BC25" s="4" t="e">
        <f t="shared" si="14"/>
        <v>#DIV/0!</v>
      </c>
      <c r="BD25" s="4">
        <f t="shared" si="15"/>
        <v>0</v>
      </c>
      <c r="BE25" s="12" t="e">
        <f t="shared" si="3"/>
        <v>#DIV/0!</v>
      </c>
      <c r="BF25" s="4" t="e">
        <f t="shared" si="16"/>
        <v>#DIV/0!</v>
      </c>
      <c r="BG25" s="4" t="e">
        <f t="shared" si="17"/>
        <v>#DIV/0!</v>
      </c>
      <c r="BH25" s="4" t="e">
        <f t="shared" si="18"/>
        <v>#DIV/0!</v>
      </c>
      <c r="BI25" s="4">
        <f t="shared" si="19"/>
        <v>0</v>
      </c>
      <c r="BJ25" s="12" t="e">
        <f t="shared" si="4"/>
        <v>#DIV/0!</v>
      </c>
      <c r="BK25" s="12" t="e">
        <f t="shared" si="5"/>
        <v>#DIV/0!</v>
      </c>
      <c r="BL25" s="12" t="e">
        <f>(BE25+BJ25)/2</f>
        <v>#DIV/0!</v>
      </c>
      <c r="BM25" s="10" t="e">
        <f t="shared" si="21"/>
        <v>#DIV/0!</v>
      </c>
      <c r="BN25" s="176" t="e">
        <f t="shared" ref="BN25:BN65" si="33">ROUND(BO26,)</f>
        <v>#DIV/0!</v>
      </c>
      <c r="BO25" s="12"/>
      <c r="BP25" s="11" t="e">
        <f t="shared" si="25"/>
        <v>#DIV/0!</v>
      </c>
      <c r="BQ25" s="6"/>
      <c r="BR25" s="6"/>
    </row>
    <row r="26" spans="1:70" ht="20.25" customHeight="1" thickBot="1">
      <c r="A26" s="333"/>
      <c r="B26" s="321"/>
      <c r="C26" s="321"/>
      <c r="D26" s="225"/>
      <c r="E26" s="20">
        <v>2</v>
      </c>
      <c r="F26" s="17"/>
      <c r="G26" s="17"/>
      <c r="H26" s="17"/>
      <c r="I26" s="17"/>
      <c r="J26" s="17"/>
      <c r="K26" s="8" t="e">
        <f t="shared" si="6"/>
        <v>#DIV/0!</v>
      </c>
      <c r="L26" s="17"/>
      <c r="M26" s="17"/>
      <c r="N26" s="17"/>
      <c r="O26" s="17"/>
      <c r="P26" s="17"/>
      <c r="Q26" s="9" t="e">
        <f t="shared" si="23"/>
        <v>#DIV/0!</v>
      </c>
      <c r="R26" s="17"/>
      <c r="S26" s="17"/>
      <c r="T26" s="17"/>
      <c r="U26" s="17"/>
      <c r="V26" s="17"/>
      <c r="W26" s="9" t="e">
        <f t="shared" si="7"/>
        <v>#DIV/0!</v>
      </c>
      <c r="X26" s="233"/>
      <c r="Y26" s="234"/>
      <c r="Z26" s="9" t="str">
        <f t="shared" si="8"/>
        <v>0</v>
      </c>
      <c r="AA26" s="7" t="e">
        <f t="shared" si="0"/>
        <v>#DIV/0!</v>
      </c>
      <c r="AB26" s="365"/>
      <c r="AC26" s="17"/>
      <c r="AD26" s="17"/>
      <c r="AE26" s="17"/>
      <c r="AF26" s="17"/>
      <c r="AG26" s="17"/>
      <c r="AH26" s="9" t="e">
        <f t="shared" si="9"/>
        <v>#DIV/0!</v>
      </c>
      <c r="AI26" s="17"/>
      <c r="AJ26" s="17"/>
      <c r="AK26" s="17"/>
      <c r="AL26" s="17"/>
      <c r="AM26" s="17"/>
      <c r="AN26" s="9" t="e">
        <f t="shared" si="10"/>
        <v>#DIV/0!</v>
      </c>
      <c r="AO26" s="17"/>
      <c r="AP26" s="17"/>
      <c r="AQ26" s="17"/>
      <c r="AR26" s="17"/>
      <c r="AS26" s="17"/>
      <c r="AT26" s="9" t="e">
        <f t="shared" si="11"/>
        <v>#DIV/0!</v>
      </c>
      <c r="AU26" s="208"/>
      <c r="AV26" s="209"/>
      <c r="AW26" s="9" t="str">
        <f t="shared" si="12"/>
        <v>0</v>
      </c>
      <c r="AX26" s="7" t="e">
        <f t="shared" si="1"/>
        <v>#DIV/0!</v>
      </c>
      <c r="AY26" s="18" t="e">
        <f t="shared" si="1"/>
        <v>#DIV/0!</v>
      </c>
      <c r="AZ26" s="232"/>
      <c r="BA26" s="4" t="e">
        <f t="shared" si="2"/>
        <v>#DIV/0!</v>
      </c>
      <c r="BB26" s="4" t="e">
        <f t="shared" si="13"/>
        <v>#DIV/0!</v>
      </c>
      <c r="BC26" s="4" t="e">
        <f t="shared" si="14"/>
        <v>#DIV/0!</v>
      </c>
      <c r="BD26" s="4">
        <f t="shared" si="15"/>
        <v>0</v>
      </c>
      <c r="BE26" s="12" t="e">
        <f t="shared" si="3"/>
        <v>#DIV/0!</v>
      </c>
      <c r="BF26" s="4" t="e">
        <f t="shared" si="16"/>
        <v>#DIV/0!</v>
      </c>
      <c r="BG26" s="4" t="e">
        <f t="shared" si="17"/>
        <v>#DIV/0!</v>
      </c>
      <c r="BH26" s="4" t="e">
        <f t="shared" si="18"/>
        <v>#DIV/0!</v>
      </c>
      <c r="BI26" s="4">
        <f t="shared" si="19"/>
        <v>0</v>
      </c>
      <c r="BJ26" s="12" t="e">
        <f t="shared" si="4"/>
        <v>#DIV/0!</v>
      </c>
      <c r="BK26" s="12" t="e">
        <f t="shared" si="5"/>
        <v>#DIV/0!</v>
      </c>
      <c r="BL26" s="12"/>
      <c r="BM26" s="10"/>
      <c r="BN26" s="176"/>
      <c r="BO26" s="12" t="e">
        <f t="shared" si="20"/>
        <v>#DIV/0!</v>
      </c>
      <c r="BP26" s="11"/>
      <c r="BQ26" s="6"/>
      <c r="BR26" s="6"/>
    </row>
    <row r="27" spans="1:70" ht="20.25" customHeight="1">
      <c r="A27" s="332">
        <v>8</v>
      </c>
      <c r="B27" s="321"/>
      <c r="C27" s="321"/>
      <c r="D27" s="225"/>
      <c r="E27" s="21">
        <v>1</v>
      </c>
      <c r="F27" s="17"/>
      <c r="G27" s="17"/>
      <c r="H27" s="17"/>
      <c r="I27" s="17"/>
      <c r="J27" s="17"/>
      <c r="K27" s="8" t="e">
        <f t="shared" si="6"/>
        <v>#DIV/0!</v>
      </c>
      <c r="L27" s="17"/>
      <c r="M27" s="17"/>
      <c r="N27" s="17"/>
      <c r="O27" s="17"/>
      <c r="P27" s="17"/>
      <c r="Q27" s="9" t="e">
        <f t="shared" si="23"/>
        <v>#DIV/0!</v>
      </c>
      <c r="R27" s="17"/>
      <c r="S27" s="17"/>
      <c r="T27" s="17"/>
      <c r="U27" s="17"/>
      <c r="V27" s="17"/>
      <c r="W27" s="9" t="e">
        <f t="shared" si="7"/>
        <v>#DIV/0!</v>
      </c>
      <c r="X27" s="233"/>
      <c r="Y27" s="234"/>
      <c r="Z27" s="9" t="str">
        <f t="shared" si="8"/>
        <v>0</v>
      </c>
      <c r="AA27" s="7" t="e">
        <f t="shared" si="0"/>
        <v>#DIV/0!</v>
      </c>
      <c r="AB27" s="365"/>
      <c r="AC27" s="17"/>
      <c r="AD27" s="17"/>
      <c r="AE27" s="17"/>
      <c r="AF27" s="17"/>
      <c r="AG27" s="17"/>
      <c r="AH27" s="9" t="e">
        <f t="shared" si="9"/>
        <v>#DIV/0!</v>
      </c>
      <c r="AI27" s="17"/>
      <c r="AJ27" s="17"/>
      <c r="AK27" s="17"/>
      <c r="AL27" s="17"/>
      <c r="AM27" s="17"/>
      <c r="AN27" s="9" t="e">
        <f t="shared" si="10"/>
        <v>#DIV/0!</v>
      </c>
      <c r="AO27" s="17"/>
      <c r="AP27" s="17"/>
      <c r="AQ27" s="17"/>
      <c r="AR27" s="17"/>
      <c r="AS27" s="17"/>
      <c r="AT27" s="9" t="e">
        <f t="shared" si="11"/>
        <v>#DIV/0!</v>
      </c>
      <c r="AU27" s="208"/>
      <c r="AV27" s="209"/>
      <c r="AW27" s="9" t="str">
        <f t="shared" si="12"/>
        <v>0</v>
      </c>
      <c r="AX27" s="7" t="e">
        <f t="shared" si="1"/>
        <v>#DIV/0!</v>
      </c>
      <c r="AY27" s="18" t="e">
        <f t="shared" si="1"/>
        <v>#DIV/0!</v>
      </c>
      <c r="AZ27" s="231" t="e">
        <f t="shared" ref="AZ27" si="34">IF(BP27&gt;=4.5, " 5 ", IF(BP27&gt;=3.5," 4 ",IF(BP27&gt;=2.5," 3  ",IF(BP27&gt;=1.5," 2 ",IF(BP27&gt;=1,"1 ",IF(BP27&gt;=0,"0"))))))</f>
        <v>#DIV/0!</v>
      </c>
      <c r="BA27" s="4" t="e">
        <f t="shared" si="2"/>
        <v>#DIV/0!</v>
      </c>
      <c r="BB27" s="4" t="e">
        <f t="shared" si="13"/>
        <v>#DIV/0!</v>
      </c>
      <c r="BC27" s="4" t="e">
        <f t="shared" si="14"/>
        <v>#DIV/0!</v>
      </c>
      <c r="BD27" s="4">
        <f t="shared" si="15"/>
        <v>0</v>
      </c>
      <c r="BE27" s="12" t="e">
        <f t="shared" si="3"/>
        <v>#DIV/0!</v>
      </c>
      <c r="BF27" s="4" t="e">
        <f t="shared" si="16"/>
        <v>#DIV/0!</v>
      </c>
      <c r="BG27" s="4" t="e">
        <f t="shared" si="17"/>
        <v>#DIV/0!</v>
      </c>
      <c r="BH27" s="4" t="e">
        <f t="shared" si="18"/>
        <v>#DIV/0!</v>
      </c>
      <c r="BI27" s="4">
        <f t="shared" si="19"/>
        <v>0</v>
      </c>
      <c r="BJ27" s="12" t="e">
        <f t="shared" si="4"/>
        <v>#DIV/0!</v>
      </c>
      <c r="BK27" s="12" t="e">
        <f t="shared" si="5"/>
        <v>#DIV/0!</v>
      </c>
      <c r="BL27" s="12" t="e">
        <f>(BE27+BJ27)/2</f>
        <v>#DIV/0!</v>
      </c>
      <c r="BM27" s="10" t="e">
        <f t="shared" si="21"/>
        <v>#DIV/0!</v>
      </c>
      <c r="BN27" s="176" t="e">
        <f t="shared" ref="BN27:BN67" si="35">ROUND(BO28,)</f>
        <v>#DIV/0!</v>
      </c>
      <c r="BO27" s="12"/>
      <c r="BP27" s="11" t="e">
        <f t="shared" si="25"/>
        <v>#DIV/0!</v>
      </c>
      <c r="BQ27" s="6"/>
      <c r="BR27" s="6"/>
    </row>
    <row r="28" spans="1:70" ht="20.25" customHeight="1" thickBot="1">
      <c r="A28" s="333"/>
      <c r="B28" s="321"/>
      <c r="C28" s="321"/>
      <c r="D28" s="225"/>
      <c r="E28" s="20">
        <v>2</v>
      </c>
      <c r="F28" s="17"/>
      <c r="G28" s="17"/>
      <c r="H28" s="17"/>
      <c r="I28" s="17"/>
      <c r="J28" s="17"/>
      <c r="K28" s="8" t="e">
        <f t="shared" si="6"/>
        <v>#DIV/0!</v>
      </c>
      <c r="L28" s="17"/>
      <c r="M28" s="17"/>
      <c r="N28" s="17"/>
      <c r="O28" s="17"/>
      <c r="P28" s="17"/>
      <c r="Q28" s="9" t="e">
        <f t="shared" si="23"/>
        <v>#DIV/0!</v>
      </c>
      <c r="R28" s="17"/>
      <c r="S28" s="17"/>
      <c r="T28" s="17"/>
      <c r="U28" s="17"/>
      <c r="V28" s="17"/>
      <c r="W28" s="9" t="e">
        <f t="shared" si="7"/>
        <v>#DIV/0!</v>
      </c>
      <c r="X28" s="233"/>
      <c r="Y28" s="234"/>
      <c r="Z28" s="9" t="str">
        <f t="shared" si="8"/>
        <v>0</v>
      </c>
      <c r="AA28" s="7" t="e">
        <f t="shared" si="0"/>
        <v>#DIV/0!</v>
      </c>
      <c r="AB28" s="365"/>
      <c r="AC28" s="17"/>
      <c r="AD28" s="17"/>
      <c r="AE28" s="17"/>
      <c r="AF28" s="17"/>
      <c r="AG28" s="17"/>
      <c r="AH28" s="9" t="e">
        <f t="shared" si="9"/>
        <v>#DIV/0!</v>
      </c>
      <c r="AI28" s="17"/>
      <c r="AJ28" s="17"/>
      <c r="AK28" s="17"/>
      <c r="AL28" s="17"/>
      <c r="AM28" s="17"/>
      <c r="AN28" s="9" t="e">
        <f t="shared" si="10"/>
        <v>#DIV/0!</v>
      </c>
      <c r="AO28" s="17"/>
      <c r="AP28" s="17"/>
      <c r="AQ28" s="17"/>
      <c r="AR28" s="17"/>
      <c r="AS28" s="17"/>
      <c r="AT28" s="9" t="e">
        <f t="shared" si="11"/>
        <v>#DIV/0!</v>
      </c>
      <c r="AU28" s="208"/>
      <c r="AV28" s="209"/>
      <c r="AW28" s="9" t="str">
        <f t="shared" si="12"/>
        <v>0</v>
      </c>
      <c r="AX28" s="7" t="e">
        <f t="shared" si="1"/>
        <v>#DIV/0!</v>
      </c>
      <c r="AY28" s="18" t="e">
        <f t="shared" si="1"/>
        <v>#DIV/0!</v>
      </c>
      <c r="AZ28" s="232"/>
      <c r="BA28" s="4" t="e">
        <f t="shared" si="2"/>
        <v>#DIV/0!</v>
      </c>
      <c r="BB28" s="4" t="e">
        <f t="shared" si="13"/>
        <v>#DIV/0!</v>
      </c>
      <c r="BC28" s="4" t="e">
        <f t="shared" si="14"/>
        <v>#DIV/0!</v>
      </c>
      <c r="BD28" s="4">
        <f t="shared" si="15"/>
        <v>0</v>
      </c>
      <c r="BE28" s="12" t="e">
        <f t="shared" si="3"/>
        <v>#DIV/0!</v>
      </c>
      <c r="BF28" s="4" t="e">
        <f t="shared" si="16"/>
        <v>#DIV/0!</v>
      </c>
      <c r="BG28" s="4" t="e">
        <f t="shared" si="17"/>
        <v>#DIV/0!</v>
      </c>
      <c r="BH28" s="4" t="e">
        <f t="shared" si="18"/>
        <v>#DIV/0!</v>
      </c>
      <c r="BI28" s="4">
        <f t="shared" si="19"/>
        <v>0</v>
      </c>
      <c r="BJ28" s="12" t="e">
        <f t="shared" si="4"/>
        <v>#DIV/0!</v>
      </c>
      <c r="BK28" s="12" t="e">
        <f t="shared" si="5"/>
        <v>#DIV/0!</v>
      </c>
      <c r="BL28" s="12"/>
      <c r="BM28" s="10"/>
      <c r="BN28" s="176"/>
      <c r="BO28" s="12" t="e">
        <f t="shared" si="20"/>
        <v>#DIV/0!</v>
      </c>
      <c r="BP28" s="11"/>
      <c r="BQ28" s="6"/>
      <c r="BR28" s="6"/>
    </row>
    <row r="29" spans="1:70" ht="20.25" customHeight="1">
      <c r="A29" s="332">
        <v>9</v>
      </c>
      <c r="B29" s="321"/>
      <c r="C29" s="321"/>
      <c r="D29" s="225"/>
      <c r="E29" s="21">
        <v>1</v>
      </c>
      <c r="F29" s="17"/>
      <c r="G29" s="17"/>
      <c r="H29" s="17"/>
      <c r="I29" s="17"/>
      <c r="J29" s="17"/>
      <c r="K29" s="8" t="e">
        <f t="shared" si="6"/>
        <v>#DIV/0!</v>
      </c>
      <c r="L29" s="17"/>
      <c r="M29" s="17"/>
      <c r="N29" s="17"/>
      <c r="O29" s="17"/>
      <c r="P29" s="17"/>
      <c r="Q29" s="9" t="e">
        <f t="shared" si="23"/>
        <v>#DIV/0!</v>
      </c>
      <c r="R29" s="17"/>
      <c r="S29" s="17"/>
      <c r="T29" s="17"/>
      <c r="U29" s="17"/>
      <c r="V29" s="17"/>
      <c r="W29" s="9" t="e">
        <f t="shared" si="7"/>
        <v>#DIV/0!</v>
      </c>
      <c r="X29" s="233"/>
      <c r="Y29" s="234"/>
      <c r="Z29" s="9" t="str">
        <f t="shared" si="8"/>
        <v>0</v>
      </c>
      <c r="AA29" s="7" t="e">
        <f t="shared" si="0"/>
        <v>#DIV/0!</v>
      </c>
      <c r="AB29" s="365"/>
      <c r="AC29" s="17"/>
      <c r="AD29" s="17"/>
      <c r="AE29" s="17"/>
      <c r="AF29" s="17"/>
      <c r="AG29" s="17"/>
      <c r="AH29" s="9" t="e">
        <f t="shared" si="9"/>
        <v>#DIV/0!</v>
      </c>
      <c r="AI29" s="17"/>
      <c r="AJ29" s="17"/>
      <c r="AK29" s="17"/>
      <c r="AL29" s="17"/>
      <c r="AM29" s="17"/>
      <c r="AN29" s="9" t="e">
        <f t="shared" si="10"/>
        <v>#DIV/0!</v>
      </c>
      <c r="AO29" s="17"/>
      <c r="AP29" s="17"/>
      <c r="AQ29" s="17"/>
      <c r="AR29" s="17"/>
      <c r="AS29" s="17"/>
      <c r="AT29" s="9" t="e">
        <f t="shared" si="11"/>
        <v>#DIV/0!</v>
      </c>
      <c r="AU29" s="208"/>
      <c r="AV29" s="209"/>
      <c r="AW29" s="9" t="str">
        <f t="shared" si="12"/>
        <v>0</v>
      </c>
      <c r="AX29" s="7" t="e">
        <f t="shared" si="1"/>
        <v>#DIV/0!</v>
      </c>
      <c r="AY29" s="18" t="e">
        <f t="shared" si="1"/>
        <v>#DIV/0!</v>
      </c>
      <c r="AZ29" s="231" t="e">
        <f t="shared" ref="AZ29" si="36">IF(BP29&gt;=4.5, " 5 ", IF(BP29&gt;=3.5," 4 ",IF(BP29&gt;=2.5," 3  ",IF(BP29&gt;=1.5," 2 ",IF(BP29&gt;=1,"1 ",IF(BP29&gt;=0,"0"))))))</f>
        <v>#DIV/0!</v>
      </c>
      <c r="BA29" s="4" t="e">
        <f t="shared" si="2"/>
        <v>#DIV/0!</v>
      </c>
      <c r="BB29" s="4" t="e">
        <f t="shared" si="13"/>
        <v>#DIV/0!</v>
      </c>
      <c r="BC29" s="4" t="e">
        <f t="shared" si="14"/>
        <v>#DIV/0!</v>
      </c>
      <c r="BD29" s="4">
        <f t="shared" si="15"/>
        <v>0</v>
      </c>
      <c r="BE29" s="12" t="e">
        <f t="shared" si="3"/>
        <v>#DIV/0!</v>
      </c>
      <c r="BF29" s="4" t="e">
        <f t="shared" si="16"/>
        <v>#DIV/0!</v>
      </c>
      <c r="BG29" s="4" t="e">
        <f t="shared" si="17"/>
        <v>#DIV/0!</v>
      </c>
      <c r="BH29" s="4" t="e">
        <f t="shared" si="18"/>
        <v>#DIV/0!</v>
      </c>
      <c r="BI29" s="4">
        <f t="shared" si="19"/>
        <v>0</v>
      </c>
      <c r="BJ29" s="12" t="e">
        <f t="shared" si="4"/>
        <v>#DIV/0!</v>
      </c>
      <c r="BK29" s="12" t="e">
        <f t="shared" si="5"/>
        <v>#DIV/0!</v>
      </c>
      <c r="BL29" s="12" t="e">
        <f>(BE29+BJ29)/2</f>
        <v>#DIV/0!</v>
      </c>
      <c r="BM29" s="10" t="e">
        <f t="shared" si="21"/>
        <v>#DIV/0!</v>
      </c>
      <c r="BN29" s="176" t="e">
        <f t="shared" ref="BN29" si="37">ROUND(BO30,)</f>
        <v>#DIV/0!</v>
      </c>
      <c r="BO29" s="12"/>
      <c r="BP29" s="11" t="e">
        <f t="shared" si="25"/>
        <v>#DIV/0!</v>
      </c>
      <c r="BQ29" s="6"/>
      <c r="BR29" s="6"/>
    </row>
    <row r="30" spans="1:70" ht="21" customHeight="1" thickBot="1">
      <c r="A30" s="333"/>
      <c r="B30" s="321"/>
      <c r="C30" s="321"/>
      <c r="D30" s="225"/>
      <c r="E30" s="20">
        <v>2</v>
      </c>
      <c r="F30" s="17"/>
      <c r="G30" s="17"/>
      <c r="H30" s="17"/>
      <c r="I30" s="17"/>
      <c r="J30" s="17"/>
      <c r="K30" s="8" t="e">
        <f t="shared" si="6"/>
        <v>#DIV/0!</v>
      </c>
      <c r="L30" s="17"/>
      <c r="M30" s="17"/>
      <c r="N30" s="17"/>
      <c r="O30" s="17"/>
      <c r="P30" s="17"/>
      <c r="Q30" s="9" t="e">
        <f t="shared" si="23"/>
        <v>#DIV/0!</v>
      </c>
      <c r="R30" s="17"/>
      <c r="S30" s="17"/>
      <c r="T30" s="17"/>
      <c r="U30" s="17"/>
      <c r="V30" s="17"/>
      <c r="W30" s="9" t="e">
        <f t="shared" si="7"/>
        <v>#DIV/0!</v>
      </c>
      <c r="X30" s="233"/>
      <c r="Y30" s="234"/>
      <c r="Z30" s="9" t="str">
        <f t="shared" si="8"/>
        <v>0</v>
      </c>
      <c r="AA30" s="7" t="e">
        <f t="shared" si="0"/>
        <v>#DIV/0!</v>
      </c>
      <c r="AB30" s="365"/>
      <c r="AC30" s="17"/>
      <c r="AD30" s="17"/>
      <c r="AE30" s="17"/>
      <c r="AF30" s="17"/>
      <c r="AG30" s="17"/>
      <c r="AH30" s="9" t="e">
        <f t="shared" si="9"/>
        <v>#DIV/0!</v>
      </c>
      <c r="AI30" s="17"/>
      <c r="AJ30" s="17"/>
      <c r="AK30" s="17"/>
      <c r="AL30" s="17"/>
      <c r="AM30" s="17"/>
      <c r="AN30" s="9" t="e">
        <f t="shared" si="10"/>
        <v>#DIV/0!</v>
      </c>
      <c r="AO30" s="17"/>
      <c r="AP30" s="17"/>
      <c r="AQ30" s="17"/>
      <c r="AR30" s="17"/>
      <c r="AS30" s="17"/>
      <c r="AT30" s="9" t="e">
        <f t="shared" si="11"/>
        <v>#DIV/0!</v>
      </c>
      <c r="AU30" s="208"/>
      <c r="AV30" s="209"/>
      <c r="AW30" s="9" t="str">
        <f t="shared" si="12"/>
        <v>0</v>
      </c>
      <c r="AX30" s="7" t="e">
        <f t="shared" si="1"/>
        <v>#DIV/0!</v>
      </c>
      <c r="AY30" s="18" t="e">
        <f t="shared" si="1"/>
        <v>#DIV/0!</v>
      </c>
      <c r="AZ30" s="232"/>
      <c r="BA30" s="4" t="e">
        <f t="shared" si="2"/>
        <v>#DIV/0!</v>
      </c>
      <c r="BB30" s="4" t="e">
        <f t="shared" si="13"/>
        <v>#DIV/0!</v>
      </c>
      <c r="BC30" s="4" t="e">
        <f t="shared" si="14"/>
        <v>#DIV/0!</v>
      </c>
      <c r="BD30" s="4">
        <f t="shared" si="15"/>
        <v>0</v>
      </c>
      <c r="BE30" s="12" t="e">
        <f t="shared" si="3"/>
        <v>#DIV/0!</v>
      </c>
      <c r="BF30" s="4" t="e">
        <f t="shared" si="16"/>
        <v>#DIV/0!</v>
      </c>
      <c r="BG30" s="4" t="e">
        <f t="shared" si="17"/>
        <v>#DIV/0!</v>
      </c>
      <c r="BH30" s="4" t="e">
        <f t="shared" si="18"/>
        <v>#DIV/0!</v>
      </c>
      <c r="BI30" s="4">
        <f t="shared" si="19"/>
        <v>0</v>
      </c>
      <c r="BJ30" s="12" t="e">
        <f t="shared" si="4"/>
        <v>#DIV/0!</v>
      </c>
      <c r="BK30" s="12" t="e">
        <f t="shared" si="5"/>
        <v>#DIV/0!</v>
      </c>
      <c r="BL30" s="12"/>
      <c r="BM30" s="10"/>
      <c r="BN30" s="176"/>
      <c r="BO30" s="12" t="e">
        <f t="shared" si="20"/>
        <v>#DIV/0!</v>
      </c>
      <c r="BP30" s="11"/>
      <c r="BQ30" s="6"/>
      <c r="BR30" s="6"/>
    </row>
    <row r="31" spans="1:70" ht="18.75" customHeight="1">
      <c r="A31" s="332">
        <v>10</v>
      </c>
      <c r="B31" s="321"/>
      <c r="C31" s="321"/>
      <c r="D31" s="225"/>
      <c r="E31" s="21">
        <v>1</v>
      </c>
      <c r="F31" s="17"/>
      <c r="G31" s="17"/>
      <c r="H31" s="17"/>
      <c r="I31" s="17"/>
      <c r="J31" s="17"/>
      <c r="K31" s="8" t="e">
        <f t="shared" si="6"/>
        <v>#DIV/0!</v>
      </c>
      <c r="L31" s="17"/>
      <c r="M31" s="17"/>
      <c r="N31" s="17"/>
      <c r="O31" s="17"/>
      <c r="P31" s="17"/>
      <c r="Q31" s="9" t="e">
        <f t="shared" si="23"/>
        <v>#DIV/0!</v>
      </c>
      <c r="R31" s="17"/>
      <c r="S31" s="17"/>
      <c r="T31" s="17"/>
      <c r="U31" s="17"/>
      <c r="V31" s="17"/>
      <c r="W31" s="9" t="e">
        <f t="shared" si="7"/>
        <v>#DIV/0!</v>
      </c>
      <c r="X31" s="233"/>
      <c r="Y31" s="234"/>
      <c r="Z31" s="9" t="str">
        <f t="shared" si="8"/>
        <v>0</v>
      </c>
      <c r="AA31" s="7" t="e">
        <f t="shared" si="0"/>
        <v>#DIV/0!</v>
      </c>
      <c r="AB31" s="365"/>
      <c r="AC31" s="17"/>
      <c r="AD31" s="17"/>
      <c r="AE31" s="17"/>
      <c r="AF31" s="17"/>
      <c r="AG31" s="17"/>
      <c r="AH31" s="9" t="e">
        <f t="shared" si="9"/>
        <v>#DIV/0!</v>
      </c>
      <c r="AI31" s="17"/>
      <c r="AJ31" s="17"/>
      <c r="AK31" s="17"/>
      <c r="AL31" s="17"/>
      <c r="AM31" s="17"/>
      <c r="AN31" s="9" t="e">
        <f t="shared" si="10"/>
        <v>#DIV/0!</v>
      </c>
      <c r="AO31" s="17"/>
      <c r="AP31" s="17"/>
      <c r="AQ31" s="17"/>
      <c r="AR31" s="17"/>
      <c r="AS31" s="17"/>
      <c r="AT31" s="9" t="e">
        <f t="shared" si="11"/>
        <v>#DIV/0!</v>
      </c>
      <c r="AU31" s="208"/>
      <c r="AV31" s="209"/>
      <c r="AW31" s="9" t="str">
        <f t="shared" si="12"/>
        <v>0</v>
      </c>
      <c r="AX31" s="7" t="e">
        <f t="shared" si="1"/>
        <v>#DIV/0!</v>
      </c>
      <c r="AY31" s="18" t="e">
        <f t="shared" si="1"/>
        <v>#DIV/0!</v>
      </c>
      <c r="AZ31" s="231" t="e">
        <f t="shared" ref="AZ31" si="38">IF(BP31&gt;=4.5, " 5 ", IF(BP31&gt;=3.5," 4 ",IF(BP31&gt;=2.5," 3  ",IF(BP31&gt;=1.5," 2 ",IF(BP31&gt;=1,"1 ",IF(BP31&gt;=0,"0"))))))</f>
        <v>#DIV/0!</v>
      </c>
      <c r="BA31" s="4" t="e">
        <f t="shared" si="2"/>
        <v>#DIV/0!</v>
      </c>
      <c r="BB31" s="4" t="e">
        <f t="shared" si="13"/>
        <v>#DIV/0!</v>
      </c>
      <c r="BC31" s="4" t="e">
        <f t="shared" si="14"/>
        <v>#DIV/0!</v>
      </c>
      <c r="BD31" s="4">
        <f t="shared" si="15"/>
        <v>0</v>
      </c>
      <c r="BE31" s="12" t="e">
        <f t="shared" si="3"/>
        <v>#DIV/0!</v>
      </c>
      <c r="BF31" s="4" t="e">
        <f t="shared" si="16"/>
        <v>#DIV/0!</v>
      </c>
      <c r="BG31" s="4" t="e">
        <f t="shared" si="17"/>
        <v>#DIV/0!</v>
      </c>
      <c r="BH31" s="4" t="e">
        <f t="shared" si="18"/>
        <v>#DIV/0!</v>
      </c>
      <c r="BI31" s="4">
        <f t="shared" si="19"/>
        <v>0</v>
      </c>
      <c r="BJ31" s="12" t="e">
        <f t="shared" si="4"/>
        <v>#DIV/0!</v>
      </c>
      <c r="BK31" s="12" t="e">
        <f t="shared" si="5"/>
        <v>#DIV/0!</v>
      </c>
      <c r="BL31" s="12" t="e">
        <f>(BE31+BJ31)/2</f>
        <v>#DIV/0!</v>
      </c>
      <c r="BM31" s="10" t="e">
        <f t="shared" si="21"/>
        <v>#DIV/0!</v>
      </c>
      <c r="BN31" s="176" t="e">
        <f t="shared" si="31"/>
        <v>#DIV/0!</v>
      </c>
      <c r="BO31" s="12"/>
      <c r="BP31" s="11" t="e">
        <f t="shared" si="25"/>
        <v>#DIV/0!</v>
      </c>
      <c r="BQ31" s="6"/>
      <c r="BR31" s="6"/>
    </row>
    <row r="32" spans="1:70" ht="21" customHeight="1" thickBot="1">
      <c r="A32" s="333"/>
      <c r="B32" s="321"/>
      <c r="C32" s="321"/>
      <c r="D32" s="225"/>
      <c r="E32" s="20">
        <v>2</v>
      </c>
      <c r="F32" s="17"/>
      <c r="G32" s="17"/>
      <c r="H32" s="17"/>
      <c r="I32" s="17"/>
      <c r="J32" s="17"/>
      <c r="K32" s="8" t="e">
        <f t="shared" si="6"/>
        <v>#DIV/0!</v>
      </c>
      <c r="L32" s="17"/>
      <c r="M32" s="17"/>
      <c r="N32" s="17"/>
      <c r="O32" s="17"/>
      <c r="P32" s="17"/>
      <c r="Q32" s="9" t="e">
        <f t="shared" si="23"/>
        <v>#DIV/0!</v>
      </c>
      <c r="R32" s="17"/>
      <c r="S32" s="17"/>
      <c r="T32" s="17"/>
      <c r="U32" s="17"/>
      <c r="V32" s="17"/>
      <c r="W32" s="9" t="e">
        <f t="shared" si="7"/>
        <v>#DIV/0!</v>
      </c>
      <c r="X32" s="233"/>
      <c r="Y32" s="234"/>
      <c r="Z32" s="9" t="str">
        <f t="shared" si="8"/>
        <v>0</v>
      </c>
      <c r="AA32" s="7" t="e">
        <f t="shared" si="0"/>
        <v>#DIV/0!</v>
      </c>
      <c r="AB32" s="365"/>
      <c r="AC32" s="17"/>
      <c r="AD32" s="17"/>
      <c r="AE32" s="17"/>
      <c r="AF32" s="17"/>
      <c r="AG32" s="17"/>
      <c r="AH32" s="9" t="e">
        <f t="shared" si="9"/>
        <v>#DIV/0!</v>
      </c>
      <c r="AI32" s="17"/>
      <c r="AJ32" s="17"/>
      <c r="AK32" s="17"/>
      <c r="AL32" s="17"/>
      <c r="AM32" s="17"/>
      <c r="AN32" s="9" t="e">
        <f t="shared" si="10"/>
        <v>#DIV/0!</v>
      </c>
      <c r="AO32" s="17"/>
      <c r="AP32" s="17"/>
      <c r="AQ32" s="17"/>
      <c r="AR32" s="17"/>
      <c r="AS32" s="17"/>
      <c r="AT32" s="9" t="e">
        <f t="shared" si="11"/>
        <v>#DIV/0!</v>
      </c>
      <c r="AU32" s="208"/>
      <c r="AV32" s="209"/>
      <c r="AW32" s="9" t="str">
        <f t="shared" si="12"/>
        <v>0</v>
      </c>
      <c r="AX32" s="7" t="e">
        <f t="shared" si="1"/>
        <v>#DIV/0!</v>
      </c>
      <c r="AY32" s="18" t="e">
        <f t="shared" si="1"/>
        <v>#DIV/0!</v>
      </c>
      <c r="AZ32" s="232"/>
      <c r="BA32" s="4" t="e">
        <f t="shared" si="2"/>
        <v>#DIV/0!</v>
      </c>
      <c r="BB32" s="4" t="e">
        <f t="shared" si="13"/>
        <v>#DIV/0!</v>
      </c>
      <c r="BC32" s="4" t="e">
        <f t="shared" si="14"/>
        <v>#DIV/0!</v>
      </c>
      <c r="BD32" s="4">
        <f t="shared" si="15"/>
        <v>0</v>
      </c>
      <c r="BE32" s="12" t="e">
        <f t="shared" si="3"/>
        <v>#DIV/0!</v>
      </c>
      <c r="BF32" s="4" t="e">
        <f t="shared" si="16"/>
        <v>#DIV/0!</v>
      </c>
      <c r="BG32" s="4" t="e">
        <f t="shared" si="17"/>
        <v>#DIV/0!</v>
      </c>
      <c r="BH32" s="4" t="e">
        <f t="shared" si="18"/>
        <v>#DIV/0!</v>
      </c>
      <c r="BI32" s="4">
        <f t="shared" si="19"/>
        <v>0</v>
      </c>
      <c r="BJ32" s="12" t="e">
        <f t="shared" si="4"/>
        <v>#DIV/0!</v>
      </c>
      <c r="BK32" s="12" t="e">
        <f t="shared" si="5"/>
        <v>#DIV/0!</v>
      </c>
      <c r="BL32" s="12"/>
      <c r="BM32" s="10"/>
      <c r="BN32" s="176"/>
      <c r="BO32" s="12" t="e">
        <f t="shared" si="20"/>
        <v>#DIV/0!</v>
      </c>
      <c r="BP32" s="11"/>
      <c r="BQ32" s="6"/>
      <c r="BR32" s="6"/>
    </row>
    <row r="33" spans="1:70" ht="19.5" customHeight="1">
      <c r="A33" s="332">
        <v>11</v>
      </c>
      <c r="B33" s="324"/>
      <c r="C33" s="324"/>
      <c r="D33" s="323"/>
      <c r="E33" s="21">
        <v>1</v>
      </c>
      <c r="F33" s="17"/>
      <c r="G33" s="17"/>
      <c r="H33" s="17"/>
      <c r="I33" s="17"/>
      <c r="J33" s="17"/>
      <c r="K33" s="8" t="e">
        <f t="shared" si="6"/>
        <v>#DIV/0!</v>
      </c>
      <c r="L33" s="17"/>
      <c r="M33" s="17"/>
      <c r="N33" s="17"/>
      <c r="O33" s="17"/>
      <c r="P33" s="17"/>
      <c r="Q33" s="9" t="e">
        <f t="shared" si="23"/>
        <v>#DIV/0!</v>
      </c>
      <c r="R33" s="17"/>
      <c r="S33" s="17"/>
      <c r="T33" s="17"/>
      <c r="U33" s="17"/>
      <c r="V33" s="17"/>
      <c r="W33" s="9" t="e">
        <f t="shared" si="7"/>
        <v>#DIV/0!</v>
      </c>
      <c r="X33" s="233"/>
      <c r="Y33" s="234"/>
      <c r="Z33" s="9" t="str">
        <f t="shared" si="8"/>
        <v>0</v>
      </c>
      <c r="AA33" s="7" t="e">
        <f t="shared" si="0"/>
        <v>#DIV/0!</v>
      </c>
      <c r="AB33" s="365"/>
      <c r="AC33" s="17"/>
      <c r="AD33" s="17"/>
      <c r="AE33" s="17"/>
      <c r="AF33" s="17"/>
      <c r="AG33" s="17"/>
      <c r="AH33" s="9" t="e">
        <f t="shared" si="9"/>
        <v>#DIV/0!</v>
      </c>
      <c r="AI33" s="17"/>
      <c r="AJ33" s="17"/>
      <c r="AK33" s="17"/>
      <c r="AL33" s="17"/>
      <c r="AM33" s="17"/>
      <c r="AN33" s="9" t="e">
        <f t="shared" si="10"/>
        <v>#DIV/0!</v>
      </c>
      <c r="AO33" s="17"/>
      <c r="AP33" s="17"/>
      <c r="AQ33" s="17"/>
      <c r="AR33" s="17"/>
      <c r="AS33" s="17"/>
      <c r="AT33" s="9" t="e">
        <f t="shared" si="11"/>
        <v>#DIV/0!</v>
      </c>
      <c r="AU33" s="208"/>
      <c r="AV33" s="209"/>
      <c r="AW33" s="9" t="str">
        <f t="shared" si="12"/>
        <v>0</v>
      </c>
      <c r="AX33" s="7" t="e">
        <f t="shared" si="1"/>
        <v>#DIV/0!</v>
      </c>
      <c r="AY33" s="18" t="e">
        <f t="shared" si="1"/>
        <v>#DIV/0!</v>
      </c>
      <c r="AZ33" s="231" t="e">
        <f t="shared" ref="AZ33" si="39">IF(BP33&gt;=4.5, " 5 ", IF(BP33&gt;=3.5," 4 ",IF(BP33&gt;=2.5," 3  ",IF(BP33&gt;=1.5," 2 ",IF(BP33&gt;=1,"1 ",IF(BP33&gt;=0,"0"))))))</f>
        <v>#DIV/0!</v>
      </c>
      <c r="BA33" s="4" t="e">
        <f t="shared" si="2"/>
        <v>#DIV/0!</v>
      </c>
      <c r="BB33" s="4" t="e">
        <f t="shared" si="13"/>
        <v>#DIV/0!</v>
      </c>
      <c r="BC33" s="4" t="e">
        <f t="shared" si="14"/>
        <v>#DIV/0!</v>
      </c>
      <c r="BD33" s="4">
        <f t="shared" si="15"/>
        <v>0</v>
      </c>
      <c r="BE33" s="12" t="e">
        <f t="shared" si="3"/>
        <v>#DIV/0!</v>
      </c>
      <c r="BF33" s="4" t="e">
        <f t="shared" si="16"/>
        <v>#DIV/0!</v>
      </c>
      <c r="BG33" s="4" t="e">
        <f t="shared" si="17"/>
        <v>#DIV/0!</v>
      </c>
      <c r="BH33" s="4" t="e">
        <f t="shared" si="18"/>
        <v>#DIV/0!</v>
      </c>
      <c r="BI33" s="4">
        <f t="shared" si="19"/>
        <v>0</v>
      </c>
      <c r="BJ33" s="12" t="e">
        <f t="shared" si="4"/>
        <v>#DIV/0!</v>
      </c>
      <c r="BK33" s="12" t="e">
        <f t="shared" si="5"/>
        <v>#DIV/0!</v>
      </c>
      <c r="BL33" s="12" t="e">
        <f>(BE33+BJ33)/2</f>
        <v>#DIV/0!</v>
      </c>
      <c r="BM33" s="10" t="e">
        <f t="shared" si="21"/>
        <v>#DIV/0!</v>
      </c>
      <c r="BN33" s="176" t="e">
        <f t="shared" si="33"/>
        <v>#DIV/0!</v>
      </c>
      <c r="BO33" s="12"/>
      <c r="BP33" s="11" t="e">
        <f t="shared" si="25"/>
        <v>#DIV/0!</v>
      </c>
      <c r="BQ33" s="6"/>
      <c r="BR33" s="6"/>
    </row>
    <row r="34" spans="1:70" ht="21" customHeight="1" thickBot="1">
      <c r="A34" s="333"/>
      <c r="B34" s="324"/>
      <c r="C34" s="324"/>
      <c r="D34" s="323"/>
      <c r="E34" s="20">
        <v>2</v>
      </c>
      <c r="F34" s="17"/>
      <c r="G34" s="17"/>
      <c r="H34" s="17"/>
      <c r="I34" s="17"/>
      <c r="J34" s="17"/>
      <c r="K34" s="8" t="e">
        <f t="shared" si="6"/>
        <v>#DIV/0!</v>
      </c>
      <c r="L34" s="17"/>
      <c r="M34" s="17"/>
      <c r="N34" s="17"/>
      <c r="O34" s="17"/>
      <c r="P34" s="17"/>
      <c r="Q34" s="9" t="e">
        <f t="shared" si="23"/>
        <v>#DIV/0!</v>
      </c>
      <c r="R34" s="17"/>
      <c r="S34" s="17"/>
      <c r="T34" s="17"/>
      <c r="U34" s="17"/>
      <c r="V34" s="17"/>
      <c r="W34" s="9" t="e">
        <f t="shared" si="7"/>
        <v>#DIV/0!</v>
      </c>
      <c r="X34" s="233"/>
      <c r="Y34" s="234"/>
      <c r="Z34" s="9" t="str">
        <f t="shared" si="8"/>
        <v>0</v>
      </c>
      <c r="AA34" s="7" t="e">
        <f t="shared" si="0"/>
        <v>#DIV/0!</v>
      </c>
      <c r="AB34" s="365"/>
      <c r="AC34" s="17"/>
      <c r="AD34" s="17"/>
      <c r="AE34" s="17"/>
      <c r="AF34" s="17"/>
      <c r="AG34" s="17"/>
      <c r="AH34" s="9" t="e">
        <f t="shared" si="9"/>
        <v>#DIV/0!</v>
      </c>
      <c r="AI34" s="17"/>
      <c r="AJ34" s="17"/>
      <c r="AK34" s="17"/>
      <c r="AL34" s="17"/>
      <c r="AM34" s="17"/>
      <c r="AN34" s="9" t="e">
        <f t="shared" si="10"/>
        <v>#DIV/0!</v>
      </c>
      <c r="AO34" s="17"/>
      <c r="AP34" s="17"/>
      <c r="AQ34" s="17"/>
      <c r="AR34" s="17"/>
      <c r="AS34" s="17"/>
      <c r="AT34" s="9" t="e">
        <f t="shared" si="11"/>
        <v>#DIV/0!</v>
      </c>
      <c r="AU34" s="208"/>
      <c r="AV34" s="209"/>
      <c r="AW34" s="9" t="str">
        <f t="shared" si="12"/>
        <v>0</v>
      </c>
      <c r="AX34" s="7" t="e">
        <f t="shared" si="1"/>
        <v>#DIV/0!</v>
      </c>
      <c r="AY34" s="18" t="e">
        <f t="shared" si="1"/>
        <v>#DIV/0!</v>
      </c>
      <c r="AZ34" s="232"/>
      <c r="BA34" s="4" t="e">
        <f t="shared" si="2"/>
        <v>#DIV/0!</v>
      </c>
      <c r="BB34" s="4" t="e">
        <f t="shared" si="13"/>
        <v>#DIV/0!</v>
      </c>
      <c r="BC34" s="4" t="e">
        <f t="shared" si="14"/>
        <v>#DIV/0!</v>
      </c>
      <c r="BD34" s="4">
        <f t="shared" si="15"/>
        <v>0</v>
      </c>
      <c r="BE34" s="12" t="e">
        <f t="shared" si="3"/>
        <v>#DIV/0!</v>
      </c>
      <c r="BF34" s="4" t="e">
        <f t="shared" si="16"/>
        <v>#DIV/0!</v>
      </c>
      <c r="BG34" s="4" t="e">
        <f t="shared" si="17"/>
        <v>#DIV/0!</v>
      </c>
      <c r="BH34" s="4" t="e">
        <f t="shared" si="18"/>
        <v>#DIV/0!</v>
      </c>
      <c r="BI34" s="4">
        <f t="shared" si="19"/>
        <v>0</v>
      </c>
      <c r="BJ34" s="12" t="e">
        <f t="shared" si="4"/>
        <v>#DIV/0!</v>
      </c>
      <c r="BK34" s="12" t="e">
        <f t="shared" si="5"/>
        <v>#DIV/0!</v>
      </c>
      <c r="BL34" s="12"/>
      <c r="BM34" s="10"/>
      <c r="BN34" s="176"/>
      <c r="BO34" s="12" t="e">
        <f t="shared" si="20"/>
        <v>#DIV/0!</v>
      </c>
      <c r="BP34" s="11"/>
      <c r="BQ34" s="6"/>
      <c r="BR34" s="6"/>
    </row>
    <row r="35" spans="1:70" ht="23.25" customHeight="1">
      <c r="A35" s="332">
        <v>12</v>
      </c>
      <c r="B35" s="324"/>
      <c r="C35" s="324"/>
      <c r="D35" s="323"/>
      <c r="E35" s="21">
        <v>1</v>
      </c>
      <c r="F35" s="17"/>
      <c r="G35" s="17"/>
      <c r="H35" s="17"/>
      <c r="I35" s="17"/>
      <c r="J35" s="17"/>
      <c r="K35" s="8" t="e">
        <f t="shared" si="6"/>
        <v>#DIV/0!</v>
      </c>
      <c r="L35" s="17"/>
      <c r="M35" s="17"/>
      <c r="N35" s="17"/>
      <c r="O35" s="17"/>
      <c r="P35" s="17"/>
      <c r="Q35" s="9" t="e">
        <f t="shared" si="23"/>
        <v>#DIV/0!</v>
      </c>
      <c r="R35" s="17"/>
      <c r="S35" s="17"/>
      <c r="T35" s="17"/>
      <c r="U35" s="17"/>
      <c r="V35" s="17"/>
      <c r="W35" s="9" t="e">
        <f t="shared" si="7"/>
        <v>#DIV/0!</v>
      </c>
      <c r="X35" s="233"/>
      <c r="Y35" s="234"/>
      <c r="Z35" s="9" t="str">
        <f t="shared" si="8"/>
        <v>0</v>
      </c>
      <c r="AA35" s="7" t="e">
        <f t="shared" si="0"/>
        <v>#DIV/0!</v>
      </c>
      <c r="AB35" s="365"/>
      <c r="AC35" s="17"/>
      <c r="AD35" s="17"/>
      <c r="AE35" s="17"/>
      <c r="AF35" s="17"/>
      <c r="AG35" s="17"/>
      <c r="AH35" s="9" t="e">
        <f t="shared" si="9"/>
        <v>#DIV/0!</v>
      </c>
      <c r="AI35" s="17"/>
      <c r="AJ35" s="17"/>
      <c r="AK35" s="17"/>
      <c r="AL35" s="17"/>
      <c r="AM35" s="17"/>
      <c r="AN35" s="9" t="e">
        <f t="shared" si="10"/>
        <v>#DIV/0!</v>
      </c>
      <c r="AO35" s="17"/>
      <c r="AP35" s="17"/>
      <c r="AQ35" s="17"/>
      <c r="AR35" s="17"/>
      <c r="AS35" s="17"/>
      <c r="AT35" s="9" t="e">
        <f t="shared" si="11"/>
        <v>#DIV/0!</v>
      </c>
      <c r="AU35" s="208"/>
      <c r="AV35" s="209"/>
      <c r="AW35" s="9" t="str">
        <f t="shared" si="12"/>
        <v>0</v>
      </c>
      <c r="AX35" s="7" t="e">
        <f t="shared" si="1"/>
        <v>#DIV/0!</v>
      </c>
      <c r="AY35" s="18" t="e">
        <f t="shared" si="1"/>
        <v>#DIV/0!</v>
      </c>
      <c r="AZ35" s="231" t="e">
        <f t="shared" ref="AZ35" si="40">IF(BP35&gt;=4.5, " 5 ", IF(BP35&gt;=3.5," 4 ",IF(BP35&gt;=2.5," 3  ",IF(BP35&gt;=1.5," 2 ",IF(BP35&gt;=1,"1 ",IF(BP35&gt;=0,"0"))))))</f>
        <v>#DIV/0!</v>
      </c>
      <c r="BA35" s="4" t="e">
        <f t="shared" si="2"/>
        <v>#DIV/0!</v>
      </c>
      <c r="BB35" s="4" t="e">
        <f t="shared" si="13"/>
        <v>#DIV/0!</v>
      </c>
      <c r="BC35" s="4" t="e">
        <f t="shared" si="14"/>
        <v>#DIV/0!</v>
      </c>
      <c r="BD35" s="4">
        <f t="shared" si="15"/>
        <v>0</v>
      </c>
      <c r="BE35" s="12" t="e">
        <f t="shared" si="3"/>
        <v>#DIV/0!</v>
      </c>
      <c r="BF35" s="4" t="e">
        <f t="shared" si="16"/>
        <v>#DIV/0!</v>
      </c>
      <c r="BG35" s="4" t="e">
        <f t="shared" si="17"/>
        <v>#DIV/0!</v>
      </c>
      <c r="BH35" s="4" t="e">
        <f t="shared" si="18"/>
        <v>#DIV/0!</v>
      </c>
      <c r="BI35" s="4">
        <f t="shared" si="19"/>
        <v>0</v>
      </c>
      <c r="BJ35" s="12" t="e">
        <f t="shared" si="4"/>
        <v>#DIV/0!</v>
      </c>
      <c r="BK35" s="12" t="e">
        <f t="shared" si="5"/>
        <v>#DIV/0!</v>
      </c>
      <c r="BL35" s="12" t="e">
        <f>(BE35+BJ35)/2</f>
        <v>#DIV/0!</v>
      </c>
      <c r="BM35" s="10" t="e">
        <f t="shared" si="21"/>
        <v>#DIV/0!</v>
      </c>
      <c r="BN35" s="176" t="e">
        <f t="shared" si="35"/>
        <v>#DIV/0!</v>
      </c>
      <c r="BO35" s="12"/>
      <c r="BP35" s="11" t="e">
        <f t="shared" si="25"/>
        <v>#DIV/0!</v>
      </c>
      <c r="BQ35" s="6"/>
      <c r="BR35" s="6"/>
    </row>
    <row r="36" spans="1:70" ht="23.25" customHeight="1" thickBot="1">
      <c r="A36" s="333"/>
      <c r="B36" s="324"/>
      <c r="C36" s="324"/>
      <c r="D36" s="323"/>
      <c r="E36" s="20">
        <v>2</v>
      </c>
      <c r="F36" s="17"/>
      <c r="G36" s="17"/>
      <c r="H36" s="17"/>
      <c r="I36" s="17"/>
      <c r="J36" s="17"/>
      <c r="K36" s="8" t="e">
        <f t="shared" si="6"/>
        <v>#DIV/0!</v>
      </c>
      <c r="L36" s="17"/>
      <c r="M36" s="17"/>
      <c r="N36" s="17"/>
      <c r="O36" s="17"/>
      <c r="P36" s="17"/>
      <c r="Q36" s="9" t="e">
        <f t="shared" si="23"/>
        <v>#DIV/0!</v>
      </c>
      <c r="R36" s="17"/>
      <c r="S36" s="17"/>
      <c r="T36" s="17"/>
      <c r="U36" s="17"/>
      <c r="V36" s="17"/>
      <c r="W36" s="9" t="e">
        <f t="shared" si="7"/>
        <v>#DIV/0!</v>
      </c>
      <c r="X36" s="233"/>
      <c r="Y36" s="234"/>
      <c r="Z36" s="9" t="str">
        <f t="shared" si="8"/>
        <v>0</v>
      </c>
      <c r="AA36" s="7" t="e">
        <f t="shared" si="0"/>
        <v>#DIV/0!</v>
      </c>
      <c r="AB36" s="365"/>
      <c r="AC36" s="17"/>
      <c r="AD36" s="17"/>
      <c r="AE36" s="17"/>
      <c r="AF36" s="17"/>
      <c r="AG36" s="17"/>
      <c r="AH36" s="9" t="e">
        <f t="shared" si="9"/>
        <v>#DIV/0!</v>
      </c>
      <c r="AI36" s="17"/>
      <c r="AJ36" s="17"/>
      <c r="AK36" s="17"/>
      <c r="AL36" s="17"/>
      <c r="AM36" s="17"/>
      <c r="AN36" s="9" t="e">
        <f t="shared" si="10"/>
        <v>#DIV/0!</v>
      </c>
      <c r="AO36" s="17"/>
      <c r="AP36" s="17"/>
      <c r="AQ36" s="17"/>
      <c r="AR36" s="17"/>
      <c r="AS36" s="17"/>
      <c r="AT36" s="9" t="e">
        <f t="shared" si="11"/>
        <v>#DIV/0!</v>
      </c>
      <c r="AU36" s="208"/>
      <c r="AV36" s="209"/>
      <c r="AW36" s="9" t="str">
        <f t="shared" si="12"/>
        <v>0</v>
      </c>
      <c r="AX36" s="7" t="e">
        <f t="shared" si="1"/>
        <v>#DIV/0!</v>
      </c>
      <c r="AY36" s="18" t="e">
        <f t="shared" si="1"/>
        <v>#DIV/0!</v>
      </c>
      <c r="AZ36" s="232"/>
      <c r="BA36" s="4" t="e">
        <f t="shared" si="2"/>
        <v>#DIV/0!</v>
      </c>
      <c r="BB36" s="4" t="e">
        <f t="shared" si="13"/>
        <v>#DIV/0!</v>
      </c>
      <c r="BC36" s="4" t="e">
        <f t="shared" si="14"/>
        <v>#DIV/0!</v>
      </c>
      <c r="BD36" s="4">
        <f t="shared" si="15"/>
        <v>0</v>
      </c>
      <c r="BE36" s="12" t="e">
        <f t="shared" si="3"/>
        <v>#DIV/0!</v>
      </c>
      <c r="BF36" s="4" t="e">
        <f t="shared" si="16"/>
        <v>#DIV/0!</v>
      </c>
      <c r="BG36" s="4" t="e">
        <f t="shared" si="17"/>
        <v>#DIV/0!</v>
      </c>
      <c r="BH36" s="4" t="e">
        <f t="shared" si="18"/>
        <v>#DIV/0!</v>
      </c>
      <c r="BI36" s="4">
        <f t="shared" si="19"/>
        <v>0</v>
      </c>
      <c r="BJ36" s="12" t="e">
        <f t="shared" si="4"/>
        <v>#DIV/0!</v>
      </c>
      <c r="BK36" s="12" t="e">
        <f t="shared" si="5"/>
        <v>#DIV/0!</v>
      </c>
      <c r="BL36" s="12"/>
      <c r="BM36" s="10"/>
      <c r="BN36" s="176"/>
      <c r="BO36" s="12" t="e">
        <f t="shared" si="20"/>
        <v>#DIV/0!</v>
      </c>
      <c r="BP36" s="11"/>
      <c r="BQ36" s="6"/>
      <c r="BR36" s="6"/>
    </row>
    <row r="37" spans="1:70" ht="20.25" customHeight="1">
      <c r="A37" s="332">
        <v>13</v>
      </c>
      <c r="B37" s="324"/>
      <c r="C37" s="324"/>
      <c r="D37" s="323"/>
      <c r="E37" s="21">
        <v>1</v>
      </c>
      <c r="F37" s="17"/>
      <c r="G37" s="17"/>
      <c r="H37" s="17"/>
      <c r="I37" s="17"/>
      <c r="J37" s="17"/>
      <c r="K37" s="8" t="e">
        <f t="shared" si="6"/>
        <v>#DIV/0!</v>
      </c>
      <c r="L37" s="17"/>
      <c r="M37" s="17"/>
      <c r="N37" s="17"/>
      <c r="O37" s="17"/>
      <c r="P37" s="17"/>
      <c r="Q37" s="9" t="e">
        <f t="shared" si="23"/>
        <v>#DIV/0!</v>
      </c>
      <c r="R37" s="17"/>
      <c r="S37" s="17"/>
      <c r="T37" s="17"/>
      <c r="U37" s="17"/>
      <c r="V37" s="17"/>
      <c r="W37" s="9" t="e">
        <f t="shared" si="7"/>
        <v>#DIV/0!</v>
      </c>
      <c r="X37" s="233"/>
      <c r="Y37" s="234"/>
      <c r="Z37" s="9" t="str">
        <f t="shared" si="8"/>
        <v>0</v>
      </c>
      <c r="AA37" s="7" t="e">
        <f t="shared" si="0"/>
        <v>#DIV/0!</v>
      </c>
      <c r="AB37" s="365"/>
      <c r="AC37" s="17"/>
      <c r="AD37" s="17"/>
      <c r="AE37" s="17"/>
      <c r="AF37" s="17"/>
      <c r="AG37" s="17"/>
      <c r="AH37" s="9" t="e">
        <f t="shared" si="9"/>
        <v>#DIV/0!</v>
      </c>
      <c r="AI37" s="17"/>
      <c r="AJ37" s="17"/>
      <c r="AK37" s="17"/>
      <c r="AL37" s="17"/>
      <c r="AM37" s="17"/>
      <c r="AN37" s="9" t="e">
        <f t="shared" si="10"/>
        <v>#DIV/0!</v>
      </c>
      <c r="AO37" s="17"/>
      <c r="AP37" s="17"/>
      <c r="AQ37" s="17"/>
      <c r="AR37" s="17"/>
      <c r="AS37" s="17"/>
      <c r="AT37" s="9" t="e">
        <f t="shared" si="11"/>
        <v>#DIV/0!</v>
      </c>
      <c r="AU37" s="208"/>
      <c r="AV37" s="209"/>
      <c r="AW37" s="9" t="str">
        <f t="shared" si="12"/>
        <v>0</v>
      </c>
      <c r="AX37" s="7" t="e">
        <f t="shared" si="1"/>
        <v>#DIV/0!</v>
      </c>
      <c r="AY37" s="18" t="e">
        <f t="shared" si="1"/>
        <v>#DIV/0!</v>
      </c>
      <c r="AZ37" s="231" t="e">
        <f t="shared" ref="AZ37" si="41">IF(BP37&gt;=4.5, " 5 ", IF(BP37&gt;=3.5," 4 ",IF(BP37&gt;=2.5," 3  ",IF(BP37&gt;=1.5," 2 ",IF(BP37&gt;=1,"1 ",IF(BP37&gt;=0,"0"))))))</f>
        <v>#DIV/0!</v>
      </c>
      <c r="BA37" s="4" t="e">
        <f t="shared" si="2"/>
        <v>#DIV/0!</v>
      </c>
      <c r="BB37" s="4" t="e">
        <f t="shared" si="13"/>
        <v>#DIV/0!</v>
      </c>
      <c r="BC37" s="4" t="e">
        <f t="shared" si="14"/>
        <v>#DIV/0!</v>
      </c>
      <c r="BD37" s="4">
        <f t="shared" si="15"/>
        <v>0</v>
      </c>
      <c r="BE37" s="12" t="e">
        <f t="shared" si="3"/>
        <v>#DIV/0!</v>
      </c>
      <c r="BF37" s="4" t="e">
        <f t="shared" si="16"/>
        <v>#DIV/0!</v>
      </c>
      <c r="BG37" s="4" t="e">
        <f t="shared" si="17"/>
        <v>#DIV/0!</v>
      </c>
      <c r="BH37" s="4" t="e">
        <f t="shared" si="18"/>
        <v>#DIV/0!</v>
      </c>
      <c r="BI37" s="4">
        <f t="shared" si="19"/>
        <v>0</v>
      </c>
      <c r="BJ37" s="12" t="e">
        <f t="shared" si="4"/>
        <v>#DIV/0!</v>
      </c>
      <c r="BK37" s="12" t="e">
        <f t="shared" si="5"/>
        <v>#DIV/0!</v>
      </c>
      <c r="BL37" s="12" t="e">
        <f>(BE37+BJ37)/2</f>
        <v>#DIV/0!</v>
      </c>
      <c r="BM37" s="10" t="e">
        <f t="shared" si="21"/>
        <v>#DIV/0!</v>
      </c>
      <c r="BN37" s="176" t="e">
        <f t="shared" ref="BN37" si="42">ROUND(BO38,)</f>
        <v>#DIV/0!</v>
      </c>
      <c r="BO37" s="12"/>
      <c r="BP37" s="11" t="e">
        <f t="shared" si="25"/>
        <v>#DIV/0!</v>
      </c>
      <c r="BQ37" s="6"/>
      <c r="BR37" s="6"/>
    </row>
    <row r="38" spans="1:70" ht="15" customHeight="1" thickBot="1">
      <c r="A38" s="333"/>
      <c r="B38" s="324"/>
      <c r="C38" s="324"/>
      <c r="D38" s="323"/>
      <c r="E38" s="20">
        <v>2</v>
      </c>
      <c r="F38" s="17"/>
      <c r="G38" s="17"/>
      <c r="H38" s="17"/>
      <c r="I38" s="17"/>
      <c r="J38" s="17"/>
      <c r="K38" s="8" t="e">
        <f t="shared" si="6"/>
        <v>#DIV/0!</v>
      </c>
      <c r="L38" s="17"/>
      <c r="M38" s="17"/>
      <c r="N38" s="17"/>
      <c r="O38" s="17"/>
      <c r="P38" s="17"/>
      <c r="Q38" s="9" t="e">
        <f t="shared" si="23"/>
        <v>#DIV/0!</v>
      </c>
      <c r="R38" s="17"/>
      <c r="S38" s="17"/>
      <c r="T38" s="17"/>
      <c r="U38" s="17"/>
      <c r="V38" s="17"/>
      <c r="W38" s="9" t="e">
        <f t="shared" si="7"/>
        <v>#DIV/0!</v>
      </c>
      <c r="X38" s="233"/>
      <c r="Y38" s="234"/>
      <c r="Z38" s="9" t="str">
        <f t="shared" si="8"/>
        <v>0</v>
      </c>
      <c r="AA38" s="7" t="e">
        <f t="shared" si="0"/>
        <v>#DIV/0!</v>
      </c>
      <c r="AB38" s="365"/>
      <c r="AC38" s="17"/>
      <c r="AD38" s="17"/>
      <c r="AE38" s="17"/>
      <c r="AF38" s="17"/>
      <c r="AG38" s="17"/>
      <c r="AH38" s="9" t="e">
        <f t="shared" si="9"/>
        <v>#DIV/0!</v>
      </c>
      <c r="AI38" s="17"/>
      <c r="AJ38" s="17"/>
      <c r="AK38" s="17"/>
      <c r="AL38" s="17"/>
      <c r="AM38" s="17"/>
      <c r="AN38" s="9" t="e">
        <f t="shared" si="10"/>
        <v>#DIV/0!</v>
      </c>
      <c r="AO38" s="17"/>
      <c r="AP38" s="17"/>
      <c r="AQ38" s="17"/>
      <c r="AR38" s="17"/>
      <c r="AS38" s="17"/>
      <c r="AT38" s="9" t="e">
        <f t="shared" si="11"/>
        <v>#DIV/0!</v>
      </c>
      <c r="AU38" s="208"/>
      <c r="AV38" s="209"/>
      <c r="AW38" s="9" t="str">
        <f t="shared" si="12"/>
        <v>0</v>
      </c>
      <c r="AX38" s="7" t="e">
        <f t="shared" si="1"/>
        <v>#DIV/0!</v>
      </c>
      <c r="AY38" s="18" t="e">
        <f t="shared" si="1"/>
        <v>#DIV/0!</v>
      </c>
      <c r="AZ38" s="232"/>
      <c r="BA38" s="4" t="e">
        <f t="shared" si="2"/>
        <v>#DIV/0!</v>
      </c>
      <c r="BB38" s="4" t="e">
        <f t="shared" si="13"/>
        <v>#DIV/0!</v>
      </c>
      <c r="BC38" s="4" t="e">
        <f t="shared" si="14"/>
        <v>#DIV/0!</v>
      </c>
      <c r="BD38" s="4">
        <f t="shared" si="15"/>
        <v>0</v>
      </c>
      <c r="BE38" s="12" t="e">
        <f t="shared" si="3"/>
        <v>#DIV/0!</v>
      </c>
      <c r="BF38" s="4" t="e">
        <f t="shared" si="16"/>
        <v>#DIV/0!</v>
      </c>
      <c r="BG38" s="4" t="e">
        <f t="shared" si="17"/>
        <v>#DIV/0!</v>
      </c>
      <c r="BH38" s="4" t="e">
        <f t="shared" si="18"/>
        <v>#DIV/0!</v>
      </c>
      <c r="BI38" s="4">
        <f t="shared" si="19"/>
        <v>0</v>
      </c>
      <c r="BJ38" s="12" t="e">
        <f t="shared" si="4"/>
        <v>#DIV/0!</v>
      </c>
      <c r="BK38" s="12" t="e">
        <f t="shared" si="5"/>
        <v>#DIV/0!</v>
      </c>
      <c r="BL38" s="12"/>
      <c r="BM38" s="10"/>
      <c r="BN38" s="176"/>
      <c r="BO38" s="12" t="e">
        <f t="shared" si="20"/>
        <v>#DIV/0!</v>
      </c>
      <c r="BP38" s="11"/>
      <c r="BQ38" s="6"/>
      <c r="BR38" s="6"/>
    </row>
    <row r="39" spans="1:70" ht="20.25" customHeight="1">
      <c r="A39" s="332">
        <v>14</v>
      </c>
      <c r="B39" s="324"/>
      <c r="C39" s="324"/>
      <c r="D39" s="323"/>
      <c r="E39" s="21">
        <v>1</v>
      </c>
      <c r="F39" s="17"/>
      <c r="G39" s="17"/>
      <c r="H39" s="17"/>
      <c r="I39" s="17"/>
      <c r="J39" s="17"/>
      <c r="K39" s="8" t="e">
        <f t="shared" si="6"/>
        <v>#DIV/0!</v>
      </c>
      <c r="L39" s="17"/>
      <c r="M39" s="17"/>
      <c r="N39" s="17"/>
      <c r="O39" s="17"/>
      <c r="P39" s="17"/>
      <c r="Q39" s="9" t="e">
        <f t="shared" si="23"/>
        <v>#DIV/0!</v>
      </c>
      <c r="R39" s="17"/>
      <c r="S39" s="17"/>
      <c r="T39" s="17"/>
      <c r="U39" s="17"/>
      <c r="V39" s="17"/>
      <c r="W39" s="9" t="e">
        <f t="shared" si="7"/>
        <v>#DIV/0!</v>
      </c>
      <c r="X39" s="233"/>
      <c r="Y39" s="234"/>
      <c r="Z39" s="9" t="str">
        <f t="shared" si="8"/>
        <v>0</v>
      </c>
      <c r="AA39" s="7" t="e">
        <f t="shared" si="0"/>
        <v>#DIV/0!</v>
      </c>
      <c r="AB39" s="365"/>
      <c r="AC39" s="17"/>
      <c r="AD39" s="17"/>
      <c r="AE39" s="17"/>
      <c r="AF39" s="17"/>
      <c r="AG39" s="17"/>
      <c r="AH39" s="9" t="e">
        <f t="shared" si="9"/>
        <v>#DIV/0!</v>
      </c>
      <c r="AI39" s="17"/>
      <c r="AJ39" s="17"/>
      <c r="AK39" s="17"/>
      <c r="AL39" s="17"/>
      <c r="AM39" s="17"/>
      <c r="AN39" s="9" t="e">
        <f t="shared" si="10"/>
        <v>#DIV/0!</v>
      </c>
      <c r="AO39" s="17"/>
      <c r="AP39" s="17"/>
      <c r="AQ39" s="17"/>
      <c r="AR39" s="17"/>
      <c r="AS39" s="17"/>
      <c r="AT39" s="9" t="e">
        <f t="shared" si="11"/>
        <v>#DIV/0!</v>
      </c>
      <c r="AU39" s="208"/>
      <c r="AV39" s="209"/>
      <c r="AW39" s="9" t="str">
        <f t="shared" si="12"/>
        <v>0</v>
      </c>
      <c r="AX39" s="7" t="e">
        <f t="shared" si="1"/>
        <v>#DIV/0!</v>
      </c>
      <c r="AY39" s="18" t="e">
        <f t="shared" si="1"/>
        <v>#DIV/0!</v>
      </c>
      <c r="AZ39" s="231" t="e">
        <f t="shared" ref="AZ39" si="43">IF(BP39&gt;=4.5, " 5 ", IF(BP39&gt;=3.5," 4 ",IF(BP39&gt;=2.5," 3  ",IF(BP39&gt;=1.5," 2 ",IF(BP39&gt;=1,"1 ",IF(BP39&gt;=0,"0"))))))</f>
        <v>#DIV/0!</v>
      </c>
      <c r="BA39" s="4" t="e">
        <f t="shared" si="2"/>
        <v>#DIV/0!</v>
      </c>
      <c r="BB39" s="4" t="e">
        <f t="shared" si="13"/>
        <v>#DIV/0!</v>
      </c>
      <c r="BC39" s="4" t="e">
        <f t="shared" si="14"/>
        <v>#DIV/0!</v>
      </c>
      <c r="BD39" s="4">
        <f t="shared" si="15"/>
        <v>0</v>
      </c>
      <c r="BE39" s="12" t="e">
        <f t="shared" si="3"/>
        <v>#DIV/0!</v>
      </c>
      <c r="BF39" s="4" t="e">
        <f t="shared" si="16"/>
        <v>#DIV/0!</v>
      </c>
      <c r="BG39" s="4" t="e">
        <f t="shared" si="17"/>
        <v>#DIV/0!</v>
      </c>
      <c r="BH39" s="4" t="e">
        <f t="shared" si="18"/>
        <v>#DIV/0!</v>
      </c>
      <c r="BI39" s="4">
        <f t="shared" si="19"/>
        <v>0</v>
      </c>
      <c r="BJ39" s="12" t="e">
        <f t="shared" si="4"/>
        <v>#DIV/0!</v>
      </c>
      <c r="BK39" s="12" t="e">
        <f t="shared" si="5"/>
        <v>#DIV/0!</v>
      </c>
      <c r="BL39" s="12" t="e">
        <f>(BE39+BJ39)/2</f>
        <v>#DIV/0!</v>
      </c>
      <c r="BM39" s="10" t="e">
        <f t="shared" si="21"/>
        <v>#DIV/0!</v>
      </c>
      <c r="BN39" s="176" t="e">
        <f t="shared" si="31"/>
        <v>#DIV/0!</v>
      </c>
      <c r="BO39" s="12"/>
      <c r="BP39" s="11" t="e">
        <f t="shared" si="25"/>
        <v>#DIV/0!</v>
      </c>
      <c r="BQ39" s="6"/>
      <c r="BR39" s="6"/>
    </row>
    <row r="40" spans="1:70" ht="20.25" customHeight="1" thickBot="1">
      <c r="A40" s="333"/>
      <c r="B40" s="324"/>
      <c r="C40" s="324"/>
      <c r="D40" s="323"/>
      <c r="E40" s="20">
        <v>2</v>
      </c>
      <c r="F40" s="17"/>
      <c r="G40" s="17"/>
      <c r="H40" s="17"/>
      <c r="I40" s="17"/>
      <c r="J40" s="17"/>
      <c r="K40" s="8" t="e">
        <f t="shared" si="6"/>
        <v>#DIV/0!</v>
      </c>
      <c r="L40" s="17"/>
      <c r="M40" s="17"/>
      <c r="N40" s="17"/>
      <c r="O40" s="17"/>
      <c r="P40" s="17"/>
      <c r="Q40" s="9" t="e">
        <f t="shared" si="23"/>
        <v>#DIV/0!</v>
      </c>
      <c r="R40" s="17"/>
      <c r="S40" s="17"/>
      <c r="T40" s="17"/>
      <c r="U40" s="17"/>
      <c r="V40" s="17"/>
      <c r="W40" s="9" t="e">
        <f t="shared" si="7"/>
        <v>#DIV/0!</v>
      </c>
      <c r="X40" s="233"/>
      <c r="Y40" s="234"/>
      <c r="Z40" s="9" t="str">
        <f t="shared" si="8"/>
        <v>0</v>
      </c>
      <c r="AA40" s="7" t="e">
        <f t="shared" si="0"/>
        <v>#DIV/0!</v>
      </c>
      <c r="AB40" s="365"/>
      <c r="AC40" s="17"/>
      <c r="AD40" s="17"/>
      <c r="AE40" s="17"/>
      <c r="AF40" s="17"/>
      <c r="AG40" s="17"/>
      <c r="AH40" s="9" t="e">
        <f t="shared" si="9"/>
        <v>#DIV/0!</v>
      </c>
      <c r="AI40" s="17"/>
      <c r="AJ40" s="17"/>
      <c r="AK40" s="17"/>
      <c r="AL40" s="17"/>
      <c r="AM40" s="17"/>
      <c r="AN40" s="9" t="e">
        <f t="shared" si="10"/>
        <v>#DIV/0!</v>
      </c>
      <c r="AO40" s="17"/>
      <c r="AP40" s="17"/>
      <c r="AQ40" s="17"/>
      <c r="AR40" s="17"/>
      <c r="AS40" s="17"/>
      <c r="AT40" s="9" t="e">
        <f t="shared" si="11"/>
        <v>#DIV/0!</v>
      </c>
      <c r="AU40" s="208"/>
      <c r="AV40" s="209"/>
      <c r="AW40" s="9" t="str">
        <f t="shared" si="12"/>
        <v>0</v>
      </c>
      <c r="AX40" s="7" t="e">
        <f t="shared" si="1"/>
        <v>#DIV/0!</v>
      </c>
      <c r="AY40" s="18" t="e">
        <f t="shared" si="1"/>
        <v>#DIV/0!</v>
      </c>
      <c r="AZ40" s="232"/>
      <c r="BA40" s="4" t="e">
        <f t="shared" si="2"/>
        <v>#DIV/0!</v>
      </c>
      <c r="BB40" s="4" t="e">
        <f t="shared" si="13"/>
        <v>#DIV/0!</v>
      </c>
      <c r="BC40" s="4" t="e">
        <f t="shared" si="14"/>
        <v>#DIV/0!</v>
      </c>
      <c r="BD40" s="4">
        <f t="shared" si="15"/>
        <v>0</v>
      </c>
      <c r="BE40" s="12" t="e">
        <f t="shared" si="3"/>
        <v>#DIV/0!</v>
      </c>
      <c r="BF40" s="4" t="e">
        <f t="shared" si="16"/>
        <v>#DIV/0!</v>
      </c>
      <c r="BG40" s="4" t="e">
        <f t="shared" si="17"/>
        <v>#DIV/0!</v>
      </c>
      <c r="BH40" s="4" t="e">
        <f t="shared" si="18"/>
        <v>#DIV/0!</v>
      </c>
      <c r="BI40" s="4">
        <f t="shared" si="19"/>
        <v>0</v>
      </c>
      <c r="BJ40" s="12" t="e">
        <f t="shared" si="4"/>
        <v>#DIV/0!</v>
      </c>
      <c r="BK40" s="12" t="e">
        <f t="shared" si="5"/>
        <v>#DIV/0!</v>
      </c>
      <c r="BL40" s="12"/>
      <c r="BM40" s="10"/>
      <c r="BN40" s="176"/>
      <c r="BO40" s="12" t="e">
        <f t="shared" si="20"/>
        <v>#DIV/0!</v>
      </c>
      <c r="BP40" s="11"/>
      <c r="BQ40" s="6"/>
      <c r="BR40" s="6"/>
    </row>
    <row r="41" spans="1:70" ht="20.25" customHeight="1">
      <c r="A41" s="332">
        <v>15</v>
      </c>
      <c r="B41" s="324"/>
      <c r="C41" s="324"/>
      <c r="D41" s="323"/>
      <c r="E41" s="21">
        <v>1</v>
      </c>
      <c r="F41" s="17"/>
      <c r="G41" s="17"/>
      <c r="H41" s="17"/>
      <c r="I41" s="17"/>
      <c r="J41" s="17"/>
      <c r="K41" s="8" t="e">
        <f t="shared" si="6"/>
        <v>#DIV/0!</v>
      </c>
      <c r="L41" s="17"/>
      <c r="M41" s="17"/>
      <c r="N41" s="17"/>
      <c r="O41" s="17"/>
      <c r="P41" s="17"/>
      <c r="Q41" s="9" t="e">
        <f t="shared" si="23"/>
        <v>#DIV/0!</v>
      </c>
      <c r="R41" s="17"/>
      <c r="S41" s="17"/>
      <c r="T41" s="17"/>
      <c r="U41" s="17"/>
      <c r="V41" s="17"/>
      <c r="W41" s="9" t="e">
        <f t="shared" si="7"/>
        <v>#DIV/0!</v>
      </c>
      <c r="X41" s="233"/>
      <c r="Y41" s="234"/>
      <c r="Z41" s="9" t="str">
        <f t="shared" si="8"/>
        <v>0</v>
      </c>
      <c r="AA41" s="7" t="e">
        <f t="shared" si="0"/>
        <v>#DIV/0!</v>
      </c>
      <c r="AB41" s="365"/>
      <c r="AC41" s="17"/>
      <c r="AD41" s="17"/>
      <c r="AE41" s="17"/>
      <c r="AF41" s="17"/>
      <c r="AG41" s="17"/>
      <c r="AH41" s="9" t="e">
        <f t="shared" si="9"/>
        <v>#DIV/0!</v>
      </c>
      <c r="AI41" s="17"/>
      <c r="AJ41" s="17"/>
      <c r="AK41" s="17"/>
      <c r="AL41" s="17"/>
      <c r="AM41" s="17"/>
      <c r="AN41" s="9" t="e">
        <f t="shared" si="10"/>
        <v>#DIV/0!</v>
      </c>
      <c r="AO41" s="17"/>
      <c r="AP41" s="17"/>
      <c r="AQ41" s="17"/>
      <c r="AR41" s="17"/>
      <c r="AS41" s="17"/>
      <c r="AT41" s="9" t="e">
        <f t="shared" si="11"/>
        <v>#DIV/0!</v>
      </c>
      <c r="AU41" s="208"/>
      <c r="AV41" s="209"/>
      <c r="AW41" s="9" t="str">
        <f t="shared" si="12"/>
        <v>0</v>
      </c>
      <c r="AX41" s="7" t="e">
        <f t="shared" si="1"/>
        <v>#DIV/0!</v>
      </c>
      <c r="AY41" s="18" t="e">
        <f t="shared" si="1"/>
        <v>#DIV/0!</v>
      </c>
      <c r="AZ41" s="231" t="e">
        <f t="shared" ref="AZ41" si="44">IF(BP41&gt;=4.5, " 5 ", IF(BP41&gt;=3.5," 4 ",IF(BP41&gt;=2.5," 3  ",IF(BP41&gt;=1.5," 2 ",IF(BP41&gt;=1,"1 ",IF(BP41&gt;=0,"0"))))))</f>
        <v>#DIV/0!</v>
      </c>
      <c r="BA41" s="4" t="e">
        <f t="shared" si="2"/>
        <v>#DIV/0!</v>
      </c>
      <c r="BB41" s="4" t="e">
        <f t="shared" si="13"/>
        <v>#DIV/0!</v>
      </c>
      <c r="BC41" s="4" t="e">
        <f t="shared" si="14"/>
        <v>#DIV/0!</v>
      </c>
      <c r="BD41" s="4">
        <f t="shared" si="15"/>
        <v>0</v>
      </c>
      <c r="BE41" s="12" t="e">
        <f t="shared" si="3"/>
        <v>#DIV/0!</v>
      </c>
      <c r="BF41" s="4" t="e">
        <f t="shared" si="16"/>
        <v>#DIV/0!</v>
      </c>
      <c r="BG41" s="4" t="e">
        <f t="shared" si="17"/>
        <v>#DIV/0!</v>
      </c>
      <c r="BH41" s="4" t="e">
        <f t="shared" si="18"/>
        <v>#DIV/0!</v>
      </c>
      <c r="BI41" s="4">
        <f t="shared" si="19"/>
        <v>0</v>
      </c>
      <c r="BJ41" s="12" t="e">
        <f t="shared" si="4"/>
        <v>#DIV/0!</v>
      </c>
      <c r="BK41" s="12" t="e">
        <f t="shared" si="5"/>
        <v>#DIV/0!</v>
      </c>
      <c r="BL41" s="12" t="e">
        <f>(BE41+BJ41)/2</f>
        <v>#DIV/0!</v>
      </c>
      <c r="BM41" s="10" t="e">
        <f t="shared" si="21"/>
        <v>#DIV/0!</v>
      </c>
      <c r="BN41" s="176" t="e">
        <f t="shared" si="33"/>
        <v>#DIV/0!</v>
      </c>
      <c r="BO41" s="12"/>
      <c r="BP41" s="11" t="e">
        <f t="shared" si="25"/>
        <v>#DIV/0!</v>
      </c>
      <c r="BQ41" s="6"/>
      <c r="BR41" s="6"/>
    </row>
    <row r="42" spans="1:70" ht="20.25" customHeight="1" thickBot="1">
      <c r="A42" s="333"/>
      <c r="B42" s="324"/>
      <c r="C42" s="324"/>
      <c r="D42" s="323"/>
      <c r="E42" s="20">
        <v>2</v>
      </c>
      <c r="F42" s="17"/>
      <c r="G42" s="17"/>
      <c r="H42" s="17"/>
      <c r="I42" s="17"/>
      <c r="J42" s="17"/>
      <c r="K42" s="8" t="e">
        <f t="shared" si="6"/>
        <v>#DIV/0!</v>
      </c>
      <c r="L42" s="17"/>
      <c r="M42" s="17"/>
      <c r="N42" s="17"/>
      <c r="O42" s="17"/>
      <c r="P42" s="17"/>
      <c r="Q42" s="9" t="e">
        <f t="shared" si="23"/>
        <v>#DIV/0!</v>
      </c>
      <c r="R42" s="17"/>
      <c r="S42" s="17"/>
      <c r="T42" s="17"/>
      <c r="U42" s="17"/>
      <c r="V42" s="17"/>
      <c r="W42" s="9" t="e">
        <f t="shared" si="7"/>
        <v>#DIV/0!</v>
      </c>
      <c r="X42" s="233"/>
      <c r="Y42" s="234"/>
      <c r="Z42" s="9" t="str">
        <f t="shared" si="8"/>
        <v>0</v>
      </c>
      <c r="AA42" s="7" t="e">
        <f t="shared" si="0"/>
        <v>#DIV/0!</v>
      </c>
      <c r="AB42" s="365"/>
      <c r="AC42" s="17"/>
      <c r="AD42" s="17"/>
      <c r="AE42" s="17"/>
      <c r="AF42" s="17"/>
      <c r="AG42" s="17"/>
      <c r="AH42" s="9" t="e">
        <f t="shared" si="9"/>
        <v>#DIV/0!</v>
      </c>
      <c r="AI42" s="17"/>
      <c r="AJ42" s="17"/>
      <c r="AK42" s="17"/>
      <c r="AL42" s="17"/>
      <c r="AM42" s="17"/>
      <c r="AN42" s="9" t="e">
        <f t="shared" si="10"/>
        <v>#DIV/0!</v>
      </c>
      <c r="AO42" s="17"/>
      <c r="AP42" s="17"/>
      <c r="AQ42" s="17"/>
      <c r="AR42" s="17"/>
      <c r="AS42" s="17"/>
      <c r="AT42" s="9" t="e">
        <f t="shared" si="11"/>
        <v>#DIV/0!</v>
      </c>
      <c r="AU42" s="208"/>
      <c r="AV42" s="209"/>
      <c r="AW42" s="9" t="str">
        <f t="shared" si="12"/>
        <v>0</v>
      </c>
      <c r="AX42" s="7" t="e">
        <f t="shared" si="1"/>
        <v>#DIV/0!</v>
      </c>
      <c r="AY42" s="18" t="e">
        <f t="shared" si="1"/>
        <v>#DIV/0!</v>
      </c>
      <c r="AZ42" s="232"/>
      <c r="BA42" s="4" t="e">
        <f t="shared" si="2"/>
        <v>#DIV/0!</v>
      </c>
      <c r="BB42" s="4" t="e">
        <f t="shared" si="13"/>
        <v>#DIV/0!</v>
      </c>
      <c r="BC42" s="4" t="e">
        <f t="shared" si="14"/>
        <v>#DIV/0!</v>
      </c>
      <c r="BD42" s="4">
        <f t="shared" si="15"/>
        <v>0</v>
      </c>
      <c r="BE42" s="12" t="e">
        <f t="shared" si="3"/>
        <v>#DIV/0!</v>
      </c>
      <c r="BF42" s="4" t="e">
        <f t="shared" si="16"/>
        <v>#DIV/0!</v>
      </c>
      <c r="BG42" s="4" t="e">
        <f t="shared" si="17"/>
        <v>#DIV/0!</v>
      </c>
      <c r="BH42" s="4" t="e">
        <f t="shared" si="18"/>
        <v>#DIV/0!</v>
      </c>
      <c r="BI42" s="4">
        <f t="shared" si="19"/>
        <v>0</v>
      </c>
      <c r="BJ42" s="12" t="e">
        <f t="shared" si="4"/>
        <v>#DIV/0!</v>
      </c>
      <c r="BK42" s="12" t="e">
        <f t="shared" si="5"/>
        <v>#DIV/0!</v>
      </c>
      <c r="BL42" s="12"/>
      <c r="BM42" s="10"/>
      <c r="BN42" s="176"/>
      <c r="BO42" s="12" t="e">
        <f t="shared" si="20"/>
        <v>#DIV/0!</v>
      </c>
      <c r="BP42" s="11"/>
      <c r="BQ42" s="6"/>
      <c r="BR42" s="6"/>
    </row>
    <row r="43" spans="1:70" ht="20.25" customHeight="1">
      <c r="A43" s="332">
        <v>16</v>
      </c>
      <c r="B43" s="324"/>
      <c r="C43" s="324"/>
      <c r="D43" s="323"/>
      <c r="E43" s="22">
        <v>1</v>
      </c>
      <c r="F43" s="17"/>
      <c r="G43" s="17"/>
      <c r="H43" s="17"/>
      <c r="I43" s="17"/>
      <c r="J43" s="17"/>
      <c r="K43" s="8" t="e">
        <f t="shared" si="6"/>
        <v>#DIV/0!</v>
      </c>
      <c r="L43" s="17"/>
      <c r="M43" s="17"/>
      <c r="N43" s="17"/>
      <c r="O43" s="17"/>
      <c r="P43" s="17"/>
      <c r="Q43" s="9" t="e">
        <f t="shared" si="23"/>
        <v>#DIV/0!</v>
      </c>
      <c r="R43" s="17"/>
      <c r="S43" s="17"/>
      <c r="T43" s="17"/>
      <c r="U43" s="17"/>
      <c r="V43" s="17"/>
      <c r="W43" s="9" t="e">
        <f t="shared" si="7"/>
        <v>#DIV/0!</v>
      </c>
      <c r="X43" s="233"/>
      <c r="Y43" s="234"/>
      <c r="Z43" s="9" t="str">
        <f t="shared" si="8"/>
        <v>0</v>
      </c>
      <c r="AA43" s="7" t="e">
        <f t="shared" si="0"/>
        <v>#DIV/0!</v>
      </c>
      <c r="AB43" s="365"/>
      <c r="AC43" s="17"/>
      <c r="AD43" s="17"/>
      <c r="AE43" s="17"/>
      <c r="AF43" s="17"/>
      <c r="AG43" s="17"/>
      <c r="AH43" s="9" t="e">
        <f t="shared" si="9"/>
        <v>#DIV/0!</v>
      </c>
      <c r="AI43" s="17"/>
      <c r="AJ43" s="17"/>
      <c r="AK43" s="17"/>
      <c r="AL43" s="17"/>
      <c r="AM43" s="17"/>
      <c r="AN43" s="9" t="e">
        <f t="shared" si="10"/>
        <v>#DIV/0!</v>
      </c>
      <c r="AO43" s="17"/>
      <c r="AP43" s="17"/>
      <c r="AQ43" s="17"/>
      <c r="AR43" s="17"/>
      <c r="AS43" s="17"/>
      <c r="AT43" s="9" t="e">
        <f t="shared" si="11"/>
        <v>#DIV/0!</v>
      </c>
      <c r="AU43" s="208"/>
      <c r="AV43" s="209"/>
      <c r="AW43" s="9" t="str">
        <f t="shared" si="12"/>
        <v>0</v>
      </c>
      <c r="AX43" s="7" t="e">
        <f t="shared" si="1"/>
        <v>#DIV/0!</v>
      </c>
      <c r="AY43" s="18" t="e">
        <f t="shared" si="1"/>
        <v>#DIV/0!</v>
      </c>
      <c r="AZ43" s="231" t="e">
        <f t="shared" ref="AZ43" si="45">IF(BP43&gt;=4.5, " 5 ", IF(BP43&gt;=3.5," 4 ",IF(BP43&gt;=2.5," 3  ",IF(BP43&gt;=1.5," 2 ",IF(BP43&gt;=1,"1 ",IF(BP43&gt;=0,"0"))))))</f>
        <v>#DIV/0!</v>
      </c>
      <c r="BA43" s="4" t="e">
        <f t="shared" si="2"/>
        <v>#DIV/0!</v>
      </c>
      <c r="BB43" s="4" t="e">
        <f t="shared" si="13"/>
        <v>#DIV/0!</v>
      </c>
      <c r="BC43" s="4" t="e">
        <f t="shared" si="14"/>
        <v>#DIV/0!</v>
      </c>
      <c r="BD43" s="4">
        <f t="shared" si="15"/>
        <v>0</v>
      </c>
      <c r="BE43" s="12" t="e">
        <f t="shared" si="3"/>
        <v>#DIV/0!</v>
      </c>
      <c r="BF43" s="4" t="e">
        <f t="shared" si="16"/>
        <v>#DIV/0!</v>
      </c>
      <c r="BG43" s="4" t="e">
        <f t="shared" si="17"/>
        <v>#DIV/0!</v>
      </c>
      <c r="BH43" s="4" t="e">
        <f t="shared" si="18"/>
        <v>#DIV/0!</v>
      </c>
      <c r="BI43" s="4">
        <f t="shared" si="19"/>
        <v>0</v>
      </c>
      <c r="BJ43" s="12" t="e">
        <f t="shared" si="4"/>
        <v>#DIV/0!</v>
      </c>
      <c r="BK43" s="12" t="e">
        <f t="shared" si="5"/>
        <v>#DIV/0!</v>
      </c>
      <c r="BL43" s="12" t="e">
        <f>(BE43+BJ43)/2</f>
        <v>#DIV/0!</v>
      </c>
      <c r="BM43" s="10" t="e">
        <f t="shared" si="21"/>
        <v>#DIV/0!</v>
      </c>
      <c r="BN43" s="176" t="e">
        <f t="shared" si="35"/>
        <v>#DIV/0!</v>
      </c>
      <c r="BO43" s="12"/>
      <c r="BP43" s="11" t="e">
        <f t="shared" si="25"/>
        <v>#DIV/0!</v>
      </c>
      <c r="BQ43" s="6"/>
      <c r="BR43" s="6"/>
    </row>
    <row r="44" spans="1:70" ht="20.25" customHeight="1" thickBot="1">
      <c r="A44" s="333"/>
      <c r="B44" s="324"/>
      <c r="C44" s="324"/>
      <c r="D44" s="323"/>
      <c r="E44" s="23">
        <v>2</v>
      </c>
      <c r="F44" s="17"/>
      <c r="G44" s="17"/>
      <c r="H44" s="17"/>
      <c r="I44" s="17"/>
      <c r="J44" s="17"/>
      <c r="K44" s="8" t="e">
        <f t="shared" si="6"/>
        <v>#DIV/0!</v>
      </c>
      <c r="L44" s="17"/>
      <c r="M44" s="17"/>
      <c r="N44" s="17"/>
      <c r="O44" s="17"/>
      <c r="P44" s="17"/>
      <c r="Q44" s="9" t="e">
        <f t="shared" si="23"/>
        <v>#DIV/0!</v>
      </c>
      <c r="R44" s="17"/>
      <c r="S44" s="17"/>
      <c r="T44" s="17"/>
      <c r="U44" s="17"/>
      <c r="V44" s="17"/>
      <c r="W44" s="9" t="e">
        <f t="shared" si="7"/>
        <v>#DIV/0!</v>
      </c>
      <c r="X44" s="233"/>
      <c r="Y44" s="234"/>
      <c r="Z44" s="9" t="str">
        <f t="shared" si="8"/>
        <v>0</v>
      </c>
      <c r="AA44" s="7" t="e">
        <f t="shared" si="0"/>
        <v>#DIV/0!</v>
      </c>
      <c r="AB44" s="365"/>
      <c r="AC44" s="17"/>
      <c r="AD44" s="17"/>
      <c r="AE44" s="17"/>
      <c r="AF44" s="17"/>
      <c r="AG44" s="17"/>
      <c r="AH44" s="9" t="e">
        <f t="shared" si="9"/>
        <v>#DIV/0!</v>
      </c>
      <c r="AI44" s="17"/>
      <c r="AJ44" s="17"/>
      <c r="AK44" s="17"/>
      <c r="AL44" s="17"/>
      <c r="AM44" s="17"/>
      <c r="AN44" s="9" t="e">
        <f t="shared" si="10"/>
        <v>#DIV/0!</v>
      </c>
      <c r="AO44" s="17"/>
      <c r="AP44" s="17"/>
      <c r="AQ44" s="17"/>
      <c r="AR44" s="17"/>
      <c r="AS44" s="17"/>
      <c r="AT44" s="9" t="e">
        <f t="shared" si="11"/>
        <v>#DIV/0!</v>
      </c>
      <c r="AU44" s="208"/>
      <c r="AV44" s="209"/>
      <c r="AW44" s="9" t="str">
        <f t="shared" si="12"/>
        <v>0</v>
      </c>
      <c r="AX44" s="7" t="e">
        <f t="shared" si="1"/>
        <v>#DIV/0!</v>
      </c>
      <c r="AY44" s="18" t="e">
        <f t="shared" si="1"/>
        <v>#DIV/0!</v>
      </c>
      <c r="AZ44" s="232"/>
      <c r="BA44" s="4" t="e">
        <f t="shared" si="2"/>
        <v>#DIV/0!</v>
      </c>
      <c r="BB44" s="4" t="e">
        <f t="shared" si="13"/>
        <v>#DIV/0!</v>
      </c>
      <c r="BC44" s="4" t="e">
        <f t="shared" si="14"/>
        <v>#DIV/0!</v>
      </c>
      <c r="BD44" s="4">
        <f t="shared" si="15"/>
        <v>0</v>
      </c>
      <c r="BE44" s="12" t="e">
        <f t="shared" si="3"/>
        <v>#DIV/0!</v>
      </c>
      <c r="BF44" s="4" t="e">
        <f t="shared" si="16"/>
        <v>#DIV/0!</v>
      </c>
      <c r="BG44" s="4" t="e">
        <f t="shared" si="17"/>
        <v>#DIV/0!</v>
      </c>
      <c r="BH44" s="4" t="e">
        <f t="shared" si="18"/>
        <v>#DIV/0!</v>
      </c>
      <c r="BI44" s="4">
        <f t="shared" si="19"/>
        <v>0</v>
      </c>
      <c r="BJ44" s="12" t="e">
        <f t="shared" si="4"/>
        <v>#DIV/0!</v>
      </c>
      <c r="BK44" s="12" t="e">
        <f t="shared" si="5"/>
        <v>#DIV/0!</v>
      </c>
      <c r="BL44" s="12"/>
      <c r="BM44" s="10"/>
      <c r="BN44" s="176"/>
      <c r="BO44" s="12" t="e">
        <f t="shared" si="20"/>
        <v>#DIV/0!</v>
      </c>
      <c r="BP44" s="11"/>
      <c r="BQ44" s="6"/>
      <c r="BR44" s="6"/>
    </row>
    <row r="45" spans="1:70" ht="20.25" customHeight="1">
      <c r="A45" s="332">
        <v>17</v>
      </c>
      <c r="B45" s="324"/>
      <c r="C45" s="324"/>
      <c r="D45" s="323"/>
      <c r="E45" s="22">
        <v>1</v>
      </c>
      <c r="F45" s="17"/>
      <c r="G45" s="17"/>
      <c r="H45" s="17"/>
      <c r="I45" s="17"/>
      <c r="J45" s="17"/>
      <c r="K45" s="8" t="e">
        <f t="shared" si="6"/>
        <v>#DIV/0!</v>
      </c>
      <c r="L45" s="17"/>
      <c r="M45" s="17"/>
      <c r="N45" s="17"/>
      <c r="O45" s="17"/>
      <c r="P45" s="17"/>
      <c r="Q45" s="9" t="e">
        <f t="shared" si="23"/>
        <v>#DIV/0!</v>
      </c>
      <c r="R45" s="17"/>
      <c r="S45" s="17"/>
      <c r="T45" s="17"/>
      <c r="U45" s="17"/>
      <c r="V45" s="17"/>
      <c r="W45" s="9" t="e">
        <f t="shared" si="7"/>
        <v>#DIV/0!</v>
      </c>
      <c r="X45" s="233"/>
      <c r="Y45" s="234"/>
      <c r="Z45" s="9" t="str">
        <f t="shared" si="8"/>
        <v>0</v>
      </c>
      <c r="AA45" s="7" t="e">
        <f t="shared" si="0"/>
        <v>#DIV/0!</v>
      </c>
      <c r="AB45" s="365"/>
      <c r="AC45" s="17"/>
      <c r="AD45" s="17"/>
      <c r="AE45" s="17"/>
      <c r="AF45" s="17"/>
      <c r="AG45" s="17"/>
      <c r="AH45" s="9" t="e">
        <f t="shared" si="9"/>
        <v>#DIV/0!</v>
      </c>
      <c r="AI45" s="17"/>
      <c r="AJ45" s="17"/>
      <c r="AK45" s="17"/>
      <c r="AL45" s="17"/>
      <c r="AM45" s="17"/>
      <c r="AN45" s="9" t="e">
        <f t="shared" si="10"/>
        <v>#DIV/0!</v>
      </c>
      <c r="AO45" s="17"/>
      <c r="AP45" s="17"/>
      <c r="AQ45" s="17"/>
      <c r="AR45" s="17"/>
      <c r="AS45" s="17"/>
      <c r="AT45" s="9" t="e">
        <f t="shared" si="11"/>
        <v>#DIV/0!</v>
      </c>
      <c r="AU45" s="208"/>
      <c r="AV45" s="209"/>
      <c r="AW45" s="9" t="str">
        <f t="shared" si="12"/>
        <v>0</v>
      </c>
      <c r="AX45" s="7" t="e">
        <f t="shared" si="1"/>
        <v>#DIV/0!</v>
      </c>
      <c r="AY45" s="18" t="e">
        <f t="shared" si="1"/>
        <v>#DIV/0!</v>
      </c>
      <c r="AZ45" s="231" t="e">
        <f t="shared" ref="AZ45" si="46">IF(BP45&gt;=4.5, " 5 ", IF(BP45&gt;=3.5," 4 ",IF(BP45&gt;=2.5," 3  ",IF(BP45&gt;=1.5," 2 ",IF(BP45&gt;=1,"1 ",IF(BP45&gt;=0,"0"))))))</f>
        <v>#DIV/0!</v>
      </c>
      <c r="BA45" s="4" t="e">
        <f t="shared" si="2"/>
        <v>#DIV/0!</v>
      </c>
      <c r="BB45" s="4" t="e">
        <f t="shared" si="13"/>
        <v>#DIV/0!</v>
      </c>
      <c r="BC45" s="4" t="e">
        <f t="shared" si="14"/>
        <v>#DIV/0!</v>
      </c>
      <c r="BD45" s="4">
        <f t="shared" si="15"/>
        <v>0</v>
      </c>
      <c r="BE45" s="12" t="e">
        <f t="shared" si="3"/>
        <v>#DIV/0!</v>
      </c>
      <c r="BF45" s="4" t="e">
        <f t="shared" si="16"/>
        <v>#DIV/0!</v>
      </c>
      <c r="BG45" s="4" t="e">
        <f t="shared" si="17"/>
        <v>#DIV/0!</v>
      </c>
      <c r="BH45" s="4" t="e">
        <f t="shared" si="18"/>
        <v>#DIV/0!</v>
      </c>
      <c r="BI45" s="4">
        <f t="shared" si="19"/>
        <v>0</v>
      </c>
      <c r="BJ45" s="12" t="e">
        <f t="shared" si="4"/>
        <v>#DIV/0!</v>
      </c>
      <c r="BK45" s="12" t="e">
        <f t="shared" si="5"/>
        <v>#DIV/0!</v>
      </c>
      <c r="BL45" s="12" t="e">
        <f>(BE45+BJ45)/2</f>
        <v>#DIV/0!</v>
      </c>
      <c r="BM45" s="10" t="e">
        <f t="shared" si="21"/>
        <v>#DIV/0!</v>
      </c>
      <c r="BN45" s="176" t="e">
        <f t="shared" ref="BN45" si="47">ROUND(BO46,)</f>
        <v>#DIV/0!</v>
      </c>
      <c r="BO45" s="12"/>
      <c r="BP45" s="11" t="e">
        <f t="shared" si="25"/>
        <v>#DIV/0!</v>
      </c>
      <c r="BQ45" s="6"/>
      <c r="BR45" s="6"/>
    </row>
    <row r="46" spans="1:70" ht="20.25" customHeight="1" thickBot="1">
      <c r="A46" s="333"/>
      <c r="B46" s="324"/>
      <c r="C46" s="324"/>
      <c r="D46" s="323"/>
      <c r="E46" s="23">
        <v>2</v>
      </c>
      <c r="F46" s="17"/>
      <c r="G46" s="17"/>
      <c r="H46" s="17"/>
      <c r="I46" s="17"/>
      <c r="J46" s="17"/>
      <c r="K46" s="8" t="e">
        <f t="shared" si="6"/>
        <v>#DIV/0!</v>
      </c>
      <c r="L46" s="17"/>
      <c r="M46" s="17"/>
      <c r="N46" s="17"/>
      <c r="O46" s="17"/>
      <c r="P46" s="17"/>
      <c r="Q46" s="9" t="e">
        <f t="shared" si="23"/>
        <v>#DIV/0!</v>
      </c>
      <c r="R46" s="17"/>
      <c r="S46" s="17"/>
      <c r="T46" s="17"/>
      <c r="U46" s="17"/>
      <c r="V46" s="17"/>
      <c r="W46" s="9" t="e">
        <f t="shared" si="7"/>
        <v>#DIV/0!</v>
      </c>
      <c r="X46" s="233"/>
      <c r="Y46" s="234"/>
      <c r="Z46" s="9" t="str">
        <f t="shared" si="8"/>
        <v>0</v>
      </c>
      <c r="AA46" s="7" t="e">
        <f t="shared" si="0"/>
        <v>#DIV/0!</v>
      </c>
      <c r="AB46" s="365"/>
      <c r="AC46" s="17"/>
      <c r="AD46" s="17"/>
      <c r="AE46" s="17"/>
      <c r="AF46" s="17"/>
      <c r="AG46" s="17"/>
      <c r="AH46" s="9" t="e">
        <f t="shared" si="9"/>
        <v>#DIV/0!</v>
      </c>
      <c r="AI46" s="17"/>
      <c r="AJ46" s="17"/>
      <c r="AK46" s="17"/>
      <c r="AL46" s="17"/>
      <c r="AM46" s="17"/>
      <c r="AN46" s="9" t="e">
        <f t="shared" si="10"/>
        <v>#DIV/0!</v>
      </c>
      <c r="AO46" s="17"/>
      <c r="AP46" s="17"/>
      <c r="AQ46" s="17"/>
      <c r="AR46" s="17"/>
      <c r="AS46" s="17"/>
      <c r="AT46" s="9" t="e">
        <f t="shared" si="11"/>
        <v>#DIV/0!</v>
      </c>
      <c r="AU46" s="208"/>
      <c r="AV46" s="209"/>
      <c r="AW46" s="9" t="str">
        <f t="shared" si="12"/>
        <v>0</v>
      </c>
      <c r="AX46" s="7" t="e">
        <f t="shared" si="1"/>
        <v>#DIV/0!</v>
      </c>
      <c r="AY46" s="18" t="e">
        <f t="shared" si="1"/>
        <v>#DIV/0!</v>
      </c>
      <c r="AZ46" s="232"/>
      <c r="BA46" s="4" t="e">
        <f t="shared" si="2"/>
        <v>#DIV/0!</v>
      </c>
      <c r="BB46" s="4" t="e">
        <f t="shared" si="13"/>
        <v>#DIV/0!</v>
      </c>
      <c r="BC46" s="4" t="e">
        <f t="shared" si="14"/>
        <v>#DIV/0!</v>
      </c>
      <c r="BD46" s="4">
        <f t="shared" si="15"/>
        <v>0</v>
      </c>
      <c r="BE46" s="12" t="e">
        <f t="shared" si="3"/>
        <v>#DIV/0!</v>
      </c>
      <c r="BF46" s="4" t="e">
        <f t="shared" si="16"/>
        <v>#DIV/0!</v>
      </c>
      <c r="BG46" s="4" t="e">
        <f t="shared" si="17"/>
        <v>#DIV/0!</v>
      </c>
      <c r="BH46" s="4" t="e">
        <f t="shared" si="18"/>
        <v>#DIV/0!</v>
      </c>
      <c r="BI46" s="4">
        <f t="shared" si="19"/>
        <v>0</v>
      </c>
      <c r="BJ46" s="12" t="e">
        <f t="shared" si="4"/>
        <v>#DIV/0!</v>
      </c>
      <c r="BK46" s="12" t="e">
        <f t="shared" si="5"/>
        <v>#DIV/0!</v>
      </c>
      <c r="BL46" s="12"/>
      <c r="BM46" s="10"/>
      <c r="BN46" s="176"/>
      <c r="BO46" s="12" t="e">
        <f t="shared" ref="BO46:BO72" si="48">(BE46+BJ46)/2</f>
        <v>#DIV/0!</v>
      </c>
      <c r="BP46" s="11"/>
      <c r="BQ46" s="6"/>
      <c r="BR46" s="6"/>
    </row>
    <row r="47" spans="1:70" ht="20.25" customHeight="1">
      <c r="A47" s="332">
        <v>18</v>
      </c>
      <c r="B47" s="324"/>
      <c r="C47" s="324"/>
      <c r="D47" s="323"/>
      <c r="E47" s="22">
        <v>1</v>
      </c>
      <c r="F47" s="17"/>
      <c r="G47" s="17"/>
      <c r="H47" s="17"/>
      <c r="I47" s="17"/>
      <c r="J47" s="17"/>
      <c r="K47" s="8" t="e">
        <f t="shared" si="6"/>
        <v>#DIV/0!</v>
      </c>
      <c r="L47" s="17"/>
      <c r="M47" s="17"/>
      <c r="N47" s="17"/>
      <c r="O47" s="17"/>
      <c r="P47" s="17"/>
      <c r="Q47" s="9" t="e">
        <f t="shared" si="23"/>
        <v>#DIV/0!</v>
      </c>
      <c r="R47" s="17"/>
      <c r="S47" s="17"/>
      <c r="T47" s="17"/>
      <c r="U47" s="17"/>
      <c r="V47" s="17"/>
      <c r="W47" s="9" t="e">
        <f t="shared" si="7"/>
        <v>#DIV/0!</v>
      </c>
      <c r="X47" s="233"/>
      <c r="Y47" s="234"/>
      <c r="Z47" s="9" t="str">
        <f t="shared" si="8"/>
        <v>0</v>
      </c>
      <c r="AA47" s="7" t="e">
        <f t="shared" si="0"/>
        <v>#DIV/0!</v>
      </c>
      <c r="AB47" s="365"/>
      <c r="AC47" s="17"/>
      <c r="AD47" s="17"/>
      <c r="AE47" s="17"/>
      <c r="AF47" s="17"/>
      <c r="AG47" s="17"/>
      <c r="AH47" s="9" t="e">
        <f t="shared" si="9"/>
        <v>#DIV/0!</v>
      </c>
      <c r="AI47" s="17"/>
      <c r="AJ47" s="17"/>
      <c r="AK47" s="17"/>
      <c r="AL47" s="17"/>
      <c r="AM47" s="17"/>
      <c r="AN47" s="9" t="e">
        <f t="shared" si="10"/>
        <v>#DIV/0!</v>
      </c>
      <c r="AO47" s="17"/>
      <c r="AP47" s="17"/>
      <c r="AQ47" s="17"/>
      <c r="AR47" s="17"/>
      <c r="AS47" s="17"/>
      <c r="AT47" s="9" t="e">
        <f t="shared" si="11"/>
        <v>#DIV/0!</v>
      </c>
      <c r="AU47" s="208"/>
      <c r="AV47" s="209"/>
      <c r="AW47" s="9" t="str">
        <f t="shared" si="12"/>
        <v>0</v>
      </c>
      <c r="AX47" s="7" t="e">
        <f t="shared" si="1"/>
        <v>#DIV/0!</v>
      </c>
      <c r="AY47" s="18" t="e">
        <f t="shared" si="1"/>
        <v>#DIV/0!</v>
      </c>
      <c r="AZ47" s="231" t="e">
        <f t="shared" ref="AZ47" si="49">IF(BP47&gt;=4.5, " 5 ", IF(BP47&gt;=3.5," 4 ",IF(BP47&gt;=2.5," 3  ",IF(BP47&gt;=1.5," 2 ",IF(BP47&gt;=1,"1 ",IF(BP47&gt;=0,"0"))))))</f>
        <v>#DIV/0!</v>
      </c>
      <c r="BA47" s="4" t="e">
        <f t="shared" si="2"/>
        <v>#DIV/0!</v>
      </c>
      <c r="BB47" s="4" t="e">
        <f t="shared" si="13"/>
        <v>#DIV/0!</v>
      </c>
      <c r="BC47" s="4" t="e">
        <f t="shared" si="14"/>
        <v>#DIV/0!</v>
      </c>
      <c r="BD47" s="4">
        <f t="shared" si="15"/>
        <v>0</v>
      </c>
      <c r="BE47" s="12" t="e">
        <f t="shared" si="3"/>
        <v>#DIV/0!</v>
      </c>
      <c r="BF47" s="4" t="e">
        <f t="shared" si="16"/>
        <v>#DIV/0!</v>
      </c>
      <c r="BG47" s="4" t="e">
        <f t="shared" si="17"/>
        <v>#DIV/0!</v>
      </c>
      <c r="BH47" s="4" t="e">
        <f t="shared" si="18"/>
        <v>#DIV/0!</v>
      </c>
      <c r="BI47" s="4">
        <f t="shared" si="19"/>
        <v>0</v>
      </c>
      <c r="BJ47" s="12" t="e">
        <f t="shared" si="4"/>
        <v>#DIV/0!</v>
      </c>
      <c r="BK47" s="12" t="e">
        <f t="shared" si="5"/>
        <v>#DIV/0!</v>
      </c>
      <c r="BL47" s="12" t="e">
        <f>(BE47+BJ47)/2</f>
        <v>#DIV/0!</v>
      </c>
      <c r="BM47" s="10" t="e">
        <f t="shared" si="21"/>
        <v>#DIV/0!</v>
      </c>
      <c r="BN47" s="176" t="e">
        <f t="shared" si="31"/>
        <v>#DIV/0!</v>
      </c>
      <c r="BO47" s="12"/>
      <c r="BP47" s="11" t="e">
        <f t="shared" si="25"/>
        <v>#DIV/0!</v>
      </c>
      <c r="BQ47" s="6"/>
      <c r="BR47" s="6"/>
    </row>
    <row r="48" spans="1:70" ht="20.25" customHeight="1" thickBot="1">
      <c r="A48" s="333"/>
      <c r="B48" s="324"/>
      <c r="C48" s="324"/>
      <c r="D48" s="323"/>
      <c r="E48" s="23">
        <v>2</v>
      </c>
      <c r="F48" s="17"/>
      <c r="G48" s="17"/>
      <c r="H48" s="17"/>
      <c r="I48" s="17"/>
      <c r="J48" s="17"/>
      <c r="K48" s="8" t="e">
        <f t="shared" si="6"/>
        <v>#DIV/0!</v>
      </c>
      <c r="L48" s="17"/>
      <c r="M48" s="17"/>
      <c r="N48" s="17"/>
      <c r="O48" s="17"/>
      <c r="P48" s="17"/>
      <c r="Q48" s="9" t="e">
        <f t="shared" si="23"/>
        <v>#DIV/0!</v>
      </c>
      <c r="R48" s="17"/>
      <c r="S48" s="17"/>
      <c r="T48" s="17"/>
      <c r="U48" s="17"/>
      <c r="V48" s="17"/>
      <c r="W48" s="9" t="e">
        <f t="shared" si="7"/>
        <v>#DIV/0!</v>
      </c>
      <c r="X48" s="233"/>
      <c r="Y48" s="234"/>
      <c r="Z48" s="9" t="str">
        <f t="shared" si="8"/>
        <v>0</v>
      </c>
      <c r="AA48" s="7" t="e">
        <f t="shared" si="0"/>
        <v>#DIV/0!</v>
      </c>
      <c r="AB48" s="365"/>
      <c r="AC48" s="17"/>
      <c r="AD48" s="17"/>
      <c r="AE48" s="17"/>
      <c r="AF48" s="17"/>
      <c r="AG48" s="17"/>
      <c r="AH48" s="9" t="e">
        <f t="shared" si="9"/>
        <v>#DIV/0!</v>
      </c>
      <c r="AI48" s="17"/>
      <c r="AJ48" s="17"/>
      <c r="AK48" s="17"/>
      <c r="AL48" s="17"/>
      <c r="AM48" s="17"/>
      <c r="AN48" s="9" t="e">
        <f t="shared" si="10"/>
        <v>#DIV/0!</v>
      </c>
      <c r="AO48" s="17"/>
      <c r="AP48" s="17"/>
      <c r="AQ48" s="17"/>
      <c r="AR48" s="17"/>
      <c r="AS48" s="17"/>
      <c r="AT48" s="9" t="e">
        <f t="shared" si="11"/>
        <v>#DIV/0!</v>
      </c>
      <c r="AU48" s="208"/>
      <c r="AV48" s="209"/>
      <c r="AW48" s="9" t="str">
        <f t="shared" si="12"/>
        <v>0</v>
      </c>
      <c r="AX48" s="7" t="e">
        <f t="shared" si="1"/>
        <v>#DIV/0!</v>
      </c>
      <c r="AY48" s="18" t="e">
        <f t="shared" si="1"/>
        <v>#DIV/0!</v>
      </c>
      <c r="AZ48" s="232"/>
      <c r="BA48" s="4" t="e">
        <f t="shared" si="2"/>
        <v>#DIV/0!</v>
      </c>
      <c r="BB48" s="4" t="e">
        <f t="shared" si="13"/>
        <v>#DIV/0!</v>
      </c>
      <c r="BC48" s="4" t="e">
        <f t="shared" si="14"/>
        <v>#DIV/0!</v>
      </c>
      <c r="BD48" s="4">
        <f t="shared" si="15"/>
        <v>0</v>
      </c>
      <c r="BE48" s="12" t="e">
        <f t="shared" si="3"/>
        <v>#DIV/0!</v>
      </c>
      <c r="BF48" s="4" t="e">
        <f t="shared" si="16"/>
        <v>#DIV/0!</v>
      </c>
      <c r="BG48" s="4" t="e">
        <f t="shared" si="17"/>
        <v>#DIV/0!</v>
      </c>
      <c r="BH48" s="4" t="e">
        <f t="shared" si="18"/>
        <v>#DIV/0!</v>
      </c>
      <c r="BI48" s="4">
        <f t="shared" si="19"/>
        <v>0</v>
      </c>
      <c r="BJ48" s="12" t="e">
        <f t="shared" si="4"/>
        <v>#DIV/0!</v>
      </c>
      <c r="BK48" s="12" t="e">
        <f t="shared" si="5"/>
        <v>#DIV/0!</v>
      </c>
      <c r="BL48" s="12"/>
      <c r="BM48" s="10"/>
      <c r="BN48" s="176"/>
      <c r="BO48" s="12" t="e">
        <f t="shared" si="48"/>
        <v>#DIV/0!</v>
      </c>
      <c r="BP48" s="11"/>
      <c r="BQ48" s="6"/>
      <c r="BR48" s="6"/>
    </row>
    <row r="49" spans="1:70" ht="20.25" customHeight="1">
      <c r="A49" s="332">
        <v>19</v>
      </c>
      <c r="B49" s="324"/>
      <c r="C49" s="324"/>
      <c r="D49" s="323"/>
      <c r="E49" s="22">
        <v>1</v>
      </c>
      <c r="F49" s="17"/>
      <c r="G49" s="17"/>
      <c r="H49" s="17"/>
      <c r="I49" s="17"/>
      <c r="J49" s="17"/>
      <c r="K49" s="8" t="e">
        <f t="shared" si="6"/>
        <v>#DIV/0!</v>
      </c>
      <c r="L49" s="17"/>
      <c r="M49" s="17"/>
      <c r="N49" s="17"/>
      <c r="O49" s="17"/>
      <c r="P49" s="17"/>
      <c r="Q49" s="9" t="e">
        <f t="shared" si="23"/>
        <v>#DIV/0!</v>
      </c>
      <c r="R49" s="17"/>
      <c r="S49" s="17"/>
      <c r="T49" s="17"/>
      <c r="U49" s="17"/>
      <c r="V49" s="17"/>
      <c r="W49" s="9" t="e">
        <f t="shared" si="7"/>
        <v>#DIV/0!</v>
      </c>
      <c r="X49" s="233"/>
      <c r="Y49" s="234"/>
      <c r="Z49" s="9" t="str">
        <f t="shared" si="8"/>
        <v>0</v>
      </c>
      <c r="AA49" s="7" t="e">
        <f t="shared" si="0"/>
        <v>#DIV/0!</v>
      </c>
      <c r="AB49" s="365"/>
      <c r="AC49" s="17"/>
      <c r="AD49" s="17"/>
      <c r="AE49" s="17"/>
      <c r="AF49" s="17"/>
      <c r="AG49" s="17"/>
      <c r="AH49" s="9" t="e">
        <f t="shared" si="9"/>
        <v>#DIV/0!</v>
      </c>
      <c r="AI49" s="17"/>
      <c r="AJ49" s="17"/>
      <c r="AK49" s="17"/>
      <c r="AL49" s="17"/>
      <c r="AM49" s="17"/>
      <c r="AN49" s="9" t="e">
        <f t="shared" si="10"/>
        <v>#DIV/0!</v>
      </c>
      <c r="AO49" s="17"/>
      <c r="AP49" s="17"/>
      <c r="AQ49" s="17"/>
      <c r="AR49" s="17"/>
      <c r="AS49" s="17"/>
      <c r="AT49" s="9" t="e">
        <f t="shared" si="11"/>
        <v>#DIV/0!</v>
      </c>
      <c r="AU49" s="208"/>
      <c r="AV49" s="209"/>
      <c r="AW49" s="9" t="str">
        <f t="shared" si="12"/>
        <v>0</v>
      </c>
      <c r="AX49" s="7" t="e">
        <f t="shared" si="1"/>
        <v>#DIV/0!</v>
      </c>
      <c r="AY49" s="18" t="e">
        <f t="shared" si="1"/>
        <v>#DIV/0!</v>
      </c>
      <c r="AZ49" s="231" t="e">
        <f t="shared" ref="AZ49" si="50">IF(BP49&gt;=4.5, " 5 ", IF(BP49&gt;=3.5," 4 ",IF(BP49&gt;=2.5," 3  ",IF(BP49&gt;=1.5," 2 ",IF(BP49&gt;=1,"1 ",IF(BP49&gt;=0,"0"))))))</f>
        <v>#DIV/0!</v>
      </c>
      <c r="BA49" s="4" t="e">
        <f t="shared" si="2"/>
        <v>#DIV/0!</v>
      </c>
      <c r="BB49" s="4" t="e">
        <f t="shared" si="13"/>
        <v>#DIV/0!</v>
      </c>
      <c r="BC49" s="4" t="e">
        <f t="shared" si="14"/>
        <v>#DIV/0!</v>
      </c>
      <c r="BD49" s="4">
        <f t="shared" si="15"/>
        <v>0</v>
      </c>
      <c r="BE49" s="12" t="e">
        <f t="shared" si="3"/>
        <v>#DIV/0!</v>
      </c>
      <c r="BF49" s="4" t="e">
        <f t="shared" si="16"/>
        <v>#DIV/0!</v>
      </c>
      <c r="BG49" s="4" t="e">
        <f t="shared" si="17"/>
        <v>#DIV/0!</v>
      </c>
      <c r="BH49" s="4" t="e">
        <f t="shared" si="18"/>
        <v>#DIV/0!</v>
      </c>
      <c r="BI49" s="4">
        <f t="shared" si="19"/>
        <v>0</v>
      </c>
      <c r="BJ49" s="12" t="e">
        <f t="shared" si="4"/>
        <v>#DIV/0!</v>
      </c>
      <c r="BK49" s="12" t="e">
        <f t="shared" si="5"/>
        <v>#DIV/0!</v>
      </c>
      <c r="BL49" s="12" t="e">
        <f>(BE49+BJ49)/2</f>
        <v>#DIV/0!</v>
      </c>
      <c r="BM49" s="10" t="e">
        <f t="shared" si="21"/>
        <v>#DIV/0!</v>
      </c>
      <c r="BN49" s="176" t="e">
        <f t="shared" si="33"/>
        <v>#DIV/0!</v>
      </c>
      <c r="BO49" s="12"/>
      <c r="BP49" s="11" t="e">
        <f t="shared" si="25"/>
        <v>#DIV/0!</v>
      </c>
      <c r="BQ49" s="6"/>
      <c r="BR49" s="6"/>
    </row>
    <row r="50" spans="1:70" ht="20.25" customHeight="1" thickBot="1">
      <c r="A50" s="333"/>
      <c r="B50" s="324"/>
      <c r="C50" s="324"/>
      <c r="D50" s="323"/>
      <c r="E50" s="23">
        <v>2</v>
      </c>
      <c r="F50" s="17"/>
      <c r="G50" s="17"/>
      <c r="H50" s="17"/>
      <c r="I50" s="17"/>
      <c r="J50" s="17"/>
      <c r="K50" s="8" t="e">
        <f t="shared" si="6"/>
        <v>#DIV/0!</v>
      </c>
      <c r="L50" s="17"/>
      <c r="M50" s="17"/>
      <c r="N50" s="17"/>
      <c r="O50" s="17"/>
      <c r="P50" s="17"/>
      <c r="Q50" s="9" t="e">
        <f t="shared" si="23"/>
        <v>#DIV/0!</v>
      </c>
      <c r="R50" s="17"/>
      <c r="S50" s="17"/>
      <c r="T50" s="17"/>
      <c r="U50" s="17"/>
      <c r="V50" s="17"/>
      <c r="W50" s="9" t="e">
        <f t="shared" si="7"/>
        <v>#DIV/0!</v>
      </c>
      <c r="X50" s="233"/>
      <c r="Y50" s="234"/>
      <c r="Z50" s="9" t="str">
        <f t="shared" si="8"/>
        <v>0</v>
      </c>
      <c r="AA50" s="7" t="e">
        <f t="shared" si="0"/>
        <v>#DIV/0!</v>
      </c>
      <c r="AB50" s="365"/>
      <c r="AC50" s="17"/>
      <c r="AD50" s="17"/>
      <c r="AE50" s="17"/>
      <c r="AF50" s="17"/>
      <c r="AG50" s="17"/>
      <c r="AH50" s="9" t="e">
        <f t="shared" si="9"/>
        <v>#DIV/0!</v>
      </c>
      <c r="AI50" s="17"/>
      <c r="AJ50" s="17"/>
      <c r="AK50" s="17"/>
      <c r="AL50" s="17"/>
      <c r="AM50" s="17"/>
      <c r="AN50" s="9" t="e">
        <f t="shared" si="10"/>
        <v>#DIV/0!</v>
      </c>
      <c r="AO50" s="17"/>
      <c r="AP50" s="17"/>
      <c r="AQ50" s="17"/>
      <c r="AR50" s="17"/>
      <c r="AS50" s="17"/>
      <c r="AT50" s="9" t="e">
        <f t="shared" si="11"/>
        <v>#DIV/0!</v>
      </c>
      <c r="AU50" s="208"/>
      <c r="AV50" s="209"/>
      <c r="AW50" s="9" t="str">
        <f t="shared" si="12"/>
        <v>0</v>
      </c>
      <c r="AX50" s="7" t="e">
        <f t="shared" si="1"/>
        <v>#DIV/0!</v>
      </c>
      <c r="AY50" s="18" t="e">
        <f t="shared" si="1"/>
        <v>#DIV/0!</v>
      </c>
      <c r="AZ50" s="232"/>
      <c r="BA50" s="4" t="e">
        <f t="shared" si="2"/>
        <v>#DIV/0!</v>
      </c>
      <c r="BB50" s="4" t="e">
        <f t="shared" si="13"/>
        <v>#DIV/0!</v>
      </c>
      <c r="BC50" s="4" t="e">
        <f t="shared" si="14"/>
        <v>#DIV/0!</v>
      </c>
      <c r="BD50" s="4">
        <f t="shared" si="15"/>
        <v>0</v>
      </c>
      <c r="BE50" s="12" t="e">
        <f t="shared" si="3"/>
        <v>#DIV/0!</v>
      </c>
      <c r="BF50" s="4" t="e">
        <f t="shared" si="16"/>
        <v>#DIV/0!</v>
      </c>
      <c r="BG50" s="4" t="e">
        <f t="shared" si="17"/>
        <v>#DIV/0!</v>
      </c>
      <c r="BH50" s="4" t="e">
        <f t="shared" si="18"/>
        <v>#DIV/0!</v>
      </c>
      <c r="BI50" s="4">
        <f t="shared" si="19"/>
        <v>0</v>
      </c>
      <c r="BJ50" s="12" t="e">
        <f t="shared" si="4"/>
        <v>#DIV/0!</v>
      </c>
      <c r="BK50" s="12" t="e">
        <f t="shared" si="5"/>
        <v>#DIV/0!</v>
      </c>
      <c r="BL50" s="12"/>
      <c r="BM50" s="10"/>
      <c r="BN50" s="176"/>
      <c r="BO50" s="12" t="e">
        <f t="shared" si="48"/>
        <v>#DIV/0!</v>
      </c>
      <c r="BP50" s="11"/>
      <c r="BQ50" s="6"/>
      <c r="BR50" s="6"/>
    </row>
    <row r="51" spans="1:70" ht="20.25" customHeight="1">
      <c r="A51" s="332">
        <v>20</v>
      </c>
      <c r="B51" s="324"/>
      <c r="C51" s="324"/>
      <c r="D51" s="323"/>
      <c r="E51" s="22">
        <v>1</v>
      </c>
      <c r="F51" s="17"/>
      <c r="G51" s="17"/>
      <c r="H51" s="17"/>
      <c r="I51" s="17"/>
      <c r="J51" s="17"/>
      <c r="K51" s="8" t="e">
        <f t="shared" si="6"/>
        <v>#DIV/0!</v>
      </c>
      <c r="L51" s="17"/>
      <c r="M51" s="17"/>
      <c r="N51" s="17"/>
      <c r="O51" s="17"/>
      <c r="P51" s="17"/>
      <c r="Q51" s="9" t="e">
        <f t="shared" si="23"/>
        <v>#DIV/0!</v>
      </c>
      <c r="R51" s="17"/>
      <c r="S51" s="17"/>
      <c r="T51" s="17"/>
      <c r="U51" s="17"/>
      <c r="V51" s="17"/>
      <c r="W51" s="9" t="e">
        <f t="shared" si="7"/>
        <v>#DIV/0!</v>
      </c>
      <c r="X51" s="233"/>
      <c r="Y51" s="234"/>
      <c r="Z51" s="9" t="str">
        <f t="shared" si="8"/>
        <v>0</v>
      </c>
      <c r="AA51" s="7" t="e">
        <f t="shared" si="0"/>
        <v>#DIV/0!</v>
      </c>
      <c r="AB51" s="365"/>
      <c r="AC51" s="17"/>
      <c r="AD51" s="17"/>
      <c r="AE51" s="17"/>
      <c r="AF51" s="17"/>
      <c r="AG51" s="17"/>
      <c r="AH51" s="9" t="e">
        <f t="shared" si="9"/>
        <v>#DIV/0!</v>
      </c>
      <c r="AI51" s="17"/>
      <c r="AJ51" s="17"/>
      <c r="AK51" s="17"/>
      <c r="AL51" s="17"/>
      <c r="AM51" s="17"/>
      <c r="AN51" s="9" t="e">
        <f t="shared" si="10"/>
        <v>#DIV/0!</v>
      </c>
      <c r="AO51" s="17"/>
      <c r="AP51" s="17"/>
      <c r="AQ51" s="17"/>
      <c r="AR51" s="17"/>
      <c r="AS51" s="17"/>
      <c r="AT51" s="9" t="e">
        <f t="shared" si="11"/>
        <v>#DIV/0!</v>
      </c>
      <c r="AU51" s="208"/>
      <c r="AV51" s="209"/>
      <c r="AW51" s="9" t="str">
        <f t="shared" si="12"/>
        <v>0</v>
      </c>
      <c r="AX51" s="7" t="e">
        <f t="shared" si="1"/>
        <v>#DIV/0!</v>
      </c>
      <c r="AY51" s="18" t="e">
        <f t="shared" si="1"/>
        <v>#DIV/0!</v>
      </c>
      <c r="AZ51" s="231" t="e">
        <f t="shared" ref="AZ51" si="51">IF(BP51&gt;=4.5, " 5 ", IF(BP51&gt;=3.5," 4 ",IF(BP51&gt;=2.5," 3  ",IF(BP51&gt;=1.5," 2 ",IF(BP51&gt;=1,"1 ",IF(BP51&gt;=0,"0"))))))</f>
        <v>#DIV/0!</v>
      </c>
      <c r="BA51" s="4" t="e">
        <f t="shared" si="2"/>
        <v>#DIV/0!</v>
      </c>
      <c r="BB51" s="4" t="e">
        <f t="shared" si="13"/>
        <v>#DIV/0!</v>
      </c>
      <c r="BC51" s="4" t="e">
        <f t="shared" si="14"/>
        <v>#DIV/0!</v>
      </c>
      <c r="BD51" s="4">
        <f t="shared" si="15"/>
        <v>0</v>
      </c>
      <c r="BE51" s="12" t="e">
        <f t="shared" si="3"/>
        <v>#DIV/0!</v>
      </c>
      <c r="BF51" s="4" t="e">
        <f t="shared" si="16"/>
        <v>#DIV/0!</v>
      </c>
      <c r="BG51" s="4" t="e">
        <f t="shared" si="17"/>
        <v>#DIV/0!</v>
      </c>
      <c r="BH51" s="4" t="e">
        <f t="shared" si="18"/>
        <v>#DIV/0!</v>
      </c>
      <c r="BI51" s="4">
        <f t="shared" si="19"/>
        <v>0</v>
      </c>
      <c r="BJ51" s="12" t="e">
        <f t="shared" si="4"/>
        <v>#DIV/0!</v>
      </c>
      <c r="BK51" s="12" t="e">
        <f t="shared" si="5"/>
        <v>#DIV/0!</v>
      </c>
      <c r="BL51" s="12" t="e">
        <f>(BE51+BJ51)/2</f>
        <v>#DIV/0!</v>
      </c>
      <c r="BM51" s="10" t="e">
        <f t="shared" si="21"/>
        <v>#DIV/0!</v>
      </c>
      <c r="BN51" s="176" t="e">
        <f t="shared" si="35"/>
        <v>#DIV/0!</v>
      </c>
      <c r="BO51" s="12"/>
      <c r="BP51" s="11" t="e">
        <f t="shared" si="25"/>
        <v>#DIV/0!</v>
      </c>
      <c r="BQ51" s="6"/>
      <c r="BR51" s="6"/>
    </row>
    <row r="52" spans="1:70" ht="20.25" customHeight="1" thickBot="1">
      <c r="A52" s="333"/>
      <c r="B52" s="324"/>
      <c r="C52" s="324"/>
      <c r="D52" s="323"/>
      <c r="E52" s="23">
        <v>2</v>
      </c>
      <c r="F52" s="17"/>
      <c r="G52" s="17"/>
      <c r="H52" s="17"/>
      <c r="I52" s="17"/>
      <c r="J52" s="17"/>
      <c r="K52" s="8" t="e">
        <f t="shared" si="6"/>
        <v>#DIV/0!</v>
      </c>
      <c r="L52" s="17"/>
      <c r="M52" s="17"/>
      <c r="N52" s="17"/>
      <c r="O52" s="17"/>
      <c r="P52" s="17"/>
      <c r="Q52" s="9" t="e">
        <f t="shared" si="23"/>
        <v>#DIV/0!</v>
      </c>
      <c r="R52" s="17"/>
      <c r="S52" s="17"/>
      <c r="T52" s="17"/>
      <c r="U52" s="17"/>
      <c r="V52" s="17"/>
      <c r="W52" s="9" t="e">
        <f t="shared" si="7"/>
        <v>#DIV/0!</v>
      </c>
      <c r="X52" s="233"/>
      <c r="Y52" s="234"/>
      <c r="Z52" s="9" t="str">
        <f t="shared" si="8"/>
        <v>0</v>
      </c>
      <c r="AA52" s="7" t="e">
        <f t="shared" si="0"/>
        <v>#DIV/0!</v>
      </c>
      <c r="AB52" s="365"/>
      <c r="AC52" s="17"/>
      <c r="AD52" s="17"/>
      <c r="AE52" s="17"/>
      <c r="AF52" s="17"/>
      <c r="AG52" s="17"/>
      <c r="AH52" s="9" t="e">
        <f t="shared" si="9"/>
        <v>#DIV/0!</v>
      </c>
      <c r="AI52" s="17"/>
      <c r="AJ52" s="17"/>
      <c r="AK52" s="17"/>
      <c r="AL52" s="17"/>
      <c r="AM52" s="17"/>
      <c r="AN52" s="9" t="e">
        <f t="shared" si="10"/>
        <v>#DIV/0!</v>
      </c>
      <c r="AO52" s="17"/>
      <c r="AP52" s="17"/>
      <c r="AQ52" s="17"/>
      <c r="AR52" s="17"/>
      <c r="AS52" s="17"/>
      <c r="AT52" s="9" t="e">
        <f t="shared" si="11"/>
        <v>#DIV/0!</v>
      </c>
      <c r="AU52" s="208"/>
      <c r="AV52" s="209"/>
      <c r="AW52" s="9" t="str">
        <f t="shared" si="12"/>
        <v>0</v>
      </c>
      <c r="AX52" s="7" t="e">
        <f t="shared" si="1"/>
        <v>#DIV/0!</v>
      </c>
      <c r="AY52" s="18" t="e">
        <f t="shared" si="1"/>
        <v>#DIV/0!</v>
      </c>
      <c r="AZ52" s="232"/>
      <c r="BA52" s="4" t="e">
        <f t="shared" si="2"/>
        <v>#DIV/0!</v>
      </c>
      <c r="BB52" s="4" t="e">
        <f t="shared" si="13"/>
        <v>#DIV/0!</v>
      </c>
      <c r="BC52" s="4" t="e">
        <f t="shared" si="14"/>
        <v>#DIV/0!</v>
      </c>
      <c r="BD52" s="4">
        <f t="shared" si="15"/>
        <v>0</v>
      </c>
      <c r="BE52" s="12" t="e">
        <f t="shared" si="3"/>
        <v>#DIV/0!</v>
      </c>
      <c r="BF52" s="4" t="e">
        <f t="shared" si="16"/>
        <v>#DIV/0!</v>
      </c>
      <c r="BG52" s="4" t="e">
        <f t="shared" si="17"/>
        <v>#DIV/0!</v>
      </c>
      <c r="BH52" s="4" t="e">
        <f t="shared" si="18"/>
        <v>#DIV/0!</v>
      </c>
      <c r="BI52" s="4">
        <f t="shared" si="19"/>
        <v>0</v>
      </c>
      <c r="BJ52" s="12" t="e">
        <f t="shared" si="4"/>
        <v>#DIV/0!</v>
      </c>
      <c r="BK52" s="12" t="e">
        <f t="shared" si="5"/>
        <v>#DIV/0!</v>
      </c>
      <c r="BL52" s="12"/>
      <c r="BM52" s="10"/>
      <c r="BN52" s="176"/>
      <c r="BO52" s="12" t="e">
        <f t="shared" si="48"/>
        <v>#DIV/0!</v>
      </c>
      <c r="BP52" s="11"/>
      <c r="BQ52" s="6"/>
      <c r="BR52" s="6"/>
    </row>
    <row r="53" spans="1:70" ht="20.25" customHeight="1">
      <c r="A53" s="332">
        <v>21</v>
      </c>
      <c r="B53" s="353"/>
      <c r="C53" s="354"/>
      <c r="D53" s="355"/>
      <c r="E53" s="22">
        <v>1</v>
      </c>
      <c r="F53" s="17"/>
      <c r="G53" s="17"/>
      <c r="H53" s="17"/>
      <c r="I53" s="17"/>
      <c r="J53" s="17"/>
      <c r="K53" s="8" t="e">
        <f t="shared" si="6"/>
        <v>#DIV/0!</v>
      </c>
      <c r="L53" s="17"/>
      <c r="M53" s="17"/>
      <c r="N53" s="17"/>
      <c r="O53" s="17"/>
      <c r="P53" s="17"/>
      <c r="Q53" s="9" t="e">
        <f t="shared" si="23"/>
        <v>#DIV/0!</v>
      </c>
      <c r="R53" s="17"/>
      <c r="S53" s="17"/>
      <c r="T53" s="17"/>
      <c r="U53" s="17"/>
      <c r="V53" s="17"/>
      <c r="W53" s="9" t="e">
        <f t="shared" si="7"/>
        <v>#DIV/0!</v>
      </c>
      <c r="X53" s="233"/>
      <c r="Y53" s="234"/>
      <c r="Z53" s="9" t="str">
        <f t="shared" si="8"/>
        <v>0</v>
      </c>
      <c r="AA53" s="7" t="e">
        <f t="shared" si="0"/>
        <v>#DIV/0!</v>
      </c>
      <c r="AB53" s="365"/>
      <c r="AC53" s="17"/>
      <c r="AD53" s="17"/>
      <c r="AE53" s="17"/>
      <c r="AF53" s="17"/>
      <c r="AG53" s="17"/>
      <c r="AH53" s="9" t="e">
        <f t="shared" si="9"/>
        <v>#DIV/0!</v>
      </c>
      <c r="AI53" s="17"/>
      <c r="AJ53" s="17"/>
      <c r="AK53" s="17"/>
      <c r="AL53" s="17"/>
      <c r="AM53" s="17"/>
      <c r="AN53" s="9" t="e">
        <f t="shared" si="10"/>
        <v>#DIV/0!</v>
      </c>
      <c r="AO53" s="17"/>
      <c r="AP53" s="17"/>
      <c r="AQ53" s="17"/>
      <c r="AR53" s="17"/>
      <c r="AS53" s="17"/>
      <c r="AT53" s="9" t="e">
        <f t="shared" si="11"/>
        <v>#DIV/0!</v>
      </c>
      <c r="AU53" s="208"/>
      <c r="AV53" s="209"/>
      <c r="AW53" s="9" t="str">
        <f t="shared" si="12"/>
        <v>0</v>
      </c>
      <c r="AX53" s="7" t="e">
        <f t="shared" si="1"/>
        <v>#DIV/0!</v>
      </c>
      <c r="AY53" s="18" t="e">
        <f t="shared" si="1"/>
        <v>#DIV/0!</v>
      </c>
      <c r="AZ53" s="231" t="e">
        <f t="shared" ref="AZ53" si="52">IF(BP53&gt;=4.5, " 5 ", IF(BP53&gt;=3.5," 4 ",IF(BP53&gt;=2.5," 3  ",IF(BP53&gt;=1.5," 2 ",IF(BP53&gt;=1,"1 ",IF(BP53&gt;=0,"0"))))))</f>
        <v>#DIV/0!</v>
      </c>
      <c r="BA53" s="4" t="e">
        <f t="shared" si="2"/>
        <v>#DIV/0!</v>
      </c>
      <c r="BB53" s="4" t="e">
        <f t="shared" si="13"/>
        <v>#DIV/0!</v>
      </c>
      <c r="BC53" s="4" t="e">
        <f t="shared" si="14"/>
        <v>#DIV/0!</v>
      </c>
      <c r="BD53" s="4">
        <f t="shared" si="15"/>
        <v>0</v>
      </c>
      <c r="BE53" s="12" t="e">
        <f t="shared" si="3"/>
        <v>#DIV/0!</v>
      </c>
      <c r="BF53" s="4" t="e">
        <f t="shared" si="16"/>
        <v>#DIV/0!</v>
      </c>
      <c r="BG53" s="4" t="e">
        <f t="shared" si="17"/>
        <v>#DIV/0!</v>
      </c>
      <c r="BH53" s="4" t="e">
        <f t="shared" si="18"/>
        <v>#DIV/0!</v>
      </c>
      <c r="BI53" s="4">
        <f t="shared" si="19"/>
        <v>0</v>
      </c>
      <c r="BJ53" s="12" t="e">
        <f t="shared" si="4"/>
        <v>#DIV/0!</v>
      </c>
      <c r="BK53" s="12" t="e">
        <f t="shared" si="5"/>
        <v>#DIV/0!</v>
      </c>
      <c r="BL53" s="12" t="e">
        <f>(BE53+BJ53)/2</f>
        <v>#DIV/0!</v>
      </c>
      <c r="BM53" s="10" t="e">
        <f t="shared" si="21"/>
        <v>#DIV/0!</v>
      </c>
      <c r="BN53" s="176" t="e">
        <f t="shared" ref="BN53" si="53">ROUND(BO54,)</f>
        <v>#DIV/0!</v>
      </c>
      <c r="BO53" s="12"/>
      <c r="BP53" s="11" t="e">
        <f t="shared" si="25"/>
        <v>#DIV/0!</v>
      </c>
      <c r="BQ53" s="6"/>
      <c r="BR53" s="6"/>
    </row>
    <row r="54" spans="1:70" ht="20.25" customHeight="1" thickBot="1">
      <c r="A54" s="333"/>
      <c r="B54" s="353"/>
      <c r="C54" s="354"/>
      <c r="D54" s="355"/>
      <c r="E54" s="23">
        <v>2</v>
      </c>
      <c r="F54" s="17"/>
      <c r="G54" s="17"/>
      <c r="H54" s="17"/>
      <c r="I54" s="17"/>
      <c r="J54" s="17"/>
      <c r="K54" s="8" t="e">
        <f t="shared" si="6"/>
        <v>#DIV/0!</v>
      </c>
      <c r="L54" s="17"/>
      <c r="M54" s="17"/>
      <c r="N54" s="17"/>
      <c r="O54" s="17"/>
      <c r="P54" s="17"/>
      <c r="Q54" s="9" t="e">
        <f t="shared" si="23"/>
        <v>#DIV/0!</v>
      </c>
      <c r="R54" s="17"/>
      <c r="S54" s="17"/>
      <c r="T54" s="17"/>
      <c r="U54" s="17"/>
      <c r="V54" s="17"/>
      <c r="W54" s="9" t="e">
        <f t="shared" si="7"/>
        <v>#DIV/0!</v>
      </c>
      <c r="X54" s="233"/>
      <c r="Y54" s="234"/>
      <c r="Z54" s="9" t="str">
        <f t="shared" si="8"/>
        <v>0</v>
      </c>
      <c r="AA54" s="7" t="e">
        <f t="shared" si="0"/>
        <v>#DIV/0!</v>
      </c>
      <c r="AB54" s="365"/>
      <c r="AC54" s="17"/>
      <c r="AD54" s="17"/>
      <c r="AE54" s="17"/>
      <c r="AF54" s="17"/>
      <c r="AG54" s="17"/>
      <c r="AH54" s="9" t="e">
        <f t="shared" si="9"/>
        <v>#DIV/0!</v>
      </c>
      <c r="AI54" s="17"/>
      <c r="AJ54" s="17"/>
      <c r="AK54" s="17"/>
      <c r="AL54" s="17"/>
      <c r="AM54" s="17"/>
      <c r="AN54" s="9" t="e">
        <f t="shared" si="10"/>
        <v>#DIV/0!</v>
      </c>
      <c r="AO54" s="17"/>
      <c r="AP54" s="17"/>
      <c r="AQ54" s="17"/>
      <c r="AR54" s="17"/>
      <c r="AS54" s="17"/>
      <c r="AT54" s="9" t="e">
        <f t="shared" si="11"/>
        <v>#DIV/0!</v>
      </c>
      <c r="AU54" s="208"/>
      <c r="AV54" s="209"/>
      <c r="AW54" s="9" t="str">
        <f t="shared" si="12"/>
        <v>0</v>
      </c>
      <c r="AX54" s="7" t="e">
        <f t="shared" si="1"/>
        <v>#DIV/0!</v>
      </c>
      <c r="AY54" s="18" t="e">
        <f t="shared" si="1"/>
        <v>#DIV/0!</v>
      </c>
      <c r="AZ54" s="232"/>
      <c r="BA54" s="4" t="e">
        <f t="shared" si="2"/>
        <v>#DIV/0!</v>
      </c>
      <c r="BB54" s="4" t="e">
        <f t="shared" si="13"/>
        <v>#DIV/0!</v>
      </c>
      <c r="BC54" s="4" t="e">
        <f t="shared" si="14"/>
        <v>#DIV/0!</v>
      </c>
      <c r="BD54" s="4">
        <f t="shared" si="15"/>
        <v>0</v>
      </c>
      <c r="BE54" s="12" t="e">
        <f t="shared" si="3"/>
        <v>#DIV/0!</v>
      </c>
      <c r="BF54" s="4" t="e">
        <f t="shared" si="16"/>
        <v>#DIV/0!</v>
      </c>
      <c r="BG54" s="4" t="e">
        <f t="shared" si="17"/>
        <v>#DIV/0!</v>
      </c>
      <c r="BH54" s="4" t="e">
        <f t="shared" si="18"/>
        <v>#DIV/0!</v>
      </c>
      <c r="BI54" s="4">
        <f t="shared" si="19"/>
        <v>0</v>
      </c>
      <c r="BJ54" s="12" t="e">
        <f t="shared" si="4"/>
        <v>#DIV/0!</v>
      </c>
      <c r="BK54" s="12" t="e">
        <f t="shared" si="5"/>
        <v>#DIV/0!</v>
      </c>
      <c r="BL54" s="12"/>
      <c r="BM54" s="10"/>
      <c r="BN54" s="176"/>
      <c r="BO54" s="12" t="e">
        <f t="shared" si="48"/>
        <v>#DIV/0!</v>
      </c>
      <c r="BP54" s="11"/>
      <c r="BQ54" s="6"/>
      <c r="BR54" s="6"/>
    </row>
    <row r="55" spans="1:70" ht="20.25" customHeight="1">
      <c r="A55" s="326">
        <v>22</v>
      </c>
      <c r="B55" s="353"/>
      <c r="C55" s="354"/>
      <c r="D55" s="355"/>
      <c r="E55" s="24">
        <v>1</v>
      </c>
      <c r="F55" s="17"/>
      <c r="G55" s="17"/>
      <c r="H55" s="17"/>
      <c r="I55" s="17"/>
      <c r="J55" s="17"/>
      <c r="K55" s="8" t="e">
        <f t="shared" si="6"/>
        <v>#DIV/0!</v>
      </c>
      <c r="L55" s="17"/>
      <c r="M55" s="17"/>
      <c r="N55" s="17"/>
      <c r="O55" s="17"/>
      <c r="P55" s="17"/>
      <c r="Q55" s="9" t="e">
        <f t="shared" si="23"/>
        <v>#DIV/0!</v>
      </c>
      <c r="R55" s="17"/>
      <c r="S55" s="17"/>
      <c r="T55" s="17"/>
      <c r="U55" s="17"/>
      <c r="V55" s="17"/>
      <c r="W55" s="9" t="e">
        <f t="shared" si="7"/>
        <v>#DIV/0!</v>
      </c>
      <c r="X55" s="233"/>
      <c r="Y55" s="234"/>
      <c r="Z55" s="9" t="str">
        <f t="shared" si="8"/>
        <v>0</v>
      </c>
      <c r="AA55" s="7" t="e">
        <f t="shared" si="0"/>
        <v>#DIV/0!</v>
      </c>
      <c r="AB55" s="365"/>
      <c r="AC55" s="17"/>
      <c r="AD55" s="17"/>
      <c r="AE55" s="17"/>
      <c r="AF55" s="17"/>
      <c r="AG55" s="17"/>
      <c r="AH55" s="9" t="e">
        <f t="shared" si="9"/>
        <v>#DIV/0!</v>
      </c>
      <c r="AI55" s="17"/>
      <c r="AJ55" s="17"/>
      <c r="AK55" s="17"/>
      <c r="AL55" s="17"/>
      <c r="AM55" s="17"/>
      <c r="AN55" s="9" t="e">
        <f t="shared" si="10"/>
        <v>#DIV/0!</v>
      </c>
      <c r="AO55" s="17"/>
      <c r="AP55" s="17"/>
      <c r="AQ55" s="17"/>
      <c r="AR55" s="17"/>
      <c r="AS55" s="17"/>
      <c r="AT55" s="9" t="e">
        <f t="shared" si="11"/>
        <v>#DIV/0!</v>
      </c>
      <c r="AU55" s="208"/>
      <c r="AV55" s="209"/>
      <c r="AW55" s="9" t="str">
        <f t="shared" si="12"/>
        <v>0</v>
      </c>
      <c r="AX55" s="7" t="e">
        <f t="shared" si="1"/>
        <v>#DIV/0!</v>
      </c>
      <c r="AY55" s="18" t="e">
        <f t="shared" si="1"/>
        <v>#DIV/0!</v>
      </c>
      <c r="AZ55" s="231" t="e">
        <f t="shared" ref="AZ55" si="54">IF(BP55&gt;=4.5, " 5 ", IF(BP55&gt;=3.5," 4 ",IF(BP55&gt;=2.5," 3  ",IF(BP55&gt;=1.5," 2 ",IF(BP55&gt;=1,"1 ",IF(BP55&gt;=0,"0"))))))</f>
        <v>#DIV/0!</v>
      </c>
      <c r="BA55" s="4" t="e">
        <f t="shared" si="2"/>
        <v>#DIV/0!</v>
      </c>
      <c r="BB55" s="4" t="e">
        <f t="shared" si="13"/>
        <v>#DIV/0!</v>
      </c>
      <c r="BC55" s="4" t="e">
        <f t="shared" si="14"/>
        <v>#DIV/0!</v>
      </c>
      <c r="BD55" s="4">
        <f t="shared" si="15"/>
        <v>0</v>
      </c>
      <c r="BE55" s="12" t="e">
        <f t="shared" si="3"/>
        <v>#DIV/0!</v>
      </c>
      <c r="BF55" s="4" t="e">
        <f t="shared" si="16"/>
        <v>#DIV/0!</v>
      </c>
      <c r="BG55" s="4" t="e">
        <f t="shared" si="17"/>
        <v>#DIV/0!</v>
      </c>
      <c r="BH55" s="4" t="e">
        <f t="shared" si="18"/>
        <v>#DIV/0!</v>
      </c>
      <c r="BI55" s="4">
        <f t="shared" si="19"/>
        <v>0</v>
      </c>
      <c r="BJ55" s="12" t="e">
        <f t="shared" si="4"/>
        <v>#DIV/0!</v>
      </c>
      <c r="BK55" s="12" t="e">
        <f t="shared" si="5"/>
        <v>#DIV/0!</v>
      </c>
      <c r="BL55" s="12" t="e">
        <f>(BE55+BJ55)/2</f>
        <v>#DIV/0!</v>
      </c>
      <c r="BM55" s="10" t="e">
        <f t="shared" si="21"/>
        <v>#DIV/0!</v>
      </c>
      <c r="BN55" s="176" t="e">
        <f t="shared" si="31"/>
        <v>#DIV/0!</v>
      </c>
      <c r="BO55" s="12"/>
      <c r="BP55" s="11" t="e">
        <f t="shared" si="25"/>
        <v>#DIV/0!</v>
      </c>
      <c r="BQ55" s="6"/>
      <c r="BR55" s="6"/>
    </row>
    <row r="56" spans="1:70" ht="20.25" customHeight="1" thickBot="1">
      <c r="A56" s="327"/>
      <c r="B56" s="353"/>
      <c r="C56" s="354"/>
      <c r="D56" s="355"/>
      <c r="E56" s="25">
        <v>2</v>
      </c>
      <c r="F56" s="17"/>
      <c r="G56" s="17"/>
      <c r="H56" s="17"/>
      <c r="I56" s="17"/>
      <c r="J56" s="17"/>
      <c r="K56" s="8" t="e">
        <f t="shared" si="6"/>
        <v>#DIV/0!</v>
      </c>
      <c r="L56" s="17"/>
      <c r="M56" s="17"/>
      <c r="N56" s="17"/>
      <c r="O56" s="17"/>
      <c r="P56" s="17"/>
      <c r="Q56" s="9" t="e">
        <f t="shared" si="23"/>
        <v>#DIV/0!</v>
      </c>
      <c r="R56" s="17"/>
      <c r="S56" s="17"/>
      <c r="T56" s="17"/>
      <c r="U56" s="17"/>
      <c r="V56" s="17"/>
      <c r="W56" s="9" t="e">
        <f t="shared" si="7"/>
        <v>#DIV/0!</v>
      </c>
      <c r="X56" s="233"/>
      <c r="Y56" s="234"/>
      <c r="Z56" s="9" t="str">
        <f t="shared" si="8"/>
        <v>0</v>
      </c>
      <c r="AA56" s="7" t="e">
        <f t="shared" si="0"/>
        <v>#DIV/0!</v>
      </c>
      <c r="AB56" s="365"/>
      <c r="AC56" s="17"/>
      <c r="AD56" s="17"/>
      <c r="AE56" s="17"/>
      <c r="AF56" s="17"/>
      <c r="AG56" s="17"/>
      <c r="AH56" s="9" t="e">
        <f t="shared" si="9"/>
        <v>#DIV/0!</v>
      </c>
      <c r="AI56" s="17"/>
      <c r="AJ56" s="17"/>
      <c r="AK56" s="17"/>
      <c r="AL56" s="17"/>
      <c r="AM56" s="17"/>
      <c r="AN56" s="9" t="e">
        <f t="shared" si="10"/>
        <v>#DIV/0!</v>
      </c>
      <c r="AO56" s="17"/>
      <c r="AP56" s="17"/>
      <c r="AQ56" s="17"/>
      <c r="AR56" s="17"/>
      <c r="AS56" s="17"/>
      <c r="AT56" s="9" t="e">
        <f t="shared" si="11"/>
        <v>#DIV/0!</v>
      </c>
      <c r="AU56" s="208"/>
      <c r="AV56" s="209"/>
      <c r="AW56" s="9" t="str">
        <f t="shared" si="12"/>
        <v>0</v>
      </c>
      <c r="AX56" s="7" t="e">
        <f t="shared" si="1"/>
        <v>#DIV/0!</v>
      </c>
      <c r="AY56" s="18" t="e">
        <f t="shared" si="1"/>
        <v>#DIV/0!</v>
      </c>
      <c r="AZ56" s="232"/>
      <c r="BA56" s="4" t="e">
        <f t="shared" si="2"/>
        <v>#DIV/0!</v>
      </c>
      <c r="BB56" s="4" t="e">
        <f t="shared" si="13"/>
        <v>#DIV/0!</v>
      </c>
      <c r="BC56" s="4" t="e">
        <f t="shared" si="14"/>
        <v>#DIV/0!</v>
      </c>
      <c r="BD56" s="4">
        <f t="shared" si="15"/>
        <v>0</v>
      </c>
      <c r="BE56" s="12" t="e">
        <f t="shared" si="3"/>
        <v>#DIV/0!</v>
      </c>
      <c r="BF56" s="4" t="e">
        <f t="shared" si="16"/>
        <v>#DIV/0!</v>
      </c>
      <c r="BG56" s="4" t="e">
        <f t="shared" si="17"/>
        <v>#DIV/0!</v>
      </c>
      <c r="BH56" s="4" t="e">
        <f t="shared" si="18"/>
        <v>#DIV/0!</v>
      </c>
      <c r="BI56" s="4">
        <f t="shared" si="19"/>
        <v>0</v>
      </c>
      <c r="BJ56" s="12" t="e">
        <f t="shared" si="4"/>
        <v>#DIV/0!</v>
      </c>
      <c r="BK56" s="12" t="e">
        <f t="shared" si="5"/>
        <v>#DIV/0!</v>
      </c>
      <c r="BL56" s="12"/>
      <c r="BM56" s="10"/>
      <c r="BN56" s="176"/>
      <c r="BO56" s="12" t="e">
        <f t="shared" si="48"/>
        <v>#DIV/0!</v>
      </c>
      <c r="BP56" s="11"/>
      <c r="BQ56" s="6"/>
      <c r="BR56" s="6"/>
    </row>
    <row r="57" spans="1:70" ht="20.25" customHeight="1">
      <c r="A57" s="326">
        <v>23</v>
      </c>
      <c r="B57" s="353"/>
      <c r="C57" s="354"/>
      <c r="D57" s="355"/>
      <c r="E57" s="24">
        <v>1</v>
      </c>
      <c r="F57" s="17"/>
      <c r="G57" s="17"/>
      <c r="H57" s="17"/>
      <c r="I57" s="17"/>
      <c r="J57" s="17"/>
      <c r="K57" s="8" t="e">
        <f t="shared" si="6"/>
        <v>#DIV/0!</v>
      </c>
      <c r="L57" s="17"/>
      <c r="M57" s="17"/>
      <c r="N57" s="17"/>
      <c r="O57" s="17"/>
      <c r="P57" s="17"/>
      <c r="Q57" s="9" t="e">
        <f t="shared" si="23"/>
        <v>#DIV/0!</v>
      </c>
      <c r="R57" s="17"/>
      <c r="S57" s="17"/>
      <c r="T57" s="17"/>
      <c r="U57" s="17"/>
      <c r="V57" s="17"/>
      <c r="W57" s="9" t="e">
        <f t="shared" si="7"/>
        <v>#DIV/0!</v>
      </c>
      <c r="X57" s="233"/>
      <c r="Y57" s="234"/>
      <c r="Z57" s="9" t="str">
        <f t="shared" si="8"/>
        <v>0</v>
      </c>
      <c r="AA57" s="7" t="e">
        <f t="shared" si="0"/>
        <v>#DIV/0!</v>
      </c>
      <c r="AB57" s="365"/>
      <c r="AC57" s="17"/>
      <c r="AD57" s="17"/>
      <c r="AE57" s="17"/>
      <c r="AF57" s="17"/>
      <c r="AG57" s="17"/>
      <c r="AH57" s="9" t="e">
        <f t="shared" si="9"/>
        <v>#DIV/0!</v>
      </c>
      <c r="AI57" s="17"/>
      <c r="AJ57" s="17"/>
      <c r="AK57" s="17"/>
      <c r="AL57" s="17"/>
      <c r="AM57" s="17"/>
      <c r="AN57" s="9" t="e">
        <f t="shared" si="10"/>
        <v>#DIV/0!</v>
      </c>
      <c r="AO57" s="17"/>
      <c r="AP57" s="17"/>
      <c r="AQ57" s="17"/>
      <c r="AR57" s="17"/>
      <c r="AS57" s="17"/>
      <c r="AT57" s="9" t="e">
        <f t="shared" si="11"/>
        <v>#DIV/0!</v>
      </c>
      <c r="AU57" s="208"/>
      <c r="AV57" s="209"/>
      <c r="AW57" s="9" t="str">
        <f t="shared" si="12"/>
        <v>0</v>
      </c>
      <c r="AX57" s="7" t="e">
        <f t="shared" si="1"/>
        <v>#DIV/0!</v>
      </c>
      <c r="AY57" s="18" t="e">
        <f t="shared" si="1"/>
        <v>#DIV/0!</v>
      </c>
      <c r="AZ57" s="231" t="e">
        <f t="shared" ref="AZ57" si="55">IF(BP57&gt;=4.5, " 5 ", IF(BP57&gt;=3.5," 4 ",IF(BP57&gt;=2.5," 3  ",IF(BP57&gt;=1.5," 2 ",IF(BP57&gt;=1,"1 ",IF(BP57&gt;=0,"0"))))))</f>
        <v>#DIV/0!</v>
      </c>
      <c r="BA57" s="4" t="e">
        <f t="shared" si="2"/>
        <v>#DIV/0!</v>
      </c>
      <c r="BB57" s="4" t="e">
        <f t="shared" si="13"/>
        <v>#DIV/0!</v>
      </c>
      <c r="BC57" s="4" t="e">
        <f t="shared" si="14"/>
        <v>#DIV/0!</v>
      </c>
      <c r="BD57" s="4">
        <f t="shared" si="15"/>
        <v>0</v>
      </c>
      <c r="BE57" s="12" t="e">
        <f t="shared" si="3"/>
        <v>#DIV/0!</v>
      </c>
      <c r="BF57" s="4" t="e">
        <f t="shared" si="16"/>
        <v>#DIV/0!</v>
      </c>
      <c r="BG57" s="4" t="e">
        <f t="shared" si="17"/>
        <v>#DIV/0!</v>
      </c>
      <c r="BH57" s="4" t="e">
        <f t="shared" si="18"/>
        <v>#DIV/0!</v>
      </c>
      <c r="BI57" s="4">
        <f t="shared" si="19"/>
        <v>0</v>
      </c>
      <c r="BJ57" s="12" t="e">
        <f t="shared" si="4"/>
        <v>#DIV/0!</v>
      </c>
      <c r="BK57" s="12" t="e">
        <f t="shared" si="5"/>
        <v>#DIV/0!</v>
      </c>
      <c r="BL57" s="12" t="e">
        <f>(BE57+BJ57)/2</f>
        <v>#DIV/0!</v>
      </c>
      <c r="BM57" s="10" t="e">
        <f t="shared" si="21"/>
        <v>#DIV/0!</v>
      </c>
      <c r="BN57" s="176" t="e">
        <f t="shared" si="33"/>
        <v>#DIV/0!</v>
      </c>
      <c r="BO57" s="12"/>
      <c r="BP57" s="11" t="e">
        <f t="shared" si="25"/>
        <v>#DIV/0!</v>
      </c>
      <c r="BQ57" s="6"/>
      <c r="BR57" s="6"/>
    </row>
    <row r="58" spans="1:70" ht="20.25" customHeight="1" thickBot="1">
      <c r="A58" s="327"/>
      <c r="B58" s="353"/>
      <c r="C58" s="354"/>
      <c r="D58" s="355"/>
      <c r="E58" s="25">
        <v>2</v>
      </c>
      <c r="F58" s="17"/>
      <c r="G58" s="17"/>
      <c r="H58" s="17"/>
      <c r="I58" s="17"/>
      <c r="J58" s="17"/>
      <c r="K58" s="8" t="e">
        <f t="shared" si="6"/>
        <v>#DIV/0!</v>
      </c>
      <c r="L58" s="17"/>
      <c r="M58" s="17"/>
      <c r="N58" s="17"/>
      <c r="O58" s="17"/>
      <c r="P58" s="17"/>
      <c r="Q58" s="9" t="e">
        <f t="shared" si="23"/>
        <v>#DIV/0!</v>
      </c>
      <c r="R58" s="17"/>
      <c r="S58" s="17"/>
      <c r="T58" s="17"/>
      <c r="U58" s="17"/>
      <c r="V58" s="17"/>
      <c r="W58" s="9" t="e">
        <f t="shared" si="7"/>
        <v>#DIV/0!</v>
      </c>
      <c r="X58" s="233"/>
      <c r="Y58" s="234"/>
      <c r="Z58" s="9" t="str">
        <f t="shared" si="8"/>
        <v>0</v>
      </c>
      <c r="AA58" s="7" t="e">
        <f t="shared" si="0"/>
        <v>#DIV/0!</v>
      </c>
      <c r="AB58" s="365"/>
      <c r="AC58" s="17"/>
      <c r="AD58" s="17"/>
      <c r="AE58" s="17"/>
      <c r="AF58" s="17"/>
      <c r="AG58" s="17"/>
      <c r="AH58" s="9" t="e">
        <f t="shared" si="9"/>
        <v>#DIV/0!</v>
      </c>
      <c r="AI58" s="17"/>
      <c r="AJ58" s="17"/>
      <c r="AK58" s="17"/>
      <c r="AL58" s="17"/>
      <c r="AM58" s="17"/>
      <c r="AN58" s="9" t="e">
        <f t="shared" si="10"/>
        <v>#DIV/0!</v>
      </c>
      <c r="AO58" s="17"/>
      <c r="AP58" s="17"/>
      <c r="AQ58" s="17"/>
      <c r="AR58" s="17"/>
      <c r="AS58" s="17"/>
      <c r="AT58" s="9" t="e">
        <f t="shared" si="11"/>
        <v>#DIV/0!</v>
      </c>
      <c r="AU58" s="208"/>
      <c r="AV58" s="209"/>
      <c r="AW58" s="9" t="str">
        <f t="shared" si="12"/>
        <v>0</v>
      </c>
      <c r="AX58" s="7" t="e">
        <f t="shared" si="1"/>
        <v>#DIV/0!</v>
      </c>
      <c r="AY58" s="18" t="e">
        <f t="shared" si="1"/>
        <v>#DIV/0!</v>
      </c>
      <c r="AZ58" s="232"/>
      <c r="BA58" s="4" t="e">
        <f t="shared" si="2"/>
        <v>#DIV/0!</v>
      </c>
      <c r="BB58" s="4" t="e">
        <f t="shared" si="13"/>
        <v>#DIV/0!</v>
      </c>
      <c r="BC58" s="4" t="e">
        <f t="shared" si="14"/>
        <v>#DIV/0!</v>
      </c>
      <c r="BD58" s="4">
        <f t="shared" si="15"/>
        <v>0</v>
      </c>
      <c r="BE58" s="12" t="e">
        <f t="shared" si="3"/>
        <v>#DIV/0!</v>
      </c>
      <c r="BF58" s="4" t="e">
        <f t="shared" si="16"/>
        <v>#DIV/0!</v>
      </c>
      <c r="BG58" s="4" t="e">
        <f t="shared" si="17"/>
        <v>#DIV/0!</v>
      </c>
      <c r="BH58" s="4" t="e">
        <f t="shared" si="18"/>
        <v>#DIV/0!</v>
      </c>
      <c r="BI58" s="4">
        <f t="shared" si="19"/>
        <v>0</v>
      </c>
      <c r="BJ58" s="12" t="e">
        <f t="shared" si="4"/>
        <v>#DIV/0!</v>
      </c>
      <c r="BK58" s="12" t="e">
        <f t="shared" si="5"/>
        <v>#DIV/0!</v>
      </c>
      <c r="BL58" s="12"/>
      <c r="BM58" s="10"/>
      <c r="BN58" s="176"/>
      <c r="BO58" s="12" t="e">
        <f t="shared" si="48"/>
        <v>#DIV/0!</v>
      </c>
      <c r="BP58" s="11"/>
      <c r="BQ58" s="6"/>
      <c r="BR58" s="6"/>
    </row>
    <row r="59" spans="1:70" ht="20.25" customHeight="1">
      <c r="A59" s="326">
        <v>24</v>
      </c>
      <c r="B59" s="328"/>
      <c r="C59" s="329"/>
      <c r="D59" s="225"/>
      <c r="E59" s="24">
        <v>1</v>
      </c>
      <c r="F59" s="17"/>
      <c r="G59" s="17"/>
      <c r="H59" s="17"/>
      <c r="I59" s="17"/>
      <c r="J59" s="17"/>
      <c r="K59" s="8" t="e">
        <f t="shared" si="6"/>
        <v>#DIV/0!</v>
      </c>
      <c r="L59" s="17"/>
      <c r="M59" s="17"/>
      <c r="N59" s="17"/>
      <c r="O59" s="17"/>
      <c r="P59" s="17"/>
      <c r="Q59" s="9" t="e">
        <f t="shared" si="23"/>
        <v>#DIV/0!</v>
      </c>
      <c r="R59" s="17"/>
      <c r="S59" s="17"/>
      <c r="T59" s="17"/>
      <c r="U59" s="17"/>
      <c r="V59" s="17"/>
      <c r="W59" s="9" t="e">
        <f t="shared" si="7"/>
        <v>#DIV/0!</v>
      </c>
      <c r="X59" s="233"/>
      <c r="Y59" s="234"/>
      <c r="Z59" s="9" t="str">
        <f t="shared" si="8"/>
        <v>0</v>
      </c>
      <c r="AA59" s="7" t="e">
        <f t="shared" si="0"/>
        <v>#DIV/0!</v>
      </c>
      <c r="AB59" s="365"/>
      <c r="AC59" s="17"/>
      <c r="AD59" s="17"/>
      <c r="AE59" s="17"/>
      <c r="AF59" s="17"/>
      <c r="AG59" s="17"/>
      <c r="AH59" s="9" t="e">
        <f t="shared" si="9"/>
        <v>#DIV/0!</v>
      </c>
      <c r="AI59" s="17"/>
      <c r="AJ59" s="17"/>
      <c r="AK59" s="17"/>
      <c r="AL59" s="17"/>
      <c r="AM59" s="17"/>
      <c r="AN59" s="9" t="e">
        <f t="shared" si="10"/>
        <v>#DIV/0!</v>
      </c>
      <c r="AO59" s="17"/>
      <c r="AP59" s="17"/>
      <c r="AQ59" s="17"/>
      <c r="AR59" s="17"/>
      <c r="AS59" s="17"/>
      <c r="AT59" s="9" t="e">
        <f t="shared" si="11"/>
        <v>#DIV/0!</v>
      </c>
      <c r="AU59" s="208"/>
      <c r="AV59" s="209"/>
      <c r="AW59" s="9" t="str">
        <f t="shared" si="12"/>
        <v>0</v>
      </c>
      <c r="AX59" s="7" t="e">
        <f t="shared" si="1"/>
        <v>#DIV/0!</v>
      </c>
      <c r="AY59" s="18" t="e">
        <f t="shared" si="1"/>
        <v>#DIV/0!</v>
      </c>
      <c r="AZ59" s="231" t="e">
        <f t="shared" ref="AZ59" si="56">IF(BP59&gt;=4.5, " 5 ", IF(BP59&gt;=3.5," 4 ",IF(BP59&gt;=2.5," 3  ",IF(BP59&gt;=1.5," 2 ",IF(BP59&gt;=1,"1 ",IF(BP59&gt;=0,"0"))))))</f>
        <v>#DIV/0!</v>
      </c>
      <c r="BA59" s="4" t="e">
        <f t="shared" si="2"/>
        <v>#DIV/0!</v>
      </c>
      <c r="BB59" s="4" t="e">
        <f t="shared" si="13"/>
        <v>#DIV/0!</v>
      </c>
      <c r="BC59" s="4" t="e">
        <f t="shared" si="14"/>
        <v>#DIV/0!</v>
      </c>
      <c r="BD59" s="4">
        <f t="shared" si="15"/>
        <v>0</v>
      </c>
      <c r="BE59" s="12" t="e">
        <f t="shared" si="3"/>
        <v>#DIV/0!</v>
      </c>
      <c r="BF59" s="4" t="e">
        <f t="shared" si="16"/>
        <v>#DIV/0!</v>
      </c>
      <c r="BG59" s="4" t="e">
        <f t="shared" si="17"/>
        <v>#DIV/0!</v>
      </c>
      <c r="BH59" s="4" t="e">
        <f t="shared" si="18"/>
        <v>#DIV/0!</v>
      </c>
      <c r="BI59" s="4">
        <f t="shared" si="19"/>
        <v>0</v>
      </c>
      <c r="BJ59" s="12" t="e">
        <f t="shared" si="4"/>
        <v>#DIV/0!</v>
      </c>
      <c r="BK59" s="12" t="e">
        <f t="shared" si="5"/>
        <v>#DIV/0!</v>
      </c>
      <c r="BL59" s="12" t="e">
        <f>(BE59+BJ59)/2</f>
        <v>#DIV/0!</v>
      </c>
      <c r="BM59" s="10" t="e">
        <f t="shared" si="21"/>
        <v>#DIV/0!</v>
      </c>
      <c r="BN59" s="176" t="e">
        <f t="shared" si="35"/>
        <v>#DIV/0!</v>
      </c>
      <c r="BO59" s="12"/>
      <c r="BP59" s="11" t="e">
        <f t="shared" si="25"/>
        <v>#DIV/0!</v>
      </c>
      <c r="BQ59" s="6"/>
      <c r="BR59" s="6"/>
    </row>
    <row r="60" spans="1:70" ht="20.25" customHeight="1" thickBot="1">
      <c r="A60" s="327"/>
      <c r="B60" s="330"/>
      <c r="C60" s="331"/>
      <c r="D60" s="225"/>
      <c r="E60" s="25">
        <v>2</v>
      </c>
      <c r="F60" s="17"/>
      <c r="G60" s="17"/>
      <c r="H60" s="17"/>
      <c r="I60" s="17"/>
      <c r="J60" s="17"/>
      <c r="K60" s="8" t="e">
        <f t="shared" si="6"/>
        <v>#DIV/0!</v>
      </c>
      <c r="L60" s="17"/>
      <c r="M60" s="17"/>
      <c r="N60" s="17"/>
      <c r="O60" s="17"/>
      <c r="P60" s="17"/>
      <c r="Q60" s="9" t="e">
        <f t="shared" si="23"/>
        <v>#DIV/0!</v>
      </c>
      <c r="R60" s="17"/>
      <c r="S60" s="17"/>
      <c r="T60" s="17"/>
      <c r="U60" s="17"/>
      <c r="V60" s="17"/>
      <c r="W60" s="9" t="e">
        <f t="shared" si="7"/>
        <v>#DIV/0!</v>
      </c>
      <c r="X60" s="233"/>
      <c r="Y60" s="234"/>
      <c r="Z60" s="9" t="str">
        <f t="shared" si="8"/>
        <v>0</v>
      </c>
      <c r="AA60" s="7" t="e">
        <f t="shared" si="0"/>
        <v>#DIV/0!</v>
      </c>
      <c r="AB60" s="365"/>
      <c r="AC60" s="17"/>
      <c r="AD60" s="17"/>
      <c r="AE60" s="17"/>
      <c r="AF60" s="17"/>
      <c r="AG60" s="17"/>
      <c r="AH60" s="9" t="e">
        <f t="shared" si="9"/>
        <v>#DIV/0!</v>
      </c>
      <c r="AI60" s="17"/>
      <c r="AJ60" s="17"/>
      <c r="AK60" s="17"/>
      <c r="AL60" s="17"/>
      <c r="AM60" s="17"/>
      <c r="AN60" s="9" t="e">
        <f t="shared" si="10"/>
        <v>#DIV/0!</v>
      </c>
      <c r="AO60" s="17"/>
      <c r="AP60" s="17"/>
      <c r="AQ60" s="17"/>
      <c r="AR60" s="17"/>
      <c r="AS60" s="17"/>
      <c r="AT60" s="9" t="e">
        <f t="shared" si="11"/>
        <v>#DIV/0!</v>
      </c>
      <c r="AU60" s="208"/>
      <c r="AV60" s="209"/>
      <c r="AW60" s="9" t="str">
        <f t="shared" si="12"/>
        <v>0</v>
      </c>
      <c r="AX60" s="7" t="e">
        <f t="shared" si="1"/>
        <v>#DIV/0!</v>
      </c>
      <c r="AY60" s="18" t="e">
        <f t="shared" si="1"/>
        <v>#DIV/0!</v>
      </c>
      <c r="AZ60" s="232"/>
      <c r="BA60" s="4" t="e">
        <f t="shared" si="2"/>
        <v>#DIV/0!</v>
      </c>
      <c r="BB60" s="4" t="e">
        <f t="shared" si="13"/>
        <v>#DIV/0!</v>
      </c>
      <c r="BC60" s="4" t="e">
        <f t="shared" si="14"/>
        <v>#DIV/0!</v>
      </c>
      <c r="BD60" s="4">
        <f t="shared" si="15"/>
        <v>0</v>
      </c>
      <c r="BE60" s="12" t="e">
        <f t="shared" si="3"/>
        <v>#DIV/0!</v>
      </c>
      <c r="BF60" s="4" t="e">
        <f t="shared" si="16"/>
        <v>#DIV/0!</v>
      </c>
      <c r="BG60" s="4" t="e">
        <f t="shared" si="17"/>
        <v>#DIV/0!</v>
      </c>
      <c r="BH60" s="4" t="e">
        <f t="shared" si="18"/>
        <v>#DIV/0!</v>
      </c>
      <c r="BI60" s="4">
        <f t="shared" si="19"/>
        <v>0</v>
      </c>
      <c r="BJ60" s="12" t="e">
        <f t="shared" si="4"/>
        <v>#DIV/0!</v>
      </c>
      <c r="BK60" s="12" t="e">
        <f t="shared" si="5"/>
        <v>#DIV/0!</v>
      </c>
      <c r="BL60" s="12"/>
      <c r="BM60" s="10"/>
      <c r="BN60" s="176"/>
      <c r="BO60" s="12" t="e">
        <f t="shared" si="48"/>
        <v>#DIV/0!</v>
      </c>
      <c r="BP60" s="11"/>
      <c r="BQ60" s="6"/>
      <c r="BR60" s="6"/>
    </row>
    <row r="61" spans="1:70" ht="20.25" customHeight="1">
      <c r="A61" s="326">
        <v>25</v>
      </c>
      <c r="B61" s="328"/>
      <c r="C61" s="329"/>
      <c r="D61" s="225"/>
      <c r="E61" s="24">
        <v>1</v>
      </c>
      <c r="F61" s="17"/>
      <c r="G61" s="17"/>
      <c r="H61" s="17"/>
      <c r="I61" s="17"/>
      <c r="J61" s="17"/>
      <c r="K61" s="8" t="e">
        <f t="shared" si="6"/>
        <v>#DIV/0!</v>
      </c>
      <c r="L61" s="17"/>
      <c r="M61" s="17"/>
      <c r="N61" s="17"/>
      <c r="O61" s="17"/>
      <c r="P61" s="17"/>
      <c r="Q61" s="9" t="e">
        <f t="shared" si="23"/>
        <v>#DIV/0!</v>
      </c>
      <c r="R61" s="17"/>
      <c r="S61" s="17"/>
      <c r="T61" s="17"/>
      <c r="U61" s="17"/>
      <c r="V61" s="17"/>
      <c r="W61" s="9" t="e">
        <f t="shared" si="7"/>
        <v>#DIV/0!</v>
      </c>
      <c r="X61" s="233"/>
      <c r="Y61" s="234"/>
      <c r="Z61" s="9" t="str">
        <f t="shared" si="8"/>
        <v>0</v>
      </c>
      <c r="AA61" s="7" t="e">
        <f t="shared" si="0"/>
        <v>#DIV/0!</v>
      </c>
      <c r="AB61" s="365"/>
      <c r="AC61" s="17"/>
      <c r="AD61" s="17"/>
      <c r="AE61" s="17"/>
      <c r="AF61" s="17"/>
      <c r="AG61" s="17"/>
      <c r="AH61" s="9" t="e">
        <f t="shared" si="9"/>
        <v>#DIV/0!</v>
      </c>
      <c r="AI61" s="17"/>
      <c r="AJ61" s="17"/>
      <c r="AK61" s="17"/>
      <c r="AL61" s="17"/>
      <c r="AM61" s="17"/>
      <c r="AN61" s="9" t="e">
        <f t="shared" si="10"/>
        <v>#DIV/0!</v>
      </c>
      <c r="AO61" s="17"/>
      <c r="AP61" s="17"/>
      <c r="AQ61" s="17"/>
      <c r="AR61" s="17"/>
      <c r="AS61" s="17"/>
      <c r="AT61" s="9" t="e">
        <f t="shared" si="11"/>
        <v>#DIV/0!</v>
      </c>
      <c r="AU61" s="208"/>
      <c r="AV61" s="209"/>
      <c r="AW61" s="9" t="str">
        <f t="shared" si="12"/>
        <v>0</v>
      </c>
      <c r="AX61" s="7" t="e">
        <f t="shared" si="1"/>
        <v>#DIV/0!</v>
      </c>
      <c r="AY61" s="18" t="e">
        <f t="shared" si="1"/>
        <v>#DIV/0!</v>
      </c>
      <c r="AZ61" s="231" t="e">
        <f t="shared" ref="AZ61" si="57">IF(BP61&gt;=4.5, " 5 ", IF(BP61&gt;=3.5," 4 ",IF(BP61&gt;=2.5," 3  ",IF(BP61&gt;=1.5," 2 ",IF(BP61&gt;=1,"1 ",IF(BP61&gt;=0,"0"))))))</f>
        <v>#DIV/0!</v>
      </c>
      <c r="BA61" s="4" t="e">
        <f t="shared" si="2"/>
        <v>#DIV/0!</v>
      </c>
      <c r="BB61" s="4" t="e">
        <f t="shared" si="13"/>
        <v>#DIV/0!</v>
      </c>
      <c r="BC61" s="4" t="e">
        <f t="shared" si="14"/>
        <v>#DIV/0!</v>
      </c>
      <c r="BD61" s="4">
        <f t="shared" si="15"/>
        <v>0</v>
      </c>
      <c r="BE61" s="12" t="e">
        <f t="shared" si="3"/>
        <v>#DIV/0!</v>
      </c>
      <c r="BF61" s="4" t="e">
        <f t="shared" si="16"/>
        <v>#DIV/0!</v>
      </c>
      <c r="BG61" s="4" t="e">
        <f t="shared" si="17"/>
        <v>#DIV/0!</v>
      </c>
      <c r="BH61" s="4" t="e">
        <f t="shared" si="18"/>
        <v>#DIV/0!</v>
      </c>
      <c r="BI61" s="4">
        <f t="shared" si="19"/>
        <v>0</v>
      </c>
      <c r="BJ61" s="12" t="e">
        <f t="shared" si="4"/>
        <v>#DIV/0!</v>
      </c>
      <c r="BK61" s="12" t="e">
        <f t="shared" si="5"/>
        <v>#DIV/0!</v>
      </c>
      <c r="BL61" s="12" t="e">
        <f>(BE61+BJ61)/2</f>
        <v>#DIV/0!</v>
      </c>
      <c r="BM61" s="10" t="e">
        <f t="shared" si="21"/>
        <v>#DIV/0!</v>
      </c>
      <c r="BN61" s="176" t="e">
        <f t="shared" ref="BN61" si="58">ROUND(BO62,)</f>
        <v>#DIV/0!</v>
      </c>
      <c r="BO61" s="12"/>
      <c r="BP61" s="11" t="e">
        <f t="shared" si="25"/>
        <v>#DIV/0!</v>
      </c>
      <c r="BQ61" s="6"/>
      <c r="BR61" s="6"/>
    </row>
    <row r="62" spans="1:70" ht="17.25" customHeight="1" thickBot="1">
      <c r="A62" s="327"/>
      <c r="B62" s="330"/>
      <c r="C62" s="331"/>
      <c r="D62" s="225"/>
      <c r="E62" s="25">
        <v>2</v>
      </c>
      <c r="F62" s="17"/>
      <c r="G62" s="17"/>
      <c r="H62" s="17"/>
      <c r="I62" s="17"/>
      <c r="J62" s="17"/>
      <c r="K62" s="8" t="e">
        <f t="shared" si="6"/>
        <v>#DIV/0!</v>
      </c>
      <c r="L62" s="17"/>
      <c r="M62" s="17"/>
      <c r="N62" s="17"/>
      <c r="O62" s="17"/>
      <c r="P62" s="17"/>
      <c r="Q62" s="9" t="e">
        <f t="shared" si="23"/>
        <v>#DIV/0!</v>
      </c>
      <c r="R62" s="17"/>
      <c r="S62" s="17"/>
      <c r="T62" s="17"/>
      <c r="U62" s="17"/>
      <c r="V62" s="17"/>
      <c r="W62" s="9" t="e">
        <f t="shared" si="7"/>
        <v>#DIV/0!</v>
      </c>
      <c r="X62" s="233"/>
      <c r="Y62" s="234"/>
      <c r="Z62" s="9" t="str">
        <f t="shared" si="8"/>
        <v>0</v>
      </c>
      <c r="AA62" s="7" t="e">
        <f t="shared" si="0"/>
        <v>#DIV/0!</v>
      </c>
      <c r="AB62" s="365"/>
      <c r="AC62" s="17"/>
      <c r="AD62" s="17"/>
      <c r="AE62" s="17"/>
      <c r="AF62" s="17"/>
      <c r="AG62" s="17"/>
      <c r="AH62" s="9" t="e">
        <f t="shared" si="9"/>
        <v>#DIV/0!</v>
      </c>
      <c r="AI62" s="17"/>
      <c r="AJ62" s="17"/>
      <c r="AK62" s="17"/>
      <c r="AL62" s="17"/>
      <c r="AM62" s="17"/>
      <c r="AN62" s="9" t="e">
        <f t="shared" si="10"/>
        <v>#DIV/0!</v>
      </c>
      <c r="AO62" s="17"/>
      <c r="AP62" s="17"/>
      <c r="AQ62" s="17"/>
      <c r="AR62" s="17"/>
      <c r="AS62" s="17"/>
      <c r="AT62" s="9" t="e">
        <f t="shared" si="11"/>
        <v>#DIV/0!</v>
      </c>
      <c r="AU62" s="208"/>
      <c r="AV62" s="209"/>
      <c r="AW62" s="9" t="str">
        <f t="shared" si="12"/>
        <v>0</v>
      </c>
      <c r="AX62" s="7" t="e">
        <f t="shared" si="1"/>
        <v>#DIV/0!</v>
      </c>
      <c r="AY62" s="18" t="e">
        <f t="shared" si="1"/>
        <v>#DIV/0!</v>
      </c>
      <c r="AZ62" s="232"/>
      <c r="BA62" s="4" t="e">
        <f t="shared" si="2"/>
        <v>#DIV/0!</v>
      </c>
      <c r="BB62" s="4" t="e">
        <f t="shared" si="13"/>
        <v>#DIV/0!</v>
      </c>
      <c r="BC62" s="4" t="e">
        <f t="shared" si="14"/>
        <v>#DIV/0!</v>
      </c>
      <c r="BD62" s="4">
        <f t="shared" si="15"/>
        <v>0</v>
      </c>
      <c r="BE62" s="12" t="e">
        <f t="shared" si="3"/>
        <v>#DIV/0!</v>
      </c>
      <c r="BF62" s="4" t="e">
        <f t="shared" si="16"/>
        <v>#DIV/0!</v>
      </c>
      <c r="BG62" s="4" t="e">
        <f t="shared" si="17"/>
        <v>#DIV/0!</v>
      </c>
      <c r="BH62" s="4" t="e">
        <f t="shared" si="18"/>
        <v>#DIV/0!</v>
      </c>
      <c r="BI62" s="4">
        <f t="shared" si="19"/>
        <v>0</v>
      </c>
      <c r="BJ62" s="12" t="e">
        <f t="shared" si="4"/>
        <v>#DIV/0!</v>
      </c>
      <c r="BK62" s="12" t="e">
        <f t="shared" si="5"/>
        <v>#DIV/0!</v>
      </c>
      <c r="BL62" s="12"/>
      <c r="BM62" s="10"/>
      <c r="BN62" s="176"/>
      <c r="BO62" s="12" t="e">
        <f t="shared" si="48"/>
        <v>#DIV/0!</v>
      </c>
      <c r="BP62" s="11"/>
      <c r="BQ62" s="6"/>
      <c r="BR62" s="6"/>
    </row>
    <row r="63" spans="1:70" ht="21" customHeight="1">
      <c r="A63" s="326">
        <v>26</v>
      </c>
      <c r="B63" s="328"/>
      <c r="C63" s="329"/>
      <c r="D63" s="225"/>
      <c r="E63" s="24">
        <v>1</v>
      </c>
      <c r="F63" s="17"/>
      <c r="G63" s="17"/>
      <c r="H63" s="17"/>
      <c r="I63" s="17"/>
      <c r="J63" s="17"/>
      <c r="K63" s="8" t="e">
        <f t="shared" si="6"/>
        <v>#DIV/0!</v>
      </c>
      <c r="L63" s="17"/>
      <c r="M63" s="17"/>
      <c r="N63" s="17"/>
      <c r="O63" s="17"/>
      <c r="P63" s="17"/>
      <c r="Q63" s="9" t="e">
        <f t="shared" si="23"/>
        <v>#DIV/0!</v>
      </c>
      <c r="R63" s="17"/>
      <c r="S63" s="17"/>
      <c r="T63" s="17"/>
      <c r="U63" s="17"/>
      <c r="V63" s="17"/>
      <c r="W63" s="9" t="e">
        <f t="shared" si="7"/>
        <v>#DIV/0!</v>
      </c>
      <c r="X63" s="233"/>
      <c r="Y63" s="234"/>
      <c r="Z63" s="9" t="str">
        <f t="shared" si="8"/>
        <v>0</v>
      </c>
      <c r="AA63" s="7" t="e">
        <f t="shared" si="0"/>
        <v>#DIV/0!</v>
      </c>
      <c r="AB63" s="365"/>
      <c r="AC63" s="17"/>
      <c r="AD63" s="17"/>
      <c r="AE63" s="17"/>
      <c r="AF63" s="17"/>
      <c r="AG63" s="17"/>
      <c r="AH63" s="9" t="e">
        <f t="shared" si="9"/>
        <v>#DIV/0!</v>
      </c>
      <c r="AI63" s="17"/>
      <c r="AJ63" s="17"/>
      <c r="AK63" s="17"/>
      <c r="AL63" s="17"/>
      <c r="AM63" s="17"/>
      <c r="AN63" s="9" t="e">
        <f t="shared" si="10"/>
        <v>#DIV/0!</v>
      </c>
      <c r="AO63" s="17"/>
      <c r="AP63" s="17"/>
      <c r="AQ63" s="17"/>
      <c r="AR63" s="17"/>
      <c r="AS63" s="17"/>
      <c r="AT63" s="9" t="e">
        <f t="shared" si="11"/>
        <v>#DIV/0!</v>
      </c>
      <c r="AU63" s="208"/>
      <c r="AV63" s="209"/>
      <c r="AW63" s="9" t="str">
        <f t="shared" si="12"/>
        <v>0</v>
      </c>
      <c r="AX63" s="7" t="e">
        <f t="shared" si="1"/>
        <v>#DIV/0!</v>
      </c>
      <c r="AY63" s="18" t="e">
        <f t="shared" si="1"/>
        <v>#DIV/0!</v>
      </c>
      <c r="AZ63" s="231" t="e">
        <f t="shared" ref="AZ63" si="59">IF(BP63&gt;=4.5, " 5 ", IF(BP63&gt;=3.5," 4 ",IF(BP63&gt;=2.5," 3  ",IF(BP63&gt;=1.5," 2 ",IF(BP63&gt;=1,"1 ",IF(BP63&gt;=0,"0"))))))</f>
        <v>#DIV/0!</v>
      </c>
      <c r="BA63" s="4" t="e">
        <f t="shared" si="2"/>
        <v>#DIV/0!</v>
      </c>
      <c r="BB63" s="4" t="e">
        <f t="shared" si="13"/>
        <v>#DIV/0!</v>
      </c>
      <c r="BC63" s="4" t="e">
        <f t="shared" si="14"/>
        <v>#DIV/0!</v>
      </c>
      <c r="BD63" s="4">
        <f t="shared" si="15"/>
        <v>0</v>
      </c>
      <c r="BE63" s="12" t="e">
        <f t="shared" si="3"/>
        <v>#DIV/0!</v>
      </c>
      <c r="BF63" s="4" t="e">
        <f t="shared" si="16"/>
        <v>#DIV/0!</v>
      </c>
      <c r="BG63" s="4" t="e">
        <f t="shared" si="17"/>
        <v>#DIV/0!</v>
      </c>
      <c r="BH63" s="4" t="e">
        <f t="shared" si="18"/>
        <v>#DIV/0!</v>
      </c>
      <c r="BI63" s="4">
        <f t="shared" si="19"/>
        <v>0</v>
      </c>
      <c r="BJ63" s="12" t="e">
        <f t="shared" si="4"/>
        <v>#DIV/0!</v>
      </c>
      <c r="BK63" s="12" t="e">
        <f t="shared" si="5"/>
        <v>#DIV/0!</v>
      </c>
      <c r="BL63" s="12" t="e">
        <f>(BE63+BJ63)/2</f>
        <v>#DIV/0!</v>
      </c>
      <c r="BM63" s="10" t="e">
        <f t="shared" si="21"/>
        <v>#DIV/0!</v>
      </c>
      <c r="BN63" s="176" t="e">
        <f t="shared" si="31"/>
        <v>#DIV/0!</v>
      </c>
      <c r="BO63" s="12"/>
      <c r="BP63" s="11" t="e">
        <f t="shared" si="25"/>
        <v>#DIV/0!</v>
      </c>
      <c r="BQ63" s="6"/>
      <c r="BR63" s="6"/>
    </row>
    <row r="64" spans="1:70" ht="18" customHeight="1" thickBot="1">
      <c r="A64" s="327"/>
      <c r="B64" s="330"/>
      <c r="C64" s="331"/>
      <c r="D64" s="225"/>
      <c r="E64" s="25">
        <v>2</v>
      </c>
      <c r="F64" s="17"/>
      <c r="G64" s="17"/>
      <c r="H64" s="17"/>
      <c r="I64" s="17"/>
      <c r="J64" s="17"/>
      <c r="K64" s="8" t="e">
        <f t="shared" si="6"/>
        <v>#DIV/0!</v>
      </c>
      <c r="L64" s="17"/>
      <c r="M64" s="17"/>
      <c r="N64" s="17"/>
      <c r="O64" s="17"/>
      <c r="P64" s="17"/>
      <c r="Q64" s="9" t="e">
        <f t="shared" si="23"/>
        <v>#DIV/0!</v>
      </c>
      <c r="R64" s="17"/>
      <c r="S64" s="17"/>
      <c r="T64" s="17"/>
      <c r="U64" s="17"/>
      <c r="V64" s="17"/>
      <c r="W64" s="9" t="e">
        <f t="shared" si="7"/>
        <v>#DIV/0!</v>
      </c>
      <c r="X64" s="233"/>
      <c r="Y64" s="234"/>
      <c r="Z64" s="9" t="str">
        <f t="shared" si="8"/>
        <v>0</v>
      </c>
      <c r="AA64" s="7" t="e">
        <f t="shared" si="0"/>
        <v>#DIV/0!</v>
      </c>
      <c r="AB64" s="365"/>
      <c r="AC64" s="17"/>
      <c r="AD64" s="17"/>
      <c r="AE64" s="17"/>
      <c r="AF64" s="17"/>
      <c r="AG64" s="17"/>
      <c r="AH64" s="9" t="e">
        <f t="shared" si="9"/>
        <v>#DIV/0!</v>
      </c>
      <c r="AI64" s="17"/>
      <c r="AJ64" s="17"/>
      <c r="AK64" s="17"/>
      <c r="AL64" s="17"/>
      <c r="AM64" s="17"/>
      <c r="AN64" s="9" t="e">
        <f t="shared" si="10"/>
        <v>#DIV/0!</v>
      </c>
      <c r="AO64" s="17"/>
      <c r="AP64" s="17"/>
      <c r="AQ64" s="17"/>
      <c r="AR64" s="17"/>
      <c r="AS64" s="17"/>
      <c r="AT64" s="9" t="e">
        <f t="shared" si="11"/>
        <v>#DIV/0!</v>
      </c>
      <c r="AU64" s="208"/>
      <c r="AV64" s="209"/>
      <c r="AW64" s="9" t="str">
        <f t="shared" si="12"/>
        <v>0</v>
      </c>
      <c r="AX64" s="7" t="e">
        <f t="shared" si="1"/>
        <v>#DIV/0!</v>
      </c>
      <c r="AY64" s="18" t="e">
        <f t="shared" si="1"/>
        <v>#DIV/0!</v>
      </c>
      <c r="AZ64" s="232"/>
      <c r="BA64" s="4" t="e">
        <f t="shared" si="2"/>
        <v>#DIV/0!</v>
      </c>
      <c r="BB64" s="4" t="e">
        <f t="shared" si="13"/>
        <v>#DIV/0!</v>
      </c>
      <c r="BC64" s="4" t="e">
        <f t="shared" si="14"/>
        <v>#DIV/0!</v>
      </c>
      <c r="BD64" s="4">
        <f t="shared" si="15"/>
        <v>0</v>
      </c>
      <c r="BE64" s="12" t="e">
        <f t="shared" si="3"/>
        <v>#DIV/0!</v>
      </c>
      <c r="BF64" s="4" t="e">
        <f t="shared" si="16"/>
        <v>#DIV/0!</v>
      </c>
      <c r="BG64" s="4" t="e">
        <f t="shared" si="17"/>
        <v>#DIV/0!</v>
      </c>
      <c r="BH64" s="4" t="e">
        <f t="shared" si="18"/>
        <v>#DIV/0!</v>
      </c>
      <c r="BI64" s="4">
        <f t="shared" si="19"/>
        <v>0</v>
      </c>
      <c r="BJ64" s="12" t="e">
        <f t="shared" si="4"/>
        <v>#DIV/0!</v>
      </c>
      <c r="BK64" s="12" t="e">
        <f t="shared" si="5"/>
        <v>#DIV/0!</v>
      </c>
      <c r="BL64" s="12"/>
      <c r="BM64" s="10"/>
      <c r="BN64" s="176"/>
      <c r="BO64" s="12" t="e">
        <f t="shared" si="48"/>
        <v>#DIV/0!</v>
      </c>
      <c r="BP64" s="11"/>
      <c r="BQ64" s="6"/>
      <c r="BR64" s="6"/>
    </row>
    <row r="65" spans="1:70" ht="18" customHeight="1">
      <c r="A65" s="326">
        <v>27</v>
      </c>
      <c r="B65" s="328"/>
      <c r="C65" s="329"/>
      <c r="D65" s="225"/>
      <c r="E65" s="24">
        <v>1</v>
      </c>
      <c r="F65" s="17"/>
      <c r="G65" s="17"/>
      <c r="H65" s="17"/>
      <c r="I65" s="17"/>
      <c r="J65" s="17"/>
      <c r="K65" s="8" t="e">
        <f t="shared" si="6"/>
        <v>#DIV/0!</v>
      </c>
      <c r="L65" s="17"/>
      <c r="M65" s="17"/>
      <c r="N65" s="17"/>
      <c r="O65" s="17"/>
      <c r="P65" s="17"/>
      <c r="Q65" s="9" t="e">
        <f t="shared" si="23"/>
        <v>#DIV/0!</v>
      </c>
      <c r="R65" s="17"/>
      <c r="S65" s="17"/>
      <c r="T65" s="17"/>
      <c r="U65" s="17"/>
      <c r="V65" s="17"/>
      <c r="W65" s="9" t="e">
        <f t="shared" si="7"/>
        <v>#DIV/0!</v>
      </c>
      <c r="X65" s="233"/>
      <c r="Y65" s="234"/>
      <c r="Z65" s="9" t="str">
        <f t="shared" si="8"/>
        <v>0</v>
      </c>
      <c r="AA65" s="7" t="e">
        <f t="shared" si="0"/>
        <v>#DIV/0!</v>
      </c>
      <c r="AB65" s="365"/>
      <c r="AC65" s="17"/>
      <c r="AD65" s="17"/>
      <c r="AE65" s="17"/>
      <c r="AF65" s="17"/>
      <c r="AG65" s="17"/>
      <c r="AH65" s="9" t="e">
        <f t="shared" si="9"/>
        <v>#DIV/0!</v>
      </c>
      <c r="AI65" s="17"/>
      <c r="AJ65" s="17"/>
      <c r="AK65" s="17"/>
      <c r="AL65" s="17"/>
      <c r="AM65" s="17"/>
      <c r="AN65" s="9" t="e">
        <f t="shared" si="10"/>
        <v>#DIV/0!</v>
      </c>
      <c r="AO65" s="17"/>
      <c r="AP65" s="17"/>
      <c r="AQ65" s="17"/>
      <c r="AR65" s="17"/>
      <c r="AS65" s="17"/>
      <c r="AT65" s="9" t="e">
        <f t="shared" si="11"/>
        <v>#DIV/0!</v>
      </c>
      <c r="AU65" s="208"/>
      <c r="AV65" s="209"/>
      <c r="AW65" s="9" t="str">
        <f t="shared" si="12"/>
        <v>0</v>
      </c>
      <c r="AX65" s="7" t="e">
        <f t="shared" si="1"/>
        <v>#DIV/0!</v>
      </c>
      <c r="AY65" s="18" t="e">
        <f t="shared" si="1"/>
        <v>#DIV/0!</v>
      </c>
      <c r="AZ65" s="231" t="e">
        <f t="shared" ref="AZ65" si="60">IF(BP65&gt;=4.5, " 5 ", IF(BP65&gt;=3.5," 4 ",IF(BP65&gt;=2.5," 3  ",IF(BP65&gt;=1.5," 2 ",IF(BP65&gt;=1,"1 ",IF(BP65&gt;=0,"0"))))))</f>
        <v>#DIV/0!</v>
      </c>
      <c r="BA65" s="4" t="e">
        <f t="shared" si="2"/>
        <v>#DIV/0!</v>
      </c>
      <c r="BB65" s="4" t="e">
        <f t="shared" si="13"/>
        <v>#DIV/0!</v>
      </c>
      <c r="BC65" s="4" t="e">
        <f t="shared" si="14"/>
        <v>#DIV/0!</v>
      </c>
      <c r="BD65" s="4">
        <f t="shared" si="15"/>
        <v>0</v>
      </c>
      <c r="BE65" s="12" t="e">
        <f t="shared" si="3"/>
        <v>#DIV/0!</v>
      </c>
      <c r="BF65" s="4" t="e">
        <f t="shared" si="16"/>
        <v>#DIV/0!</v>
      </c>
      <c r="BG65" s="4" t="e">
        <f t="shared" si="17"/>
        <v>#DIV/0!</v>
      </c>
      <c r="BH65" s="4" t="e">
        <f t="shared" si="18"/>
        <v>#DIV/0!</v>
      </c>
      <c r="BI65" s="4">
        <f t="shared" si="19"/>
        <v>0</v>
      </c>
      <c r="BJ65" s="12" t="e">
        <f t="shared" si="4"/>
        <v>#DIV/0!</v>
      </c>
      <c r="BK65" s="12" t="e">
        <f t="shared" si="5"/>
        <v>#DIV/0!</v>
      </c>
      <c r="BL65" s="12" t="e">
        <f>(BE65+BJ65)/2</f>
        <v>#DIV/0!</v>
      </c>
      <c r="BM65" s="10" t="e">
        <f t="shared" si="21"/>
        <v>#DIV/0!</v>
      </c>
      <c r="BN65" s="176" t="e">
        <f t="shared" si="33"/>
        <v>#DIV/0!</v>
      </c>
      <c r="BO65" s="12"/>
      <c r="BP65" s="11" t="e">
        <f t="shared" si="25"/>
        <v>#DIV/0!</v>
      </c>
      <c r="BQ65" s="6"/>
      <c r="BR65" s="6"/>
    </row>
    <row r="66" spans="1:70" ht="18" customHeight="1" thickBot="1">
      <c r="A66" s="327"/>
      <c r="B66" s="330"/>
      <c r="C66" s="331"/>
      <c r="D66" s="225"/>
      <c r="E66" s="26">
        <v>2</v>
      </c>
      <c r="F66" s="17"/>
      <c r="G66" s="17"/>
      <c r="H66" s="17"/>
      <c r="I66" s="17"/>
      <c r="J66" s="17"/>
      <c r="K66" s="8" t="e">
        <f t="shared" si="6"/>
        <v>#DIV/0!</v>
      </c>
      <c r="L66" s="17"/>
      <c r="M66" s="17"/>
      <c r="N66" s="17"/>
      <c r="O66" s="17"/>
      <c r="P66" s="17"/>
      <c r="Q66" s="9" t="e">
        <f t="shared" si="23"/>
        <v>#DIV/0!</v>
      </c>
      <c r="R66" s="17"/>
      <c r="S66" s="17"/>
      <c r="T66" s="17"/>
      <c r="U66" s="17"/>
      <c r="V66" s="17"/>
      <c r="W66" s="9" t="e">
        <f t="shared" si="7"/>
        <v>#DIV/0!</v>
      </c>
      <c r="X66" s="233"/>
      <c r="Y66" s="234"/>
      <c r="Z66" s="9" t="str">
        <f t="shared" si="8"/>
        <v>0</v>
      </c>
      <c r="AA66" s="7" t="e">
        <f t="shared" si="0"/>
        <v>#DIV/0!</v>
      </c>
      <c r="AB66" s="365"/>
      <c r="AC66" s="17"/>
      <c r="AD66" s="17"/>
      <c r="AE66" s="17"/>
      <c r="AF66" s="17"/>
      <c r="AG66" s="17"/>
      <c r="AH66" s="9" t="e">
        <f t="shared" si="9"/>
        <v>#DIV/0!</v>
      </c>
      <c r="AI66" s="17"/>
      <c r="AJ66" s="17"/>
      <c r="AK66" s="17"/>
      <c r="AL66" s="17"/>
      <c r="AM66" s="17"/>
      <c r="AN66" s="9" t="e">
        <f t="shared" si="10"/>
        <v>#DIV/0!</v>
      </c>
      <c r="AO66" s="17"/>
      <c r="AP66" s="17"/>
      <c r="AQ66" s="17"/>
      <c r="AR66" s="17"/>
      <c r="AS66" s="17"/>
      <c r="AT66" s="9" t="e">
        <f t="shared" si="11"/>
        <v>#DIV/0!</v>
      </c>
      <c r="AU66" s="208"/>
      <c r="AV66" s="209"/>
      <c r="AW66" s="9" t="str">
        <f t="shared" si="12"/>
        <v>0</v>
      </c>
      <c r="AX66" s="7" t="e">
        <f t="shared" si="1"/>
        <v>#DIV/0!</v>
      </c>
      <c r="AY66" s="18" t="e">
        <f t="shared" si="1"/>
        <v>#DIV/0!</v>
      </c>
      <c r="AZ66" s="232"/>
      <c r="BA66" s="4" t="e">
        <f t="shared" si="2"/>
        <v>#DIV/0!</v>
      </c>
      <c r="BB66" s="4" t="e">
        <f t="shared" si="13"/>
        <v>#DIV/0!</v>
      </c>
      <c r="BC66" s="4" t="e">
        <f t="shared" si="14"/>
        <v>#DIV/0!</v>
      </c>
      <c r="BD66" s="4">
        <f t="shared" si="15"/>
        <v>0</v>
      </c>
      <c r="BE66" s="12" t="e">
        <f t="shared" si="3"/>
        <v>#DIV/0!</v>
      </c>
      <c r="BF66" s="4" t="e">
        <f t="shared" si="16"/>
        <v>#DIV/0!</v>
      </c>
      <c r="BG66" s="4" t="e">
        <f t="shared" si="17"/>
        <v>#DIV/0!</v>
      </c>
      <c r="BH66" s="4" t="e">
        <f t="shared" si="18"/>
        <v>#DIV/0!</v>
      </c>
      <c r="BI66" s="4">
        <f t="shared" si="19"/>
        <v>0</v>
      </c>
      <c r="BJ66" s="12" t="e">
        <f t="shared" si="4"/>
        <v>#DIV/0!</v>
      </c>
      <c r="BK66" s="12" t="e">
        <f t="shared" si="5"/>
        <v>#DIV/0!</v>
      </c>
      <c r="BL66" s="12"/>
      <c r="BM66" s="10"/>
      <c r="BN66" s="176"/>
      <c r="BO66" s="12" t="e">
        <f t="shared" si="48"/>
        <v>#DIV/0!</v>
      </c>
      <c r="BP66" s="11"/>
      <c r="BQ66" s="6"/>
      <c r="BR66" s="6"/>
    </row>
    <row r="67" spans="1:70" ht="18.75" customHeight="1">
      <c r="A67" s="326">
        <v>28</v>
      </c>
      <c r="B67" s="328"/>
      <c r="C67" s="329"/>
      <c r="D67" s="225"/>
      <c r="E67" s="27">
        <v>1</v>
      </c>
      <c r="F67" s="17"/>
      <c r="G67" s="17"/>
      <c r="H67" s="17"/>
      <c r="I67" s="17"/>
      <c r="J67" s="17"/>
      <c r="K67" s="8" t="e">
        <f t="shared" si="6"/>
        <v>#DIV/0!</v>
      </c>
      <c r="L67" s="17"/>
      <c r="M67" s="17"/>
      <c r="N67" s="17"/>
      <c r="O67" s="17"/>
      <c r="P67" s="17"/>
      <c r="Q67" s="9" t="e">
        <f t="shared" si="23"/>
        <v>#DIV/0!</v>
      </c>
      <c r="R67" s="17"/>
      <c r="S67" s="17"/>
      <c r="T67" s="17"/>
      <c r="U67" s="17"/>
      <c r="V67" s="17"/>
      <c r="W67" s="9" t="e">
        <f t="shared" si="7"/>
        <v>#DIV/0!</v>
      </c>
      <c r="X67" s="233"/>
      <c r="Y67" s="234"/>
      <c r="Z67" s="9" t="str">
        <f t="shared" si="8"/>
        <v>0</v>
      </c>
      <c r="AA67" s="7" t="e">
        <f t="shared" si="0"/>
        <v>#DIV/0!</v>
      </c>
      <c r="AB67" s="365"/>
      <c r="AC67" s="17"/>
      <c r="AD67" s="17"/>
      <c r="AE67" s="17"/>
      <c r="AF67" s="17"/>
      <c r="AG67" s="17"/>
      <c r="AH67" s="9" t="e">
        <f t="shared" si="9"/>
        <v>#DIV/0!</v>
      </c>
      <c r="AI67" s="17"/>
      <c r="AJ67" s="17"/>
      <c r="AK67" s="17"/>
      <c r="AL67" s="17"/>
      <c r="AM67" s="17"/>
      <c r="AN67" s="9" t="e">
        <f t="shared" si="10"/>
        <v>#DIV/0!</v>
      </c>
      <c r="AO67" s="17"/>
      <c r="AP67" s="17"/>
      <c r="AQ67" s="17"/>
      <c r="AR67" s="17"/>
      <c r="AS67" s="17"/>
      <c r="AT67" s="9" t="e">
        <f t="shared" si="11"/>
        <v>#DIV/0!</v>
      </c>
      <c r="AU67" s="208"/>
      <c r="AV67" s="209"/>
      <c r="AW67" s="9" t="str">
        <f t="shared" si="12"/>
        <v>0</v>
      </c>
      <c r="AX67" s="7" t="e">
        <f t="shared" si="1"/>
        <v>#DIV/0!</v>
      </c>
      <c r="AY67" s="18" t="e">
        <f t="shared" si="1"/>
        <v>#DIV/0!</v>
      </c>
      <c r="AZ67" s="231" t="e">
        <f t="shared" ref="AZ67" si="61">IF(BP67&gt;=4.5, " 5 ", IF(BP67&gt;=3.5," 4 ",IF(BP67&gt;=2.5," 3  ",IF(BP67&gt;=1.5," 2 ",IF(BP67&gt;=1,"1 ",IF(BP67&gt;=0,"0"))))))</f>
        <v>#DIV/0!</v>
      </c>
      <c r="BA67" s="4" t="e">
        <f t="shared" si="2"/>
        <v>#DIV/0!</v>
      </c>
      <c r="BB67" s="4" t="e">
        <f t="shared" si="13"/>
        <v>#DIV/0!</v>
      </c>
      <c r="BC67" s="4" t="e">
        <f t="shared" si="14"/>
        <v>#DIV/0!</v>
      </c>
      <c r="BD67" s="4">
        <f t="shared" si="15"/>
        <v>0</v>
      </c>
      <c r="BE67" s="12" t="e">
        <f t="shared" si="3"/>
        <v>#DIV/0!</v>
      </c>
      <c r="BF67" s="4" t="e">
        <f t="shared" si="16"/>
        <v>#DIV/0!</v>
      </c>
      <c r="BG67" s="4" t="e">
        <f t="shared" si="17"/>
        <v>#DIV/0!</v>
      </c>
      <c r="BH67" s="4" t="e">
        <f t="shared" si="18"/>
        <v>#DIV/0!</v>
      </c>
      <c r="BI67" s="4">
        <f t="shared" si="19"/>
        <v>0</v>
      </c>
      <c r="BJ67" s="12" t="e">
        <f t="shared" si="4"/>
        <v>#DIV/0!</v>
      </c>
      <c r="BK67" s="12" t="e">
        <f t="shared" si="5"/>
        <v>#DIV/0!</v>
      </c>
      <c r="BL67" s="12" t="e">
        <f>(BE67+BJ67)/2</f>
        <v>#DIV/0!</v>
      </c>
      <c r="BM67" s="10" t="e">
        <f t="shared" si="21"/>
        <v>#DIV/0!</v>
      </c>
      <c r="BN67" s="176" t="e">
        <f t="shared" si="35"/>
        <v>#DIV/0!</v>
      </c>
      <c r="BO67" s="12"/>
      <c r="BP67" s="11" t="e">
        <f t="shared" si="25"/>
        <v>#DIV/0!</v>
      </c>
      <c r="BQ67" s="6"/>
      <c r="BR67" s="6"/>
    </row>
    <row r="68" spans="1:70" ht="19.5" customHeight="1" thickBot="1">
      <c r="A68" s="327"/>
      <c r="B68" s="330"/>
      <c r="C68" s="331"/>
      <c r="D68" s="225"/>
      <c r="E68" s="28">
        <v>2</v>
      </c>
      <c r="F68" s="17"/>
      <c r="G68" s="17"/>
      <c r="H68" s="17"/>
      <c r="I68" s="17"/>
      <c r="J68" s="17"/>
      <c r="K68" s="8" t="e">
        <f t="shared" si="6"/>
        <v>#DIV/0!</v>
      </c>
      <c r="L68" s="17"/>
      <c r="M68" s="17"/>
      <c r="N68" s="17"/>
      <c r="O68" s="17"/>
      <c r="P68" s="17"/>
      <c r="Q68" s="9" t="e">
        <f t="shared" si="23"/>
        <v>#DIV/0!</v>
      </c>
      <c r="R68" s="17"/>
      <c r="S68" s="17"/>
      <c r="T68" s="17"/>
      <c r="U68" s="17"/>
      <c r="V68" s="17"/>
      <c r="W68" s="9" t="e">
        <f t="shared" si="7"/>
        <v>#DIV/0!</v>
      </c>
      <c r="X68" s="233"/>
      <c r="Y68" s="234"/>
      <c r="Z68" s="9" t="str">
        <f t="shared" si="8"/>
        <v>0</v>
      </c>
      <c r="AA68" s="7" t="e">
        <f t="shared" si="0"/>
        <v>#DIV/0!</v>
      </c>
      <c r="AB68" s="365"/>
      <c r="AC68" s="17"/>
      <c r="AD68" s="17"/>
      <c r="AE68" s="17"/>
      <c r="AF68" s="17"/>
      <c r="AG68" s="17"/>
      <c r="AH68" s="9" t="e">
        <f t="shared" si="9"/>
        <v>#DIV/0!</v>
      </c>
      <c r="AI68" s="17"/>
      <c r="AJ68" s="17"/>
      <c r="AK68" s="17"/>
      <c r="AL68" s="17"/>
      <c r="AM68" s="17"/>
      <c r="AN68" s="9" t="e">
        <f t="shared" si="10"/>
        <v>#DIV/0!</v>
      </c>
      <c r="AO68" s="17"/>
      <c r="AP68" s="17"/>
      <c r="AQ68" s="17"/>
      <c r="AR68" s="17"/>
      <c r="AS68" s="17"/>
      <c r="AT68" s="9" t="e">
        <f t="shared" si="11"/>
        <v>#DIV/0!</v>
      </c>
      <c r="AU68" s="208"/>
      <c r="AV68" s="209"/>
      <c r="AW68" s="9" t="str">
        <f t="shared" si="12"/>
        <v>0</v>
      </c>
      <c r="AX68" s="7" t="e">
        <f t="shared" si="1"/>
        <v>#DIV/0!</v>
      </c>
      <c r="AY68" s="18" t="e">
        <f t="shared" si="1"/>
        <v>#DIV/0!</v>
      </c>
      <c r="AZ68" s="232"/>
      <c r="BA68" s="4" t="e">
        <f t="shared" si="2"/>
        <v>#DIV/0!</v>
      </c>
      <c r="BB68" s="4" t="e">
        <f t="shared" si="13"/>
        <v>#DIV/0!</v>
      </c>
      <c r="BC68" s="4" t="e">
        <f t="shared" si="14"/>
        <v>#DIV/0!</v>
      </c>
      <c r="BD68" s="4">
        <f t="shared" si="15"/>
        <v>0</v>
      </c>
      <c r="BE68" s="12" t="e">
        <f t="shared" si="3"/>
        <v>#DIV/0!</v>
      </c>
      <c r="BF68" s="4" t="e">
        <f t="shared" si="16"/>
        <v>#DIV/0!</v>
      </c>
      <c r="BG68" s="4" t="e">
        <f t="shared" si="17"/>
        <v>#DIV/0!</v>
      </c>
      <c r="BH68" s="4" t="e">
        <f t="shared" si="18"/>
        <v>#DIV/0!</v>
      </c>
      <c r="BI68" s="4">
        <f t="shared" si="19"/>
        <v>0</v>
      </c>
      <c r="BJ68" s="12" t="e">
        <f t="shared" si="4"/>
        <v>#DIV/0!</v>
      </c>
      <c r="BK68" s="12" t="e">
        <f t="shared" si="5"/>
        <v>#DIV/0!</v>
      </c>
      <c r="BL68" s="12"/>
      <c r="BM68" s="10"/>
      <c r="BN68" s="176"/>
      <c r="BO68" s="12" t="e">
        <f t="shared" si="48"/>
        <v>#DIV/0!</v>
      </c>
      <c r="BP68" s="11"/>
      <c r="BQ68" s="6"/>
      <c r="BR68" s="6"/>
    </row>
    <row r="69" spans="1:70" ht="18.75" customHeight="1">
      <c r="A69" s="326">
        <v>29</v>
      </c>
      <c r="B69" s="328"/>
      <c r="C69" s="329"/>
      <c r="D69" s="225"/>
      <c r="E69" s="27">
        <v>1</v>
      </c>
      <c r="F69" s="17"/>
      <c r="G69" s="17"/>
      <c r="H69" s="17"/>
      <c r="I69" s="17"/>
      <c r="J69" s="17"/>
      <c r="K69" s="8" t="e">
        <f t="shared" si="6"/>
        <v>#DIV/0!</v>
      </c>
      <c r="L69" s="17"/>
      <c r="M69" s="17"/>
      <c r="N69" s="17"/>
      <c r="O69" s="17"/>
      <c r="P69" s="17"/>
      <c r="Q69" s="9" t="e">
        <f t="shared" si="23"/>
        <v>#DIV/0!</v>
      </c>
      <c r="R69" s="17"/>
      <c r="S69" s="17"/>
      <c r="T69" s="17"/>
      <c r="U69" s="17"/>
      <c r="V69" s="17"/>
      <c r="W69" s="9" t="e">
        <f t="shared" si="7"/>
        <v>#DIV/0!</v>
      </c>
      <c r="X69" s="233"/>
      <c r="Y69" s="234"/>
      <c r="Z69" s="9" t="str">
        <f t="shared" si="8"/>
        <v>0</v>
      </c>
      <c r="AA69" s="7" t="e">
        <f t="shared" si="0"/>
        <v>#DIV/0!</v>
      </c>
      <c r="AB69" s="365"/>
      <c r="AC69" s="17"/>
      <c r="AD69" s="17"/>
      <c r="AE69" s="17"/>
      <c r="AF69" s="17"/>
      <c r="AG69" s="17"/>
      <c r="AH69" s="9" t="e">
        <f t="shared" si="9"/>
        <v>#DIV/0!</v>
      </c>
      <c r="AI69" s="17"/>
      <c r="AJ69" s="17"/>
      <c r="AK69" s="17"/>
      <c r="AL69" s="17"/>
      <c r="AM69" s="17"/>
      <c r="AN69" s="9" t="e">
        <f t="shared" si="10"/>
        <v>#DIV/0!</v>
      </c>
      <c r="AO69" s="17"/>
      <c r="AP69" s="17"/>
      <c r="AQ69" s="17"/>
      <c r="AR69" s="17"/>
      <c r="AS69" s="17"/>
      <c r="AT69" s="9" t="e">
        <f t="shared" si="11"/>
        <v>#DIV/0!</v>
      </c>
      <c r="AU69" s="208"/>
      <c r="AV69" s="209"/>
      <c r="AW69" s="9" t="str">
        <f t="shared" si="12"/>
        <v>0</v>
      </c>
      <c r="AX69" s="7" t="e">
        <f t="shared" si="1"/>
        <v>#DIV/0!</v>
      </c>
      <c r="AY69" s="18" t="e">
        <f t="shared" si="1"/>
        <v>#DIV/0!</v>
      </c>
      <c r="AZ69" s="231" t="e">
        <f t="shared" ref="AZ69" si="62">IF(BP69&gt;=4.5, " 5 ", IF(BP69&gt;=3.5," 4 ",IF(BP69&gt;=2.5," 3  ",IF(BP69&gt;=1.5," 2 ",IF(BP69&gt;=1,"1 ",IF(BP69&gt;=0,"0"))))))</f>
        <v>#DIV/0!</v>
      </c>
      <c r="BA69" s="4" t="e">
        <f t="shared" si="2"/>
        <v>#DIV/0!</v>
      </c>
      <c r="BB69" s="4" t="e">
        <f t="shared" si="13"/>
        <v>#DIV/0!</v>
      </c>
      <c r="BC69" s="4" t="e">
        <f t="shared" si="14"/>
        <v>#DIV/0!</v>
      </c>
      <c r="BD69" s="4">
        <f t="shared" si="15"/>
        <v>0</v>
      </c>
      <c r="BE69" s="12" t="e">
        <f t="shared" si="3"/>
        <v>#DIV/0!</v>
      </c>
      <c r="BF69" s="4" t="e">
        <f t="shared" si="16"/>
        <v>#DIV/0!</v>
      </c>
      <c r="BG69" s="4" t="e">
        <f t="shared" si="17"/>
        <v>#DIV/0!</v>
      </c>
      <c r="BH69" s="4" t="e">
        <f t="shared" si="18"/>
        <v>#DIV/0!</v>
      </c>
      <c r="BI69" s="4">
        <f t="shared" si="19"/>
        <v>0</v>
      </c>
      <c r="BJ69" s="12" t="e">
        <f t="shared" si="4"/>
        <v>#DIV/0!</v>
      </c>
      <c r="BK69" s="12" t="e">
        <f t="shared" si="5"/>
        <v>#DIV/0!</v>
      </c>
      <c r="BL69" s="12" t="e">
        <f>(BE69+BJ69)/2</f>
        <v>#DIV/0!</v>
      </c>
      <c r="BM69" s="10" t="e">
        <f t="shared" si="21"/>
        <v>#DIV/0!</v>
      </c>
      <c r="BN69" s="176" t="e">
        <f t="shared" ref="BN69" si="63">ROUND(BO70,)</f>
        <v>#DIV/0!</v>
      </c>
      <c r="BO69" s="12"/>
      <c r="BP69" s="11" t="e">
        <f t="shared" si="25"/>
        <v>#DIV/0!</v>
      </c>
      <c r="BQ69" s="6"/>
      <c r="BR69" s="6"/>
    </row>
    <row r="70" spans="1:70" ht="17.25" customHeight="1" thickBot="1">
      <c r="A70" s="327"/>
      <c r="B70" s="330"/>
      <c r="C70" s="331"/>
      <c r="D70" s="225"/>
      <c r="E70" s="29">
        <v>2</v>
      </c>
      <c r="F70" s="17"/>
      <c r="G70" s="17"/>
      <c r="H70" s="17"/>
      <c r="I70" s="17"/>
      <c r="J70" s="17"/>
      <c r="K70" s="8" t="e">
        <f t="shared" si="6"/>
        <v>#DIV/0!</v>
      </c>
      <c r="L70" s="17"/>
      <c r="M70" s="17"/>
      <c r="N70" s="17"/>
      <c r="O70" s="17"/>
      <c r="P70" s="17"/>
      <c r="Q70" s="9" t="e">
        <f t="shared" si="23"/>
        <v>#DIV/0!</v>
      </c>
      <c r="R70" s="17"/>
      <c r="S70" s="17"/>
      <c r="T70" s="17"/>
      <c r="U70" s="17"/>
      <c r="V70" s="17"/>
      <c r="W70" s="9" t="e">
        <f t="shared" si="7"/>
        <v>#DIV/0!</v>
      </c>
      <c r="X70" s="233"/>
      <c r="Y70" s="234"/>
      <c r="Z70" s="9" t="str">
        <f t="shared" si="8"/>
        <v>0</v>
      </c>
      <c r="AA70" s="7" t="e">
        <f t="shared" si="0"/>
        <v>#DIV/0!</v>
      </c>
      <c r="AB70" s="365"/>
      <c r="AC70" s="17"/>
      <c r="AD70" s="17"/>
      <c r="AE70" s="17"/>
      <c r="AF70" s="17"/>
      <c r="AG70" s="17"/>
      <c r="AH70" s="9" t="e">
        <f t="shared" si="9"/>
        <v>#DIV/0!</v>
      </c>
      <c r="AI70" s="17"/>
      <c r="AJ70" s="17"/>
      <c r="AK70" s="17"/>
      <c r="AL70" s="17"/>
      <c r="AM70" s="17"/>
      <c r="AN70" s="9" t="e">
        <f t="shared" si="10"/>
        <v>#DIV/0!</v>
      </c>
      <c r="AO70" s="17"/>
      <c r="AP70" s="17"/>
      <c r="AQ70" s="17"/>
      <c r="AR70" s="17"/>
      <c r="AS70" s="17"/>
      <c r="AT70" s="9" t="e">
        <f t="shared" si="11"/>
        <v>#DIV/0!</v>
      </c>
      <c r="AU70" s="208"/>
      <c r="AV70" s="209"/>
      <c r="AW70" s="9" t="str">
        <f t="shared" si="12"/>
        <v>0</v>
      </c>
      <c r="AX70" s="7" t="e">
        <f t="shared" si="1"/>
        <v>#DIV/0!</v>
      </c>
      <c r="AY70" s="18" t="e">
        <f t="shared" si="1"/>
        <v>#DIV/0!</v>
      </c>
      <c r="AZ70" s="232"/>
      <c r="BA70" s="4" t="e">
        <f t="shared" si="2"/>
        <v>#DIV/0!</v>
      </c>
      <c r="BB70" s="4" t="e">
        <f t="shared" si="13"/>
        <v>#DIV/0!</v>
      </c>
      <c r="BC70" s="4" t="e">
        <f t="shared" si="14"/>
        <v>#DIV/0!</v>
      </c>
      <c r="BD70" s="4">
        <f t="shared" si="15"/>
        <v>0</v>
      </c>
      <c r="BE70" s="12" t="e">
        <f t="shared" si="3"/>
        <v>#DIV/0!</v>
      </c>
      <c r="BF70" s="4" t="e">
        <f t="shared" si="16"/>
        <v>#DIV/0!</v>
      </c>
      <c r="BG70" s="4" t="e">
        <f t="shared" si="17"/>
        <v>#DIV/0!</v>
      </c>
      <c r="BH70" s="4" t="e">
        <f t="shared" si="18"/>
        <v>#DIV/0!</v>
      </c>
      <c r="BI70" s="4">
        <f t="shared" si="19"/>
        <v>0</v>
      </c>
      <c r="BJ70" s="12" t="e">
        <f t="shared" si="4"/>
        <v>#DIV/0!</v>
      </c>
      <c r="BK70" s="12" t="e">
        <f t="shared" si="5"/>
        <v>#DIV/0!</v>
      </c>
      <c r="BL70" s="12"/>
      <c r="BM70" s="10"/>
      <c r="BN70" s="176"/>
      <c r="BO70" s="12" t="e">
        <f t="shared" si="48"/>
        <v>#DIV/0!</v>
      </c>
      <c r="BP70" s="11"/>
      <c r="BQ70" s="6"/>
      <c r="BR70" s="6"/>
    </row>
    <row r="71" spans="1:70" ht="17.25" customHeight="1">
      <c r="A71" s="326">
        <v>30</v>
      </c>
      <c r="B71" s="328"/>
      <c r="C71" s="329"/>
      <c r="D71" s="225"/>
      <c r="E71" s="24">
        <v>1</v>
      </c>
      <c r="F71" s="17"/>
      <c r="G71" s="17"/>
      <c r="H71" s="17"/>
      <c r="I71" s="17"/>
      <c r="J71" s="17"/>
      <c r="K71" s="8" t="e">
        <f t="shared" si="6"/>
        <v>#DIV/0!</v>
      </c>
      <c r="L71" s="17"/>
      <c r="M71" s="17"/>
      <c r="N71" s="17"/>
      <c r="O71" s="17"/>
      <c r="P71" s="17"/>
      <c r="Q71" s="9" t="e">
        <f t="shared" si="23"/>
        <v>#DIV/0!</v>
      </c>
      <c r="R71" s="17"/>
      <c r="S71" s="17"/>
      <c r="T71" s="17"/>
      <c r="U71" s="17"/>
      <c r="V71" s="17"/>
      <c r="W71" s="9" t="e">
        <f t="shared" si="7"/>
        <v>#DIV/0!</v>
      </c>
      <c r="X71" s="233"/>
      <c r="Y71" s="234"/>
      <c r="Z71" s="9" t="str">
        <f t="shared" si="8"/>
        <v>0</v>
      </c>
      <c r="AA71" s="7" t="e">
        <f t="shared" si="0"/>
        <v>#DIV/0!</v>
      </c>
      <c r="AB71" s="365"/>
      <c r="AC71" s="17"/>
      <c r="AD71" s="17"/>
      <c r="AE71" s="17"/>
      <c r="AF71" s="17"/>
      <c r="AG71" s="17"/>
      <c r="AH71" s="9" t="e">
        <f t="shared" si="9"/>
        <v>#DIV/0!</v>
      </c>
      <c r="AI71" s="17"/>
      <c r="AJ71" s="17"/>
      <c r="AK71" s="17"/>
      <c r="AL71" s="17"/>
      <c r="AM71" s="17"/>
      <c r="AN71" s="9" t="e">
        <f t="shared" si="10"/>
        <v>#DIV/0!</v>
      </c>
      <c r="AO71" s="17"/>
      <c r="AP71" s="17"/>
      <c r="AQ71" s="17"/>
      <c r="AR71" s="17"/>
      <c r="AS71" s="17"/>
      <c r="AT71" s="9" t="e">
        <f t="shared" si="11"/>
        <v>#DIV/0!</v>
      </c>
      <c r="AU71" s="208"/>
      <c r="AV71" s="209"/>
      <c r="AW71" s="9" t="str">
        <f t="shared" si="12"/>
        <v>0</v>
      </c>
      <c r="AX71" s="7" t="e">
        <f t="shared" si="1"/>
        <v>#DIV/0!</v>
      </c>
      <c r="AY71" s="18" t="e">
        <f t="shared" si="1"/>
        <v>#DIV/0!</v>
      </c>
      <c r="AZ71" s="231" t="e">
        <f t="shared" ref="AZ71" si="64">IF(BP71&gt;=4.5, " 5 ", IF(BP71&gt;=3.5," 4 ",IF(BP71&gt;=2.5," 3  ",IF(BP71&gt;=1.5," 2 ",IF(BP71&gt;=1,"1 ",IF(BP71&gt;=0,"0"))))))</f>
        <v>#DIV/0!</v>
      </c>
      <c r="BA71" s="4" t="e">
        <f t="shared" si="2"/>
        <v>#DIV/0!</v>
      </c>
      <c r="BB71" s="4" t="e">
        <f t="shared" si="13"/>
        <v>#DIV/0!</v>
      </c>
      <c r="BC71" s="4" t="e">
        <f t="shared" si="14"/>
        <v>#DIV/0!</v>
      </c>
      <c r="BD71" s="4">
        <f t="shared" si="15"/>
        <v>0</v>
      </c>
      <c r="BE71" s="12" t="e">
        <f t="shared" si="3"/>
        <v>#DIV/0!</v>
      </c>
      <c r="BF71" s="4" t="e">
        <f t="shared" si="16"/>
        <v>#DIV/0!</v>
      </c>
      <c r="BG71" s="4" t="e">
        <f t="shared" si="17"/>
        <v>#DIV/0!</v>
      </c>
      <c r="BH71" s="4" t="e">
        <f t="shared" si="18"/>
        <v>#DIV/0!</v>
      </c>
      <c r="BI71" s="4">
        <f t="shared" si="19"/>
        <v>0</v>
      </c>
      <c r="BJ71" s="12" t="e">
        <f t="shared" si="4"/>
        <v>#DIV/0!</v>
      </c>
      <c r="BK71" s="12" t="e">
        <f t="shared" si="5"/>
        <v>#DIV/0!</v>
      </c>
      <c r="BL71" s="12" t="e">
        <f>(BE71+BJ71)/2</f>
        <v>#DIV/0!</v>
      </c>
      <c r="BM71" s="10" t="e">
        <f t="shared" si="21"/>
        <v>#DIV/0!</v>
      </c>
      <c r="BN71" s="176" t="e">
        <f t="shared" si="31"/>
        <v>#DIV/0!</v>
      </c>
      <c r="BO71" s="12"/>
      <c r="BP71" s="11" t="e">
        <f t="shared" si="25"/>
        <v>#DIV/0!</v>
      </c>
      <c r="BQ71" s="6"/>
      <c r="BR71" s="6"/>
    </row>
    <row r="72" spans="1:70" ht="17.25" customHeight="1" thickBot="1">
      <c r="A72" s="327"/>
      <c r="B72" s="330"/>
      <c r="C72" s="331"/>
      <c r="D72" s="225"/>
      <c r="E72" s="25">
        <v>2</v>
      </c>
      <c r="F72" s="17"/>
      <c r="G72" s="17"/>
      <c r="H72" s="17"/>
      <c r="I72" s="17"/>
      <c r="J72" s="17"/>
      <c r="K72" s="8" t="e">
        <f t="shared" si="6"/>
        <v>#DIV/0!</v>
      </c>
      <c r="L72" s="17"/>
      <c r="M72" s="17"/>
      <c r="N72" s="17"/>
      <c r="O72" s="17"/>
      <c r="P72" s="17"/>
      <c r="Q72" s="9" t="e">
        <f t="shared" si="23"/>
        <v>#DIV/0!</v>
      </c>
      <c r="R72" s="17"/>
      <c r="S72" s="17"/>
      <c r="T72" s="17"/>
      <c r="U72" s="17"/>
      <c r="V72" s="17"/>
      <c r="W72" s="9" t="e">
        <f>AVERAGE(R72:V72)</f>
        <v>#DIV/0!</v>
      </c>
      <c r="X72" s="233"/>
      <c r="Y72" s="234"/>
      <c r="Z72" s="9" t="str">
        <f t="shared" si="8"/>
        <v>0</v>
      </c>
      <c r="AA72" s="7" t="e">
        <f t="shared" si="0"/>
        <v>#DIV/0!</v>
      </c>
      <c r="AB72" s="366"/>
      <c r="AC72" s="17"/>
      <c r="AD72" s="17"/>
      <c r="AE72" s="17"/>
      <c r="AF72" s="17"/>
      <c r="AG72" s="17"/>
      <c r="AH72" s="9" t="e">
        <f t="shared" si="9"/>
        <v>#DIV/0!</v>
      </c>
      <c r="AI72" s="17"/>
      <c r="AJ72" s="17"/>
      <c r="AK72" s="17"/>
      <c r="AL72" s="17"/>
      <c r="AM72" s="17"/>
      <c r="AN72" s="9" t="e">
        <f t="shared" si="10"/>
        <v>#DIV/0!</v>
      </c>
      <c r="AO72" s="17"/>
      <c r="AP72" s="17"/>
      <c r="AQ72" s="17"/>
      <c r="AR72" s="17"/>
      <c r="AS72" s="17"/>
      <c r="AT72" s="9" t="e">
        <f t="shared" si="11"/>
        <v>#DIV/0!</v>
      </c>
      <c r="AU72" s="208"/>
      <c r="AV72" s="209"/>
      <c r="AW72" s="9" t="str">
        <f t="shared" si="12"/>
        <v>0</v>
      </c>
      <c r="AX72" s="7" t="e">
        <f t="shared" si="1"/>
        <v>#DIV/0!</v>
      </c>
      <c r="AY72" s="18" t="e">
        <f t="shared" si="1"/>
        <v>#DIV/0!</v>
      </c>
      <c r="AZ72" s="232"/>
      <c r="BA72" s="4" t="e">
        <f t="shared" si="2"/>
        <v>#DIV/0!</v>
      </c>
      <c r="BB72" s="4" t="e">
        <f t="shared" si="13"/>
        <v>#DIV/0!</v>
      </c>
      <c r="BC72" s="4" t="e">
        <f t="shared" si="14"/>
        <v>#DIV/0!</v>
      </c>
      <c r="BD72" s="4">
        <f t="shared" si="15"/>
        <v>0</v>
      </c>
      <c r="BE72" s="12" t="e">
        <f t="shared" si="3"/>
        <v>#DIV/0!</v>
      </c>
      <c r="BF72" s="4" t="e">
        <f t="shared" si="16"/>
        <v>#DIV/0!</v>
      </c>
      <c r="BG72" s="4" t="e">
        <f t="shared" si="17"/>
        <v>#DIV/0!</v>
      </c>
      <c r="BH72" s="4" t="e">
        <f t="shared" si="18"/>
        <v>#DIV/0!</v>
      </c>
      <c r="BI72" s="4">
        <f t="shared" si="19"/>
        <v>0</v>
      </c>
      <c r="BJ72" s="12" t="e">
        <f t="shared" si="4"/>
        <v>#DIV/0!</v>
      </c>
      <c r="BK72" s="12" t="e">
        <f t="shared" si="5"/>
        <v>#DIV/0!</v>
      </c>
      <c r="BL72" s="12"/>
      <c r="BM72" s="10"/>
      <c r="BN72" s="176"/>
      <c r="BO72" s="12" t="e">
        <f t="shared" si="48"/>
        <v>#DIV/0!</v>
      </c>
      <c r="BP72" s="11"/>
      <c r="BQ72" s="6"/>
      <c r="BR72" s="6"/>
    </row>
  </sheetData>
  <sheetProtection sheet="1" selectLockedCells="1"/>
  <mergeCells count="414">
    <mergeCell ref="A69:A70"/>
    <mergeCell ref="B69:C70"/>
    <mergeCell ref="D69:D70"/>
    <mergeCell ref="X69:Y69"/>
    <mergeCell ref="AU69:AV69"/>
    <mergeCell ref="AZ69:AZ70"/>
    <mergeCell ref="BN69:BN70"/>
    <mergeCell ref="AZ71:AZ72"/>
    <mergeCell ref="BN71:BN72"/>
    <mergeCell ref="X72:Y72"/>
    <mergeCell ref="AU72:AV72"/>
    <mergeCell ref="X70:Y70"/>
    <mergeCell ref="AU70:AV70"/>
    <mergeCell ref="A71:A72"/>
    <mergeCell ref="B71:C72"/>
    <mergeCell ref="D71:D72"/>
    <mergeCell ref="X71:Y71"/>
    <mergeCell ref="AU71:AV71"/>
    <mergeCell ref="BN65:BN66"/>
    <mergeCell ref="X66:Y66"/>
    <mergeCell ref="AU66:AV66"/>
    <mergeCell ref="A67:A68"/>
    <mergeCell ref="B67:C68"/>
    <mergeCell ref="D67:D68"/>
    <mergeCell ref="X67:Y67"/>
    <mergeCell ref="AU67:AV67"/>
    <mergeCell ref="AZ67:AZ68"/>
    <mergeCell ref="BN67:BN68"/>
    <mergeCell ref="X68:Y68"/>
    <mergeCell ref="AU68:AV68"/>
    <mergeCell ref="A65:A66"/>
    <mergeCell ref="B65:C66"/>
    <mergeCell ref="D65:D66"/>
    <mergeCell ref="X65:Y65"/>
    <mergeCell ref="AU65:AV65"/>
    <mergeCell ref="AZ65:AZ66"/>
    <mergeCell ref="BN61:BN62"/>
    <mergeCell ref="X62:Y62"/>
    <mergeCell ref="AU62:AV62"/>
    <mergeCell ref="A63:A64"/>
    <mergeCell ref="B63:C64"/>
    <mergeCell ref="D63:D64"/>
    <mergeCell ref="X63:Y63"/>
    <mergeCell ref="AU63:AV63"/>
    <mergeCell ref="AZ63:AZ64"/>
    <mergeCell ref="BN63:BN64"/>
    <mergeCell ref="A61:A62"/>
    <mergeCell ref="B61:C62"/>
    <mergeCell ref="D61:D62"/>
    <mergeCell ref="X61:Y61"/>
    <mergeCell ref="AU61:AV61"/>
    <mergeCell ref="AZ61:AZ62"/>
    <mergeCell ref="X64:Y64"/>
    <mergeCell ref="AU64:AV64"/>
    <mergeCell ref="X58:Y58"/>
    <mergeCell ref="AU58:AV58"/>
    <mergeCell ref="A59:A60"/>
    <mergeCell ref="B59:C60"/>
    <mergeCell ref="D59:D60"/>
    <mergeCell ref="X59:Y59"/>
    <mergeCell ref="AU59:AV59"/>
    <mergeCell ref="BN55:BN56"/>
    <mergeCell ref="X56:Y56"/>
    <mergeCell ref="AU56:AV56"/>
    <mergeCell ref="A57:A58"/>
    <mergeCell ref="B57:C58"/>
    <mergeCell ref="D57:D58"/>
    <mergeCell ref="X57:Y57"/>
    <mergeCell ref="AU57:AV57"/>
    <mergeCell ref="AZ57:AZ58"/>
    <mergeCell ref="BN57:BN58"/>
    <mergeCell ref="AZ59:AZ60"/>
    <mergeCell ref="BN59:BN60"/>
    <mergeCell ref="X60:Y60"/>
    <mergeCell ref="AU60:AV60"/>
    <mergeCell ref="BN53:BN54"/>
    <mergeCell ref="X54:Y54"/>
    <mergeCell ref="AU54:AV54"/>
    <mergeCell ref="A55:A56"/>
    <mergeCell ref="B55:C56"/>
    <mergeCell ref="D55:D56"/>
    <mergeCell ref="X55:Y55"/>
    <mergeCell ref="AU55:AV55"/>
    <mergeCell ref="AZ55:AZ56"/>
    <mergeCell ref="A53:A54"/>
    <mergeCell ref="B53:C54"/>
    <mergeCell ref="D53:D54"/>
    <mergeCell ref="X53:Y53"/>
    <mergeCell ref="AU53:AV53"/>
    <mergeCell ref="AZ53:AZ54"/>
    <mergeCell ref="BN49:BN50"/>
    <mergeCell ref="X50:Y50"/>
    <mergeCell ref="AU50:AV50"/>
    <mergeCell ref="A51:A52"/>
    <mergeCell ref="B51:C52"/>
    <mergeCell ref="D51:D52"/>
    <mergeCell ref="X51:Y51"/>
    <mergeCell ref="AU51:AV51"/>
    <mergeCell ref="AZ51:AZ52"/>
    <mergeCell ref="BN51:BN52"/>
    <mergeCell ref="A49:A50"/>
    <mergeCell ref="B49:C50"/>
    <mergeCell ref="D49:D50"/>
    <mergeCell ref="X49:Y49"/>
    <mergeCell ref="AU49:AV49"/>
    <mergeCell ref="AZ49:AZ50"/>
    <mergeCell ref="X52:Y52"/>
    <mergeCell ref="AU52:AV52"/>
    <mergeCell ref="X46:Y46"/>
    <mergeCell ref="AU46:AV46"/>
    <mergeCell ref="A47:A48"/>
    <mergeCell ref="B47:C48"/>
    <mergeCell ref="D47:D48"/>
    <mergeCell ref="X47:Y47"/>
    <mergeCell ref="AU47:AV47"/>
    <mergeCell ref="BN43:BN44"/>
    <mergeCell ref="X44:Y44"/>
    <mergeCell ref="AU44:AV44"/>
    <mergeCell ref="A45:A46"/>
    <mergeCell ref="B45:C46"/>
    <mergeCell ref="D45:D46"/>
    <mergeCell ref="X45:Y45"/>
    <mergeCell ref="AU45:AV45"/>
    <mergeCell ref="AZ45:AZ46"/>
    <mergeCell ref="BN45:BN46"/>
    <mergeCell ref="AZ47:AZ48"/>
    <mergeCell ref="BN47:BN48"/>
    <mergeCell ref="X48:Y48"/>
    <mergeCell ref="AU48:AV48"/>
    <mergeCell ref="BN41:BN42"/>
    <mergeCell ref="X42:Y42"/>
    <mergeCell ref="AU42:AV42"/>
    <mergeCell ref="A43:A44"/>
    <mergeCell ref="B43:C44"/>
    <mergeCell ref="D43:D44"/>
    <mergeCell ref="X43:Y43"/>
    <mergeCell ref="AU43:AV43"/>
    <mergeCell ref="AZ43:AZ44"/>
    <mergeCell ref="A41:A42"/>
    <mergeCell ref="B41:C42"/>
    <mergeCell ref="D41:D42"/>
    <mergeCell ref="X41:Y41"/>
    <mergeCell ref="AU41:AV41"/>
    <mergeCell ref="AZ41:AZ42"/>
    <mergeCell ref="BN37:BN38"/>
    <mergeCell ref="X38:Y38"/>
    <mergeCell ref="AU38:AV38"/>
    <mergeCell ref="A39:A40"/>
    <mergeCell ref="B39:C40"/>
    <mergeCell ref="D39:D40"/>
    <mergeCell ref="X39:Y39"/>
    <mergeCell ref="AU39:AV39"/>
    <mergeCell ref="AZ39:AZ40"/>
    <mergeCell ref="BN39:BN40"/>
    <mergeCell ref="A37:A38"/>
    <mergeCell ref="B37:C38"/>
    <mergeCell ref="D37:D38"/>
    <mergeCell ref="X37:Y37"/>
    <mergeCell ref="AU37:AV37"/>
    <mergeCell ref="AZ37:AZ38"/>
    <mergeCell ref="X40:Y40"/>
    <mergeCell ref="AU40:AV40"/>
    <mergeCell ref="X34:Y34"/>
    <mergeCell ref="AU34:AV34"/>
    <mergeCell ref="A35:A36"/>
    <mergeCell ref="B35:C36"/>
    <mergeCell ref="D35:D36"/>
    <mergeCell ref="X35:Y35"/>
    <mergeCell ref="AU35:AV35"/>
    <mergeCell ref="BN31:BN32"/>
    <mergeCell ref="X32:Y32"/>
    <mergeCell ref="AU32:AV32"/>
    <mergeCell ref="A33:A34"/>
    <mergeCell ref="B33:C34"/>
    <mergeCell ref="D33:D34"/>
    <mergeCell ref="X33:Y33"/>
    <mergeCell ref="AU33:AV33"/>
    <mergeCell ref="AZ33:AZ34"/>
    <mergeCell ref="BN33:BN34"/>
    <mergeCell ref="AZ35:AZ36"/>
    <mergeCell ref="BN35:BN36"/>
    <mergeCell ref="X36:Y36"/>
    <mergeCell ref="AU36:AV36"/>
    <mergeCell ref="BN29:BN30"/>
    <mergeCell ref="X30:Y30"/>
    <mergeCell ref="AU30:AV30"/>
    <mergeCell ref="A31:A32"/>
    <mergeCell ref="B31:C32"/>
    <mergeCell ref="D31:D32"/>
    <mergeCell ref="X31:Y31"/>
    <mergeCell ref="AU31:AV31"/>
    <mergeCell ref="AZ31:AZ32"/>
    <mergeCell ref="A29:A30"/>
    <mergeCell ref="B29:C30"/>
    <mergeCell ref="D29:D30"/>
    <mergeCell ref="X29:Y29"/>
    <mergeCell ref="AU29:AV29"/>
    <mergeCell ref="AZ29:AZ30"/>
    <mergeCell ref="BN25:BN26"/>
    <mergeCell ref="X26:Y26"/>
    <mergeCell ref="AU26:AV26"/>
    <mergeCell ref="A27:A28"/>
    <mergeCell ref="B27:C28"/>
    <mergeCell ref="D27:D28"/>
    <mergeCell ref="X27:Y27"/>
    <mergeCell ref="AU27:AV27"/>
    <mergeCell ref="AZ27:AZ28"/>
    <mergeCell ref="BN27:BN28"/>
    <mergeCell ref="A25:A26"/>
    <mergeCell ref="B25:C26"/>
    <mergeCell ref="D25:D26"/>
    <mergeCell ref="X25:Y25"/>
    <mergeCell ref="AU25:AV25"/>
    <mergeCell ref="AZ25:AZ26"/>
    <mergeCell ref="X28:Y28"/>
    <mergeCell ref="AU28:AV28"/>
    <mergeCell ref="X22:Y22"/>
    <mergeCell ref="AU22:AV22"/>
    <mergeCell ref="A23:A24"/>
    <mergeCell ref="B23:C24"/>
    <mergeCell ref="D23:D24"/>
    <mergeCell ref="X23:Y23"/>
    <mergeCell ref="AU23:AV23"/>
    <mergeCell ref="BN19:BN20"/>
    <mergeCell ref="X20:Y20"/>
    <mergeCell ref="AU20:AV20"/>
    <mergeCell ref="A21:A22"/>
    <mergeCell ref="B21:C22"/>
    <mergeCell ref="D21:D22"/>
    <mergeCell ref="X21:Y21"/>
    <mergeCell ref="AU21:AV21"/>
    <mergeCell ref="AZ21:AZ22"/>
    <mergeCell ref="BN21:BN22"/>
    <mergeCell ref="AZ23:AZ24"/>
    <mergeCell ref="BN23:BN24"/>
    <mergeCell ref="X24:Y24"/>
    <mergeCell ref="AU24:AV24"/>
    <mergeCell ref="BN17:BN18"/>
    <mergeCell ref="X18:Y18"/>
    <mergeCell ref="AU18:AV18"/>
    <mergeCell ref="A19:A20"/>
    <mergeCell ref="B19:C20"/>
    <mergeCell ref="D19:D20"/>
    <mergeCell ref="X19:Y19"/>
    <mergeCell ref="AU19:AV19"/>
    <mergeCell ref="AZ19:AZ20"/>
    <mergeCell ref="X16:Y16"/>
    <mergeCell ref="AU16:AV16"/>
    <mergeCell ref="A17:A18"/>
    <mergeCell ref="B17:C18"/>
    <mergeCell ref="D17:D18"/>
    <mergeCell ref="X17:Y17"/>
    <mergeCell ref="AU17:AV17"/>
    <mergeCell ref="BN13:BN14"/>
    <mergeCell ref="X14:Y14"/>
    <mergeCell ref="AU14:AV14"/>
    <mergeCell ref="A15:A16"/>
    <mergeCell ref="B15:C16"/>
    <mergeCell ref="D15:D16"/>
    <mergeCell ref="X15:Y15"/>
    <mergeCell ref="AU15:AV15"/>
    <mergeCell ref="AZ15:AZ16"/>
    <mergeCell ref="BN15:BN16"/>
    <mergeCell ref="A13:A14"/>
    <mergeCell ref="B13:C14"/>
    <mergeCell ref="D13:D14"/>
    <mergeCell ref="X13:Y13"/>
    <mergeCell ref="AU13:AV13"/>
    <mergeCell ref="AZ13:AZ14"/>
    <mergeCell ref="AZ17:AZ18"/>
    <mergeCell ref="AT9:AT12"/>
    <mergeCell ref="AU9:AV11"/>
    <mergeCell ref="AW9:AW12"/>
    <mergeCell ref="AX9:AX11"/>
    <mergeCell ref="AY9:AY12"/>
    <mergeCell ref="AZ9:AZ12"/>
    <mergeCell ref="AU12:AV12"/>
    <mergeCell ref="AB9:AB72"/>
    <mergeCell ref="AC9:AG11"/>
    <mergeCell ref="AH9:AH12"/>
    <mergeCell ref="AI9:AM11"/>
    <mergeCell ref="AN9:AN12"/>
    <mergeCell ref="AO9:AS11"/>
    <mergeCell ref="AC12:AG12"/>
    <mergeCell ref="AI12:AM12"/>
    <mergeCell ref="AO12:AS12"/>
    <mergeCell ref="Q9:Q12"/>
    <mergeCell ref="R9:V11"/>
    <mergeCell ref="W9:W12"/>
    <mergeCell ref="X9:Y11"/>
    <mergeCell ref="Z9:Z12"/>
    <mergeCell ref="AA9:AA11"/>
    <mergeCell ref="R12:V12"/>
    <mergeCell ref="X12:Y12"/>
    <mergeCell ref="A9:C10"/>
    <mergeCell ref="D9:D12"/>
    <mergeCell ref="E9:E12"/>
    <mergeCell ref="F9:J11"/>
    <mergeCell ref="K9:K12"/>
    <mergeCell ref="L9:P11"/>
    <mergeCell ref="A11:A12"/>
    <mergeCell ref="B11:C12"/>
    <mergeCell ref="F12:J12"/>
    <mergeCell ref="L12:P12"/>
    <mergeCell ref="A8:C8"/>
    <mergeCell ref="D8:R8"/>
    <mergeCell ref="S8:AC8"/>
    <mergeCell ref="AD8:AF8"/>
    <mergeCell ref="AG8:AN8"/>
    <mergeCell ref="AO8:AQ8"/>
    <mergeCell ref="AM7:AN7"/>
    <mergeCell ref="AO7:AQ7"/>
    <mergeCell ref="AR7:AS7"/>
    <mergeCell ref="A6:C7"/>
    <mergeCell ref="D6:R7"/>
    <mergeCell ref="AT7:AU7"/>
    <mergeCell ref="AW7:AX7"/>
    <mergeCell ref="AY7:AZ7"/>
    <mergeCell ref="AT6:AU6"/>
    <mergeCell ref="AW6:AX6"/>
    <mergeCell ref="AY6:AZ6"/>
    <mergeCell ref="S7:W7"/>
    <mergeCell ref="X7:Y7"/>
    <mergeCell ref="Z7:AA7"/>
    <mergeCell ref="AD7:AF7"/>
    <mergeCell ref="AG7:AH7"/>
    <mergeCell ref="AI7:AJ7"/>
    <mergeCell ref="AK7:AL7"/>
    <mergeCell ref="AG6:AH6"/>
    <mergeCell ref="AI6:AJ6"/>
    <mergeCell ref="AK6:AL6"/>
    <mergeCell ref="AM6:AN6"/>
    <mergeCell ref="AO6:AQ6"/>
    <mergeCell ref="AR6:AS6"/>
    <mergeCell ref="S6:W6"/>
    <mergeCell ref="X6:Y6"/>
    <mergeCell ref="Z6:AA6"/>
    <mergeCell ref="AD6:AF6"/>
    <mergeCell ref="AT5:AU5"/>
    <mergeCell ref="AW5:AX5"/>
    <mergeCell ref="AT4:AU4"/>
    <mergeCell ref="AW4:AX4"/>
    <mergeCell ref="AY4:AZ4"/>
    <mergeCell ref="AK4:AL4"/>
    <mergeCell ref="AM4:AN4"/>
    <mergeCell ref="AO4:AQ4"/>
    <mergeCell ref="AR4:AS4"/>
    <mergeCell ref="A4:C5"/>
    <mergeCell ref="D4:R4"/>
    <mergeCell ref="S4:W4"/>
    <mergeCell ref="X4:Y4"/>
    <mergeCell ref="Z4:AA4"/>
    <mergeCell ref="AD4:AF4"/>
    <mergeCell ref="AK3:AL3"/>
    <mergeCell ref="AM3:AN3"/>
    <mergeCell ref="AO3:AQ3"/>
    <mergeCell ref="A1:A3"/>
    <mergeCell ref="B1:R1"/>
    <mergeCell ref="S1:X1"/>
    <mergeCell ref="Y1:AF1"/>
    <mergeCell ref="AG1:AQ1"/>
    <mergeCell ref="D5:R5"/>
    <mergeCell ref="S5:W5"/>
    <mergeCell ref="X5:Y5"/>
    <mergeCell ref="Z5:AA5"/>
    <mergeCell ref="AD5:AF5"/>
    <mergeCell ref="AG5:AH5"/>
    <mergeCell ref="AI5:AJ5"/>
    <mergeCell ref="AG4:AH4"/>
    <mergeCell ref="AI4:AJ4"/>
    <mergeCell ref="AK5:AL5"/>
    <mergeCell ref="BM2:BM12"/>
    <mergeCell ref="BN2:BN12"/>
    <mergeCell ref="BO2:BO12"/>
    <mergeCell ref="BP2:BP12"/>
    <mergeCell ref="S3:W3"/>
    <mergeCell ref="X3:Y3"/>
    <mergeCell ref="Z3:AA3"/>
    <mergeCell ref="AD3:AF3"/>
    <mergeCell ref="AG3:AH3"/>
    <mergeCell ref="AI3:AJ3"/>
    <mergeCell ref="AW2:AX2"/>
    <mergeCell ref="AY2:AZ2"/>
    <mergeCell ref="BE2:BE12"/>
    <mergeCell ref="BJ2:BJ12"/>
    <mergeCell ref="BK2:BK12"/>
    <mergeCell ref="BL2:BL12"/>
    <mergeCell ref="AY3:AZ3"/>
    <mergeCell ref="AY5:AZ5"/>
    <mergeCell ref="AR8:AX8"/>
    <mergeCell ref="AY8:AZ8"/>
    <mergeCell ref="AI2:AJ2"/>
    <mergeCell ref="AM5:AN5"/>
    <mergeCell ref="AO5:AQ5"/>
    <mergeCell ref="AR5:AS5"/>
    <mergeCell ref="AR1:AZ1"/>
    <mergeCell ref="B2:C3"/>
    <mergeCell ref="D2:H3"/>
    <mergeCell ref="I2:L3"/>
    <mergeCell ref="M2:O3"/>
    <mergeCell ref="AK2:AL2"/>
    <mergeCell ref="AM2:AN2"/>
    <mergeCell ref="AO2:AQ2"/>
    <mergeCell ref="AR2:AS2"/>
    <mergeCell ref="AT2:AU2"/>
    <mergeCell ref="P2:R3"/>
    <mergeCell ref="S2:W2"/>
    <mergeCell ref="X2:Y2"/>
    <mergeCell ref="Z2:AA2"/>
    <mergeCell ref="AD2:AF2"/>
    <mergeCell ref="AG2:AH2"/>
    <mergeCell ref="AR3:AS3"/>
    <mergeCell ref="AT3:AU3"/>
    <mergeCell ref="AW3:AX3"/>
  </mergeCells>
  <pageMargins left="0.21030092592592592" right="4.5717592592592594E-2" top="0.37037037037037035" bottom="0.25" header="7.9166666666666673E-3" footer="0"/>
  <pageSetup scale="80" fitToWidth="0" fitToHeight="0" orientation="landscape" r:id="rId1"/>
  <headerFooter>
    <oddHeader>&amp;L                                                                                                                         &amp;18     DITARI PERSONAL I MËSIMDHËNËSIT-ES</oddHeader>
  </headerFooter>
  <rowBreaks count="1" manualBreakCount="1">
    <brk id="36" max="5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E075-F9A0-4377-9063-0F6C152B954D}">
  <sheetPr>
    <tabColor rgb="FF0070C0"/>
  </sheetPr>
  <dimension ref="A1:BR72"/>
  <sheetViews>
    <sheetView view="pageLayout" zoomScale="90" zoomScaleNormal="80" zoomScalePageLayoutView="90" workbookViewId="0">
      <selection activeCell="D5" sqref="D5:R5"/>
    </sheetView>
  </sheetViews>
  <sheetFormatPr defaultColWidth="3" defaultRowHeight="20.25" customHeight="1"/>
  <cols>
    <col min="1" max="1" width="4.5" customWidth="1"/>
    <col min="2" max="2" width="1.1640625" hidden="1" customWidth="1"/>
    <col min="3" max="3" width="22.1640625" customWidth="1"/>
    <col min="4" max="4" width="3.6640625" style="11" customWidth="1"/>
    <col min="5" max="5" width="3" customWidth="1"/>
    <col min="11" max="11" width="3.5" bestFit="1" customWidth="1"/>
    <col min="17" max="17" width="3.5" bestFit="1" customWidth="1"/>
    <col min="25" max="25" width="3.6640625" customWidth="1"/>
    <col min="27" max="27" width="4.83203125" customWidth="1"/>
    <col min="28" max="29" width="4" customWidth="1"/>
    <col min="37" max="37" width="2.33203125" customWidth="1"/>
    <col min="48" max="48" width="4.6640625" customWidth="1"/>
    <col min="49" max="49" width="3" customWidth="1"/>
    <col min="50" max="50" width="5.1640625" customWidth="1"/>
    <col min="51" max="51" width="4.33203125" customWidth="1"/>
    <col min="52" max="52" width="7.1640625" customWidth="1"/>
    <col min="53" max="53" width="7.1640625" style="4" hidden="1" customWidth="1"/>
    <col min="54" max="54" width="6.83203125" style="4" hidden="1" customWidth="1"/>
    <col min="55" max="56" width="5.6640625" style="4" hidden="1" customWidth="1"/>
    <col min="57" max="57" width="8.1640625" style="10" hidden="1" customWidth="1"/>
    <col min="58" max="58" width="6.1640625" style="4" hidden="1" customWidth="1"/>
    <col min="59" max="59" width="9.1640625" style="4" hidden="1" customWidth="1"/>
    <col min="60" max="60" width="6.33203125" style="4" hidden="1" customWidth="1"/>
    <col min="61" max="61" width="5.6640625" style="4" hidden="1" customWidth="1"/>
    <col min="62" max="62" width="6.5" style="11" hidden="1" customWidth="1"/>
    <col min="63" max="63" width="8.33203125" hidden="1" customWidth="1"/>
    <col min="64" max="64" width="8.6640625" hidden="1" customWidth="1"/>
    <col min="65" max="65" width="6.5" hidden="1" customWidth="1"/>
    <col min="66" max="66" width="5.1640625" hidden="1" customWidth="1"/>
    <col min="67" max="67" width="6.6640625" hidden="1" customWidth="1"/>
    <col min="68" max="68" width="6.1640625" hidden="1" customWidth="1"/>
    <col min="70" max="70" width="7" customWidth="1"/>
  </cols>
  <sheetData>
    <row r="1" spans="1:70" ht="20.25" customHeight="1">
      <c r="A1" s="248" t="s">
        <v>30</v>
      </c>
      <c r="B1" s="268" t="s">
        <v>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210" t="s">
        <v>7</v>
      </c>
      <c r="T1" s="211"/>
      <c r="U1" s="211"/>
      <c r="V1" s="211"/>
      <c r="W1" s="211"/>
      <c r="X1" s="212"/>
      <c r="Y1" s="177" t="s">
        <v>46</v>
      </c>
      <c r="Z1" s="177"/>
      <c r="AA1" s="177"/>
      <c r="AB1" s="177"/>
      <c r="AC1" s="177"/>
      <c r="AD1" s="177"/>
      <c r="AE1" s="177"/>
      <c r="AF1" s="178"/>
      <c r="AG1" s="179" t="s">
        <v>47</v>
      </c>
      <c r="AH1" s="180"/>
      <c r="AI1" s="180"/>
      <c r="AJ1" s="180"/>
      <c r="AK1" s="180"/>
      <c r="AL1" s="180"/>
      <c r="AM1" s="180"/>
      <c r="AN1" s="180"/>
      <c r="AO1" s="180"/>
      <c r="AP1" s="180"/>
      <c r="AQ1" s="181"/>
      <c r="AR1" s="182" t="s">
        <v>23</v>
      </c>
      <c r="AS1" s="183"/>
      <c r="AT1" s="183"/>
      <c r="AU1" s="183"/>
      <c r="AV1" s="183"/>
      <c r="AW1" s="183"/>
      <c r="AX1" s="183"/>
      <c r="AY1" s="183"/>
      <c r="AZ1" s="184"/>
    </row>
    <row r="2" spans="1:70" ht="20.25" customHeight="1">
      <c r="A2" s="248"/>
      <c r="B2" s="250"/>
      <c r="C2" s="250"/>
      <c r="D2" s="271" t="s">
        <v>9</v>
      </c>
      <c r="E2" s="272"/>
      <c r="F2" s="272"/>
      <c r="G2" s="272"/>
      <c r="H2" s="273"/>
      <c r="I2" s="225" t="s">
        <v>51</v>
      </c>
      <c r="J2" s="225"/>
      <c r="K2" s="225"/>
      <c r="L2" s="225"/>
      <c r="M2" s="267" t="s">
        <v>6</v>
      </c>
      <c r="N2" s="267"/>
      <c r="O2" s="267"/>
      <c r="P2" s="268" t="s">
        <v>137</v>
      </c>
      <c r="Q2" s="268"/>
      <c r="R2" s="269"/>
      <c r="S2" s="291" t="s">
        <v>43</v>
      </c>
      <c r="T2" s="292"/>
      <c r="U2" s="292"/>
      <c r="V2" s="292"/>
      <c r="W2" s="293"/>
      <c r="X2" s="264" t="s">
        <v>44</v>
      </c>
      <c r="Y2" s="254"/>
      <c r="Z2" s="254" t="s">
        <v>45</v>
      </c>
      <c r="AA2" s="254"/>
      <c r="AB2" s="30" t="s">
        <v>53</v>
      </c>
      <c r="AC2" s="30" t="s">
        <v>52</v>
      </c>
      <c r="AD2" s="285" t="s">
        <v>15</v>
      </c>
      <c r="AE2" s="285"/>
      <c r="AF2" s="286"/>
      <c r="AG2" s="295" t="s">
        <v>44</v>
      </c>
      <c r="AH2" s="296"/>
      <c r="AI2" s="296" t="s">
        <v>45</v>
      </c>
      <c r="AJ2" s="296"/>
      <c r="AK2" s="221" t="s">
        <v>53</v>
      </c>
      <c r="AL2" s="221"/>
      <c r="AM2" s="221" t="s">
        <v>52</v>
      </c>
      <c r="AN2" s="221"/>
      <c r="AO2" s="222" t="s">
        <v>15</v>
      </c>
      <c r="AP2" s="222"/>
      <c r="AQ2" s="223"/>
      <c r="AR2" s="229" t="s">
        <v>44</v>
      </c>
      <c r="AS2" s="230"/>
      <c r="AT2" s="312" t="s">
        <v>45</v>
      </c>
      <c r="AU2" s="312"/>
      <c r="AV2" s="31" t="s">
        <v>53</v>
      </c>
      <c r="AW2" s="206" t="s">
        <v>52</v>
      </c>
      <c r="AX2" s="206"/>
      <c r="AY2" s="196" t="s">
        <v>57</v>
      </c>
      <c r="AZ2" s="197"/>
      <c r="BA2" s="13"/>
      <c r="BE2" s="240" t="s">
        <v>40</v>
      </c>
      <c r="BJ2" s="240" t="s">
        <v>39</v>
      </c>
      <c r="BK2" s="240" t="s">
        <v>38</v>
      </c>
      <c r="BL2" s="240" t="s">
        <v>41</v>
      </c>
      <c r="BM2" s="240" t="s">
        <v>41</v>
      </c>
      <c r="BN2" s="240" t="s">
        <v>42</v>
      </c>
      <c r="BO2" s="240" t="s">
        <v>42</v>
      </c>
      <c r="BP2" s="240" t="s">
        <v>50</v>
      </c>
    </row>
    <row r="3" spans="1:70" ht="20.25" customHeight="1">
      <c r="A3" s="248"/>
      <c r="B3" s="250"/>
      <c r="C3" s="250"/>
      <c r="D3" s="274"/>
      <c r="E3" s="275"/>
      <c r="F3" s="275"/>
      <c r="G3" s="275"/>
      <c r="H3" s="276"/>
      <c r="I3" s="225"/>
      <c r="J3" s="225"/>
      <c r="K3" s="225"/>
      <c r="L3" s="225"/>
      <c r="M3" s="267"/>
      <c r="N3" s="267"/>
      <c r="O3" s="267"/>
      <c r="P3" s="268"/>
      <c r="Q3" s="268"/>
      <c r="R3" s="269"/>
      <c r="S3" s="258" t="s">
        <v>11</v>
      </c>
      <c r="T3" s="259"/>
      <c r="U3" s="259"/>
      <c r="V3" s="259"/>
      <c r="W3" s="260"/>
      <c r="X3" s="265">
        <f>COUNTIF($BM$13:$BM$72,"5")</f>
        <v>0</v>
      </c>
      <c r="Y3" s="266"/>
      <c r="Z3" s="255" t="e">
        <f>X3/$AD$3</f>
        <v>#DIV/0!</v>
      </c>
      <c r="AA3" s="255"/>
      <c r="AB3" s="30">
        <f>COUNTIFS($BM$13:$BM$72,"5",$D$13:$D$72,"M")</f>
        <v>0</v>
      </c>
      <c r="AC3" s="30">
        <f>COUNTIFS($BM$13:$BM$72,"5",$D$13:$D$72,"F")</f>
        <v>0</v>
      </c>
      <c r="AD3" s="287">
        <f>SUM(X3:Y7)</f>
        <v>0</v>
      </c>
      <c r="AE3" s="287"/>
      <c r="AF3" s="288"/>
      <c r="AG3" s="370">
        <f>COUNTIF($BN$13:$BN$71,"5")</f>
        <v>0</v>
      </c>
      <c r="AH3" s="371"/>
      <c r="AI3" s="305" t="e">
        <f>AG3/$AO$3</f>
        <v>#DIV/0!</v>
      </c>
      <c r="AJ3" s="305"/>
      <c r="AK3" s="221">
        <f>COUNTIFS($BN$13:$BN$72,"5",$D$13:$D$72,"M")</f>
        <v>0</v>
      </c>
      <c r="AL3" s="221"/>
      <c r="AM3" s="221">
        <f>COUNTIFS($BN$13:$BN$72,"5",$D$13:$D$72,"F")</f>
        <v>0</v>
      </c>
      <c r="AN3" s="221"/>
      <c r="AO3" s="213">
        <f>SUM(AG3:AH7)</f>
        <v>0</v>
      </c>
      <c r="AP3" s="213"/>
      <c r="AQ3" s="214"/>
      <c r="AR3" s="367">
        <f>COUNTIF($AZ$13:$AZ$72,"5")</f>
        <v>0</v>
      </c>
      <c r="AS3" s="368"/>
      <c r="AT3" s="313" t="e">
        <f>AR3/$AY$3</f>
        <v>#DIV/0!</v>
      </c>
      <c r="AU3" s="313"/>
      <c r="AV3" s="35">
        <f>COUNTIFS($AZ$13:$AZ$72,"5",$D$13:$D$72,"M")</f>
        <v>0</v>
      </c>
      <c r="AW3" s="369">
        <f>COUNTIFS($AZ$13:$AZ$72,"5",$D$13:$D$72,"f")</f>
        <v>0</v>
      </c>
      <c r="AX3" s="369"/>
      <c r="AY3" s="198">
        <f>SUM(AR3:AS7)</f>
        <v>0</v>
      </c>
      <c r="AZ3" s="199"/>
      <c r="BA3" s="16"/>
      <c r="BE3" s="240"/>
      <c r="BJ3" s="240"/>
      <c r="BK3" s="240"/>
      <c r="BL3" s="240"/>
      <c r="BM3" s="240"/>
      <c r="BN3" s="240"/>
      <c r="BO3" s="240"/>
      <c r="BP3" s="240"/>
    </row>
    <row r="4" spans="1:70" ht="18" customHeight="1">
      <c r="A4" s="248"/>
      <c r="B4" s="248"/>
      <c r="C4" s="248"/>
      <c r="D4" s="277" t="s">
        <v>29</v>
      </c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9"/>
      <c r="S4" s="258" t="s">
        <v>12</v>
      </c>
      <c r="T4" s="259"/>
      <c r="U4" s="259"/>
      <c r="V4" s="259"/>
      <c r="W4" s="260"/>
      <c r="X4" s="265">
        <f>COUNTIF($BM$13:$BM$72,"4")</f>
        <v>0</v>
      </c>
      <c r="Y4" s="266"/>
      <c r="Z4" s="256" t="e">
        <f>X4/$AD$3</f>
        <v>#DIV/0!</v>
      </c>
      <c r="AA4" s="256"/>
      <c r="AB4" s="30">
        <f>COUNTIFS($BM$13:$BM$72,"4",$D$13:$D$72,"M")</f>
        <v>0</v>
      </c>
      <c r="AC4" s="30">
        <f>COUNTIFS($BM$13:$BM$72,"4",$D$13:$D$72,"F")</f>
        <v>0</v>
      </c>
      <c r="AD4" s="289" t="s">
        <v>48</v>
      </c>
      <c r="AE4" s="289"/>
      <c r="AF4" s="290"/>
      <c r="AG4" s="370">
        <f>COUNTIF($BN$13:$BN$71,"4")</f>
        <v>0</v>
      </c>
      <c r="AH4" s="371"/>
      <c r="AI4" s="305" t="e">
        <f>AG4/$AO$3</f>
        <v>#DIV/0!</v>
      </c>
      <c r="AJ4" s="305"/>
      <c r="AK4" s="221">
        <f>COUNTIFS($BN$13:$BN$72,"4",$D$13:$D$72,"M")</f>
        <v>0</v>
      </c>
      <c r="AL4" s="221"/>
      <c r="AM4" s="221">
        <f>COUNTIFS($BN$13:$BN$72,"4",$D$13:$D$72,"F")</f>
        <v>0</v>
      </c>
      <c r="AN4" s="221"/>
      <c r="AO4" s="215" t="s">
        <v>48</v>
      </c>
      <c r="AP4" s="215"/>
      <c r="AQ4" s="216"/>
      <c r="AR4" s="367">
        <f>COUNTIF($AZ$13:$AZ$72,"4")</f>
        <v>0</v>
      </c>
      <c r="AS4" s="368"/>
      <c r="AT4" s="313" t="e">
        <f>AR4/$AY$3</f>
        <v>#DIV/0!</v>
      </c>
      <c r="AU4" s="313"/>
      <c r="AV4" s="35">
        <f>COUNTIFS($AZ$13:$AZ$72,"4",$D$13:$D$72,"M")</f>
        <v>0</v>
      </c>
      <c r="AW4" s="369">
        <f>COUNTIFS($AZ$13:$AZ$72,"4",$D$13:$D$72,"F")</f>
        <v>0</v>
      </c>
      <c r="AX4" s="369"/>
      <c r="AY4" s="200" t="s">
        <v>48</v>
      </c>
      <c r="AZ4" s="201"/>
      <c r="BA4" s="15"/>
      <c r="BE4" s="240"/>
      <c r="BJ4" s="240"/>
      <c r="BK4" s="240"/>
      <c r="BL4" s="240"/>
      <c r="BM4" s="240"/>
      <c r="BN4" s="240"/>
      <c r="BO4" s="240"/>
      <c r="BP4" s="240"/>
    </row>
    <row r="5" spans="1:70" ht="19.5" customHeight="1">
      <c r="A5" s="248"/>
      <c r="B5" s="248"/>
      <c r="C5" s="248"/>
      <c r="D5" s="280" t="s">
        <v>2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2"/>
      <c r="S5" s="258" t="s">
        <v>13</v>
      </c>
      <c r="T5" s="259"/>
      <c r="U5" s="259"/>
      <c r="V5" s="259"/>
      <c r="W5" s="260"/>
      <c r="X5" s="265">
        <f>COUNTIF($BM$13:$BM$72,"3")</f>
        <v>0</v>
      </c>
      <c r="Y5" s="266"/>
      <c r="Z5" s="256" t="e">
        <f>X5/$AD$3</f>
        <v>#DIV/0!</v>
      </c>
      <c r="AA5" s="256"/>
      <c r="AB5" s="30">
        <f>COUNTIFS($BM$13:$BM$72,"3",$D$13:$D$72,"M")</f>
        <v>0</v>
      </c>
      <c r="AC5" s="30">
        <f>COUNTIFS($BM$13:$BM$72,"3",$D$13:$D$72,"F")</f>
        <v>0</v>
      </c>
      <c r="AD5" s="319">
        <f>SUM(X3:Y6)</f>
        <v>0</v>
      </c>
      <c r="AE5" s="319"/>
      <c r="AF5" s="320"/>
      <c r="AG5" s="370">
        <f>COUNTIF($BN$13:$BN$71,"3")</f>
        <v>0</v>
      </c>
      <c r="AH5" s="371"/>
      <c r="AI5" s="305" t="e">
        <f>AG5/$AO$3</f>
        <v>#DIV/0!</v>
      </c>
      <c r="AJ5" s="305"/>
      <c r="AK5" s="221">
        <f>COUNTIFS($BN$13:$BN$72,"3",$D$13:$D$72,"M")</f>
        <v>0</v>
      </c>
      <c r="AL5" s="221"/>
      <c r="AM5" s="221">
        <f>COUNTIFS($BN$13:$BN$72,"3",$D$13:$D$72,"F")</f>
        <v>0</v>
      </c>
      <c r="AN5" s="221"/>
      <c r="AO5" s="217">
        <f>SUM(AG3:AH6)</f>
        <v>0</v>
      </c>
      <c r="AP5" s="217"/>
      <c r="AQ5" s="218"/>
      <c r="AR5" s="367">
        <f>COUNTIF($AZ$13:$AZ$72,"3")</f>
        <v>0</v>
      </c>
      <c r="AS5" s="368"/>
      <c r="AT5" s="313" t="e">
        <f>AR5/$AY$3</f>
        <v>#DIV/0!</v>
      </c>
      <c r="AU5" s="313"/>
      <c r="AV5" s="35">
        <f>COUNTIFS($AZ$13:$AZ$72,"3",$D$13:$D$72,"M")</f>
        <v>0</v>
      </c>
      <c r="AW5" s="369">
        <f>COUNTIFS($AZ$13:$AZ$72,"3",$D$13:$D$72,"F")</f>
        <v>0</v>
      </c>
      <c r="AX5" s="369"/>
      <c r="AY5" s="202">
        <f>SUM(AQ3:AR6)</f>
        <v>0</v>
      </c>
      <c r="AZ5" s="203"/>
      <c r="BA5" s="14"/>
      <c r="BE5" s="240"/>
      <c r="BJ5" s="240"/>
      <c r="BK5" s="240"/>
      <c r="BL5" s="240"/>
      <c r="BM5" s="240"/>
      <c r="BN5" s="240"/>
      <c r="BO5" s="240"/>
      <c r="BP5" s="240"/>
    </row>
    <row r="6" spans="1:70" ht="17.25" customHeight="1">
      <c r="A6" s="241" t="s">
        <v>3</v>
      </c>
      <c r="B6" s="241"/>
      <c r="C6" s="241"/>
      <c r="D6" s="242" t="s">
        <v>4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58" t="s">
        <v>14</v>
      </c>
      <c r="T6" s="259"/>
      <c r="U6" s="259"/>
      <c r="V6" s="259"/>
      <c r="W6" s="260"/>
      <c r="X6" s="265">
        <f>COUNTIF($BM$13:$BM$72,"2")</f>
        <v>0</v>
      </c>
      <c r="Y6" s="266"/>
      <c r="Z6" s="255" t="e">
        <f>X6/$AD$3</f>
        <v>#DIV/0!</v>
      </c>
      <c r="AA6" s="255"/>
      <c r="AB6" s="30">
        <f>COUNTIFS($BM$13:$BM$72,"2",$D$13:$D$72,"M")</f>
        <v>0</v>
      </c>
      <c r="AC6" s="30">
        <f>COUNTIFS($BM$13:$BM$72,"2",$D$13:$D$72,"F")</f>
        <v>0</v>
      </c>
      <c r="AD6" s="289" t="s">
        <v>49</v>
      </c>
      <c r="AE6" s="289"/>
      <c r="AF6" s="290"/>
      <c r="AG6" s="370">
        <f>COUNTIF($BN$13:$BN$71,"2")</f>
        <v>0</v>
      </c>
      <c r="AH6" s="371"/>
      <c r="AI6" s="305" t="e">
        <f>AG6/$AO$3</f>
        <v>#DIV/0!</v>
      </c>
      <c r="AJ6" s="305"/>
      <c r="AK6" s="221">
        <f>COUNTIFS($BN$13:$BN$72,"2",$D$13:$D$72,"M")</f>
        <v>0</v>
      </c>
      <c r="AL6" s="221"/>
      <c r="AM6" s="221">
        <f>COUNTIFS($BN$13:$BN$72,"2",$D$13:$D$72,"F")</f>
        <v>0</v>
      </c>
      <c r="AN6" s="221"/>
      <c r="AO6" s="215" t="s">
        <v>49</v>
      </c>
      <c r="AP6" s="215"/>
      <c r="AQ6" s="216"/>
      <c r="AR6" s="367">
        <f>COUNTIF($AZ$13:$AZ$72,"2")</f>
        <v>0</v>
      </c>
      <c r="AS6" s="368"/>
      <c r="AT6" s="313" t="e">
        <f>AR6/$AY$3</f>
        <v>#DIV/0!</v>
      </c>
      <c r="AU6" s="313"/>
      <c r="AV6" s="35">
        <f>COUNTIFS($AZ$13:$AZ$72,"2",$D$13:$D$72,"M")</f>
        <v>0</v>
      </c>
      <c r="AW6" s="369">
        <f>COUNTIFS($AZ$13:$AZ$72,"2",$D$13:$D$72,"F")</f>
        <v>0</v>
      </c>
      <c r="AX6" s="369"/>
      <c r="AY6" s="200" t="s">
        <v>49</v>
      </c>
      <c r="AZ6" s="201"/>
      <c r="BA6" s="15"/>
      <c r="BE6" s="240"/>
      <c r="BJ6" s="240"/>
      <c r="BK6" s="240"/>
      <c r="BL6" s="240"/>
      <c r="BM6" s="240"/>
      <c r="BN6" s="240"/>
      <c r="BO6" s="240"/>
      <c r="BP6" s="240"/>
    </row>
    <row r="7" spans="1:70" ht="16.5" customHeight="1" thickBot="1">
      <c r="A7" s="241"/>
      <c r="B7" s="241"/>
      <c r="C7" s="241"/>
      <c r="D7" s="245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  <c r="S7" s="261" t="s">
        <v>21</v>
      </c>
      <c r="T7" s="262"/>
      <c r="U7" s="262"/>
      <c r="V7" s="262"/>
      <c r="W7" s="263"/>
      <c r="X7" s="283">
        <f>COUNTIF($BM$13:$BM$72,"1")</f>
        <v>0</v>
      </c>
      <c r="Y7" s="284"/>
      <c r="Z7" s="257" t="e">
        <f>X7/$AD$3</f>
        <v>#DIV/0!</v>
      </c>
      <c r="AA7" s="257"/>
      <c r="AB7" s="30">
        <f>COUNTIFS($BM$13:$BM$72,"1",$D$13:$D$72,"M")</f>
        <v>0</v>
      </c>
      <c r="AC7" s="30">
        <f>COUNTIFS($BM$13:$BM$72,"1",$D$13:$D$72,"F")</f>
        <v>0</v>
      </c>
      <c r="AD7" s="317">
        <f>X7</f>
        <v>0</v>
      </c>
      <c r="AE7" s="317"/>
      <c r="AF7" s="318"/>
      <c r="AG7" s="373">
        <f>COUNTIF($BN$13:$BN$71,"1")</f>
        <v>0</v>
      </c>
      <c r="AH7" s="374"/>
      <c r="AI7" s="294" t="e">
        <f>AG7/$AO$3</f>
        <v>#DIV/0!</v>
      </c>
      <c r="AJ7" s="294"/>
      <c r="AK7" s="270">
        <f>COUNTIFS($BN$13:$BN$72,"1",$D$13:$D$72,"M")</f>
        <v>0</v>
      </c>
      <c r="AL7" s="270"/>
      <c r="AM7" s="270">
        <f>COUNTIFS($BN$13:$BN$72,"1",$D$13:$D$72,"F")</f>
        <v>0</v>
      </c>
      <c r="AN7" s="270"/>
      <c r="AO7" s="219">
        <f>AG7</f>
        <v>0</v>
      </c>
      <c r="AP7" s="219"/>
      <c r="AQ7" s="220"/>
      <c r="AR7" s="375">
        <f>COUNTIF($AZ$13:$AZ$72,"1")</f>
        <v>0</v>
      </c>
      <c r="AS7" s="376"/>
      <c r="AT7" s="314" t="e">
        <f>AR7/$AY$3</f>
        <v>#DIV/0!</v>
      </c>
      <c r="AU7" s="314"/>
      <c r="AV7" s="36">
        <f>COUNTIFS($AZ$13:$AZ$72,"1",$D$13:$D$72,"M")</f>
        <v>0</v>
      </c>
      <c r="AW7" s="372">
        <f>COUNTIFS($AZ$13:$AZ$72,"1",$D$13:$D$72,"F")</f>
        <v>0</v>
      </c>
      <c r="AX7" s="372"/>
      <c r="AY7" s="204">
        <f>AR7</f>
        <v>0</v>
      </c>
      <c r="AZ7" s="205"/>
      <c r="BA7" s="14"/>
      <c r="BE7" s="240"/>
      <c r="BJ7" s="240"/>
      <c r="BK7" s="240"/>
      <c r="BL7" s="240"/>
      <c r="BM7" s="240"/>
      <c r="BN7" s="240"/>
      <c r="BO7" s="240"/>
      <c r="BP7" s="240"/>
    </row>
    <row r="8" spans="1:70" ht="17.25" customHeight="1" thickBot="1">
      <c r="A8" s="249" t="s">
        <v>22</v>
      </c>
      <c r="B8" s="249"/>
      <c r="C8" s="249"/>
      <c r="D8" s="237" t="s">
        <v>5</v>
      </c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185" t="s">
        <v>55</v>
      </c>
      <c r="T8" s="186"/>
      <c r="U8" s="186"/>
      <c r="V8" s="186"/>
      <c r="W8" s="186"/>
      <c r="X8" s="186"/>
      <c r="Y8" s="186"/>
      <c r="Z8" s="186"/>
      <c r="AA8" s="186"/>
      <c r="AB8" s="186"/>
      <c r="AC8" s="187"/>
      <c r="AD8" s="251" t="e">
        <f>AVERAGEIF(BL13:BL72,"&gt;=1")</f>
        <v>#DIV/0!</v>
      </c>
      <c r="AE8" s="252"/>
      <c r="AF8" s="253"/>
      <c r="AG8" s="188" t="s">
        <v>54</v>
      </c>
      <c r="AH8" s="189"/>
      <c r="AI8" s="189"/>
      <c r="AJ8" s="189"/>
      <c r="AK8" s="189"/>
      <c r="AL8" s="189"/>
      <c r="AM8" s="189"/>
      <c r="AN8" s="190"/>
      <c r="AO8" s="226" t="e">
        <f>AVERAGEIF(BO13:BO72,"&gt;=1")</f>
        <v>#DIV/0!</v>
      </c>
      <c r="AP8" s="227"/>
      <c r="AQ8" s="228"/>
      <c r="AR8" s="193" t="s">
        <v>24</v>
      </c>
      <c r="AS8" s="194"/>
      <c r="AT8" s="194"/>
      <c r="AU8" s="194"/>
      <c r="AV8" s="194"/>
      <c r="AW8" s="194"/>
      <c r="AX8" s="195"/>
      <c r="AY8" s="191" t="e">
        <f>AVERAGEIF(BK13:BK72,"&gt;=1")</f>
        <v>#DIV/0!</v>
      </c>
      <c r="AZ8" s="192"/>
      <c r="BA8" s="14"/>
      <c r="BE8" s="240"/>
      <c r="BJ8" s="240"/>
      <c r="BK8" s="240"/>
      <c r="BL8" s="240"/>
      <c r="BM8" s="240"/>
      <c r="BN8" s="240"/>
      <c r="BO8" s="240"/>
      <c r="BP8" s="240"/>
    </row>
    <row r="9" spans="1:70" ht="15.75" customHeight="1">
      <c r="A9" s="347" t="s">
        <v>28</v>
      </c>
      <c r="B9" s="347"/>
      <c r="C9" s="348"/>
      <c r="D9" s="378" t="s">
        <v>56</v>
      </c>
      <c r="E9" s="235" t="s">
        <v>7</v>
      </c>
      <c r="F9" s="301" t="s">
        <v>27</v>
      </c>
      <c r="G9" s="301"/>
      <c r="H9" s="301"/>
      <c r="I9" s="301"/>
      <c r="J9" s="301"/>
      <c r="K9" s="352" t="s">
        <v>1</v>
      </c>
      <c r="L9" s="340" t="s">
        <v>26</v>
      </c>
      <c r="M9" s="341"/>
      <c r="N9" s="341"/>
      <c r="O9" s="341"/>
      <c r="P9" s="342"/>
      <c r="Q9" s="352" t="s">
        <v>1</v>
      </c>
      <c r="R9" s="224" t="s">
        <v>25</v>
      </c>
      <c r="S9" s="224"/>
      <c r="T9" s="224"/>
      <c r="U9" s="224"/>
      <c r="V9" s="224"/>
      <c r="W9" s="352" t="s">
        <v>1</v>
      </c>
      <c r="X9" s="224" t="s">
        <v>10</v>
      </c>
      <c r="Y9" s="224"/>
      <c r="Z9" s="352" t="s">
        <v>1</v>
      </c>
      <c r="AA9" s="306" t="s">
        <v>34</v>
      </c>
      <c r="AB9" s="365" t="s">
        <v>37</v>
      </c>
      <c r="AC9" s="301" t="s">
        <v>27</v>
      </c>
      <c r="AD9" s="301"/>
      <c r="AE9" s="301"/>
      <c r="AF9" s="301"/>
      <c r="AG9" s="301"/>
      <c r="AH9" s="299" t="s">
        <v>1</v>
      </c>
      <c r="AI9" s="301" t="s">
        <v>26</v>
      </c>
      <c r="AJ9" s="301"/>
      <c r="AK9" s="301"/>
      <c r="AL9" s="301"/>
      <c r="AM9" s="301"/>
      <c r="AN9" s="299" t="s">
        <v>1</v>
      </c>
      <c r="AO9" s="224" t="s">
        <v>25</v>
      </c>
      <c r="AP9" s="224"/>
      <c r="AQ9" s="224"/>
      <c r="AR9" s="224"/>
      <c r="AS9" s="224"/>
      <c r="AT9" s="299" t="s">
        <v>1</v>
      </c>
      <c r="AU9" s="224" t="s">
        <v>10</v>
      </c>
      <c r="AV9" s="224"/>
      <c r="AW9" s="299" t="s">
        <v>1</v>
      </c>
      <c r="AX9" s="306" t="s">
        <v>33</v>
      </c>
      <c r="AY9" s="308" t="s">
        <v>32</v>
      </c>
      <c r="AZ9" s="363" t="s">
        <v>36</v>
      </c>
      <c r="BE9" s="240"/>
      <c r="BJ9" s="240"/>
      <c r="BK9" s="240"/>
      <c r="BL9" s="240"/>
      <c r="BM9" s="240"/>
      <c r="BN9" s="240"/>
      <c r="BO9" s="240"/>
      <c r="BP9" s="240"/>
    </row>
    <row r="10" spans="1:70" ht="18" customHeight="1">
      <c r="A10" s="349"/>
      <c r="B10" s="349"/>
      <c r="C10" s="350"/>
      <c r="D10" s="379"/>
      <c r="E10" s="235"/>
      <c r="F10" s="302"/>
      <c r="G10" s="302"/>
      <c r="H10" s="302"/>
      <c r="I10" s="302"/>
      <c r="J10" s="302"/>
      <c r="K10" s="352"/>
      <c r="L10" s="340"/>
      <c r="M10" s="341"/>
      <c r="N10" s="341"/>
      <c r="O10" s="341"/>
      <c r="P10" s="342"/>
      <c r="Q10" s="352"/>
      <c r="R10" s="225"/>
      <c r="S10" s="225"/>
      <c r="T10" s="225"/>
      <c r="U10" s="225"/>
      <c r="V10" s="225"/>
      <c r="W10" s="352"/>
      <c r="X10" s="225"/>
      <c r="Y10" s="225"/>
      <c r="Z10" s="352"/>
      <c r="AA10" s="307"/>
      <c r="AB10" s="365"/>
      <c r="AC10" s="302"/>
      <c r="AD10" s="302"/>
      <c r="AE10" s="302"/>
      <c r="AF10" s="302"/>
      <c r="AG10" s="302"/>
      <c r="AH10" s="300"/>
      <c r="AI10" s="302"/>
      <c r="AJ10" s="302"/>
      <c r="AK10" s="302"/>
      <c r="AL10" s="302"/>
      <c r="AM10" s="302"/>
      <c r="AN10" s="300"/>
      <c r="AO10" s="225"/>
      <c r="AP10" s="225"/>
      <c r="AQ10" s="225"/>
      <c r="AR10" s="225"/>
      <c r="AS10" s="225"/>
      <c r="AT10" s="300"/>
      <c r="AU10" s="225"/>
      <c r="AV10" s="225"/>
      <c r="AW10" s="300"/>
      <c r="AX10" s="307"/>
      <c r="AY10" s="309"/>
      <c r="AZ10" s="363"/>
      <c r="BE10" s="240"/>
      <c r="BJ10" s="240"/>
      <c r="BK10" s="240"/>
      <c r="BL10" s="240"/>
      <c r="BM10" s="240"/>
      <c r="BN10" s="240"/>
      <c r="BO10" s="240"/>
      <c r="BP10" s="240"/>
    </row>
    <row r="11" spans="1:70" ht="18" customHeight="1">
      <c r="A11" s="334" t="s">
        <v>8</v>
      </c>
      <c r="B11" s="359" t="s">
        <v>35</v>
      </c>
      <c r="C11" s="360"/>
      <c r="D11" s="379"/>
      <c r="E11" s="235"/>
      <c r="F11" s="302"/>
      <c r="G11" s="302"/>
      <c r="H11" s="302"/>
      <c r="I11" s="302"/>
      <c r="J11" s="302"/>
      <c r="K11" s="352"/>
      <c r="L11" s="343"/>
      <c r="M11" s="344"/>
      <c r="N11" s="344"/>
      <c r="O11" s="344"/>
      <c r="P11" s="345"/>
      <c r="Q11" s="352"/>
      <c r="R11" s="225"/>
      <c r="S11" s="225"/>
      <c r="T11" s="225"/>
      <c r="U11" s="225"/>
      <c r="V11" s="225"/>
      <c r="W11" s="352"/>
      <c r="X11" s="225"/>
      <c r="Y11" s="225"/>
      <c r="Z11" s="352"/>
      <c r="AA11" s="307"/>
      <c r="AB11" s="365"/>
      <c r="AC11" s="302"/>
      <c r="AD11" s="302"/>
      <c r="AE11" s="302"/>
      <c r="AF11" s="302"/>
      <c r="AG11" s="302"/>
      <c r="AH11" s="300"/>
      <c r="AI11" s="302"/>
      <c r="AJ11" s="302"/>
      <c r="AK11" s="302"/>
      <c r="AL11" s="302"/>
      <c r="AM11" s="302"/>
      <c r="AN11" s="300"/>
      <c r="AO11" s="225"/>
      <c r="AP11" s="225"/>
      <c r="AQ11" s="225"/>
      <c r="AR11" s="225"/>
      <c r="AS11" s="225"/>
      <c r="AT11" s="300"/>
      <c r="AU11" s="225"/>
      <c r="AV11" s="225"/>
      <c r="AW11" s="300"/>
      <c r="AX11" s="307"/>
      <c r="AY11" s="309"/>
      <c r="AZ11" s="363"/>
      <c r="BE11" s="240"/>
      <c r="BJ11" s="240"/>
      <c r="BK11" s="240"/>
      <c r="BL11" s="240"/>
      <c r="BM11" s="240"/>
      <c r="BN11" s="240"/>
      <c r="BO11" s="240"/>
      <c r="BP11" s="240"/>
    </row>
    <row r="12" spans="1:70" ht="24.75" customHeight="1">
      <c r="A12" s="335"/>
      <c r="B12" s="361"/>
      <c r="C12" s="362"/>
      <c r="D12" s="380"/>
      <c r="E12" s="236"/>
      <c r="F12" s="346">
        <v>0.25</v>
      </c>
      <c r="G12" s="346"/>
      <c r="H12" s="346"/>
      <c r="I12" s="346"/>
      <c r="J12" s="346"/>
      <c r="K12" s="299"/>
      <c r="L12" s="346">
        <v>0.15</v>
      </c>
      <c r="M12" s="346"/>
      <c r="N12" s="346"/>
      <c r="O12" s="346"/>
      <c r="P12" s="346"/>
      <c r="Q12" s="299"/>
      <c r="R12" s="346">
        <v>0.3</v>
      </c>
      <c r="S12" s="346"/>
      <c r="T12" s="346"/>
      <c r="U12" s="346"/>
      <c r="V12" s="346"/>
      <c r="W12" s="299"/>
      <c r="X12" s="351">
        <v>0.3</v>
      </c>
      <c r="Y12" s="351"/>
      <c r="Z12" s="299"/>
      <c r="AA12" s="32">
        <f>F12+L12+R12+X12</f>
        <v>1</v>
      </c>
      <c r="AB12" s="365"/>
      <c r="AC12" s="346">
        <v>0.25</v>
      </c>
      <c r="AD12" s="346"/>
      <c r="AE12" s="346"/>
      <c r="AF12" s="346"/>
      <c r="AG12" s="346"/>
      <c r="AH12" s="300"/>
      <c r="AI12" s="346">
        <v>0.15</v>
      </c>
      <c r="AJ12" s="346"/>
      <c r="AK12" s="346"/>
      <c r="AL12" s="346"/>
      <c r="AM12" s="346"/>
      <c r="AN12" s="300"/>
      <c r="AO12" s="346">
        <v>0.3</v>
      </c>
      <c r="AP12" s="346"/>
      <c r="AQ12" s="346"/>
      <c r="AR12" s="346"/>
      <c r="AS12" s="346"/>
      <c r="AT12" s="300"/>
      <c r="AU12" s="351">
        <v>0.3</v>
      </c>
      <c r="AV12" s="351"/>
      <c r="AW12" s="300"/>
      <c r="AX12" s="34">
        <f>AC12+AI12+AO12+AU12</f>
        <v>1</v>
      </c>
      <c r="AY12" s="309"/>
      <c r="AZ12" s="364"/>
      <c r="BE12" s="240"/>
      <c r="BJ12" s="240"/>
      <c r="BK12" s="240"/>
      <c r="BL12" s="240"/>
      <c r="BM12" s="240"/>
      <c r="BN12" s="240"/>
      <c r="BO12" s="240"/>
      <c r="BP12" s="240"/>
    </row>
    <row r="13" spans="1:70" ht="18.75" customHeight="1">
      <c r="A13" s="336">
        <v>1</v>
      </c>
      <c r="B13" s="338"/>
      <c r="C13" s="338"/>
      <c r="D13" s="225"/>
      <c r="E13" s="19">
        <v>1</v>
      </c>
      <c r="F13" s="17"/>
      <c r="G13" s="17"/>
      <c r="H13" s="17"/>
      <c r="I13" s="17"/>
      <c r="J13" s="17"/>
      <c r="K13" s="8" t="e">
        <f>AVERAGE(F13:J13)</f>
        <v>#DIV/0!</v>
      </c>
      <c r="L13" s="17"/>
      <c r="M13" s="17"/>
      <c r="N13" s="17"/>
      <c r="O13" s="17"/>
      <c r="P13" s="17"/>
      <c r="Q13" s="9" t="e">
        <f>AVERAGE(L13:P13)</f>
        <v>#DIV/0!</v>
      </c>
      <c r="R13" s="17"/>
      <c r="S13" s="17"/>
      <c r="T13" s="17"/>
      <c r="U13" s="17"/>
      <c r="V13" s="17"/>
      <c r="W13" s="9" t="e">
        <f>AVERAGE(R13:V13)</f>
        <v>#DIV/0!</v>
      </c>
      <c r="X13" s="233"/>
      <c r="Y13" s="234"/>
      <c r="Z13" s="9" t="str">
        <f>IF(X13&gt;=85,"5",IF(X13&gt;=65,"4",IF(X13&gt;=55,"3",IF(X13&gt;=40,"2",IF(X13&gt;=1,"1",IF(X13&gt;="","0"))))))</f>
        <v>0</v>
      </c>
      <c r="AA13" s="7" t="e">
        <f t="shared" ref="AA13:AA72" si="0">IF(BE13&gt;=4.5, " 5 ", IF(BE13&gt;=3.5," 4 ",IF(BE13&gt;=2.5," 3  ",IF(BE13&gt;=1.5," 2 ",IF(BE13&gt;=1,"1 ",IF(BE13&gt;=0,"0"))))))</f>
        <v>#DIV/0!</v>
      </c>
      <c r="AB13" s="365"/>
      <c r="AC13" s="17"/>
      <c r="AD13" s="17"/>
      <c r="AE13" s="17"/>
      <c r="AF13" s="17"/>
      <c r="AG13" s="17"/>
      <c r="AH13" s="9" t="e">
        <f>AVERAGE(AC13:AG13)</f>
        <v>#DIV/0!</v>
      </c>
      <c r="AI13" s="17"/>
      <c r="AJ13" s="17"/>
      <c r="AK13" s="17"/>
      <c r="AL13" s="17"/>
      <c r="AM13" s="17"/>
      <c r="AN13" s="9" t="e">
        <f>AVERAGE(AI13:AM13)</f>
        <v>#DIV/0!</v>
      </c>
      <c r="AO13" s="17"/>
      <c r="AP13" s="17"/>
      <c r="AQ13" s="17"/>
      <c r="AR13" s="17"/>
      <c r="AS13" s="17"/>
      <c r="AT13" s="9" t="e">
        <f>AVERAGE(AO13:AS13)</f>
        <v>#DIV/0!</v>
      </c>
      <c r="AU13" s="208"/>
      <c r="AV13" s="209"/>
      <c r="AW13" s="9" t="str">
        <f>IF(AU13&gt;=85,"5",IF(AU13&gt;=65,"4",IF(AU13&gt;=55,"3",IF(AU13&gt;=40,"2",IF(AU13&gt;=1,"1",IF(AU13&gt;="","0"))))))</f>
        <v>0</v>
      </c>
      <c r="AX13" s="7" t="e">
        <f t="shared" ref="AX13:AY72" si="1">IF(BJ13&gt;=4.5, " 5 ", IF(BJ13&gt;=3.5," 4 ",IF(BJ13&gt;=2.5," 3  ",IF(BJ13&gt;=1.5," 2 ",IF(BJ13&gt;=1,"1 ",IF(BJ13&gt;=0,"0"))))))</f>
        <v>#DIV/0!</v>
      </c>
      <c r="AY13" s="18" t="e">
        <f>IF(BK13&gt;=4.5, " 5 ", IF(BK13&gt;=3.5," 4 ",IF(BK13&gt;=2.5," 3  ",IF(BK13&gt;=1.5," 2 ",IF(BK13&gt;=1,"1 ",IF(BK13&gt;=0,"0"))))))</f>
        <v>#DIV/0!</v>
      </c>
      <c r="AZ13" s="231" t="e">
        <f>IF(BP13&gt;=4.5, " 5 ", IF(BP13&gt;=3.5," 4 ",IF(BP13&gt;=2.5," 3  ",IF(BP13&gt;=1.5," 2 ",IF(BP13&gt;=1,"1 ",IF(BP13&gt;=0,"0"))))))</f>
        <v>#DIV/0!</v>
      </c>
      <c r="BA13" s="4" t="e">
        <f t="shared" ref="BA13:BA72" si="2">$K13*$F$12</f>
        <v>#DIV/0!</v>
      </c>
      <c r="BB13" s="4" t="e">
        <f>Q13*L12</f>
        <v>#DIV/0!</v>
      </c>
      <c r="BC13" s="4" t="e">
        <f>$W13*$R$12</f>
        <v>#DIV/0!</v>
      </c>
      <c r="BD13" s="4">
        <f>$Z13*$X$12</f>
        <v>0</v>
      </c>
      <c r="BE13" s="12" t="e">
        <f t="shared" ref="BE13:BE72" si="3">BA13+BB13+BC13+BD13</f>
        <v>#DIV/0!</v>
      </c>
      <c r="BF13" s="4" t="e">
        <f>$AH13*$AC$12</f>
        <v>#DIV/0!</v>
      </c>
      <c r="BG13" s="4" t="e">
        <f>$AN13*$AI$12</f>
        <v>#DIV/0!</v>
      </c>
      <c r="BH13" s="4" t="e">
        <f>$AT13*$AO$12</f>
        <v>#DIV/0!</v>
      </c>
      <c r="BI13" s="4">
        <f>$AW13*$AU$12</f>
        <v>0</v>
      </c>
      <c r="BJ13" s="12" t="e">
        <f t="shared" ref="BJ13:BJ72" si="4">(BF13+BG13+BH13+BI13)</f>
        <v>#DIV/0!</v>
      </c>
      <c r="BK13" s="12" t="e">
        <f t="shared" ref="BK13:BK72" si="5">(BE13+BJ13)/2</f>
        <v>#DIV/0!</v>
      </c>
      <c r="BL13" s="12" t="e">
        <f>(BE13+BJ13)/2</f>
        <v>#DIV/0!</v>
      </c>
      <c r="BM13" s="10" t="e">
        <f>ROUND(BL13,)</f>
        <v>#DIV/0!</v>
      </c>
      <c r="BN13" s="176" t="e">
        <f>ROUND(BO14,)</f>
        <v>#DIV/0!</v>
      </c>
      <c r="BO13" s="12"/>
      <c r="BP13" s="11" t="e">
        <f>(AY13+AY14)/2</f>
        <v>#DIV/0!</v>
      </c>
      <c r="BQ13" s="6"/>
      <c r="BR13" s="6"/>
    </row>
    <row r="14" spans="1:70" ht="17.25" customHeight="1" thickBot="1">
      <c r="A14" s="337"/>
      <c r="B14" s="321"/>
      <c r="C14" s="321"/>
      <c r="D14" s="225"/>
      <c r="E14" s="20">
        <v>2</v>
      </c>
      <c r="F14" s="17"/>
      <c r="G14" s="17"/>
      <c r="H14" s="17"/>
      <c r="I14" s="17"/>
      <c r="J14" s="17"/>
      <c r="K14" s="8" t="e">
        <f t="shared" ref="K14:K72" si="6">AVERAGE(F14:J14)</f>
        <v>#DIV/0!</v>
      </c>
      <c r="L14" s="17"/>
      <c r="M14" s="17"/>
      <c r="N14" s="17"/>
      <c r="O14" s="17"/>
      <c r="P14" s="17"/>
      <c r="Q14" s="9" t="e">
        <f>AVERAGE(L14:P14)</f>
        <v>#DIV/0!</v>
      </c>
      <c r="R14" s="17"/>
      <c r="S14" s="17"/>
      <c r="T14" s="17"/>
      <c r="U14" s="17"/>
      <c r="V14" s="17"/>
      <c r="W14" s="9" t="e">
        <f t="shared" ref="W14:W71" si="7">AVERAGE(R14:V14)</f>
        <v>#DIV/0!</v>
      </c>
      <c r="X14" s="233"/>
      <c r="Y14" s="234"/>
      <c r="Z14" s="9" t="str">
        <f t="shared" ref="Z14:Z72" si="8">IF(X14&gt;=85,"5",IF(X14&gt;=65,"4",IF(X14&gt;=55,"3",IF(X14&gt;=40,"2",IF(X14&gt;=1,"1",IF(X14&gt;="","0"))))))</f>
        <v>0</v>
      </c>
      <c r="AA14" s="7" t="e">
        <f t="shared" si="0"/>
        <v>#DIV/0!</v>
      </c>
      <c r="AB14" s="365"/>
      <c r="AC14" s="17"/>
      <c r="AD14" s="17"/>
      <c r="AE14" s="17"/>
      <c r="AF14" s="17"/>
      <c r="AG14" s="17"/>
      <c r="AH14" s="9" t="e">
        <f t="shared" ref="AH14:AH72" si="9">AVERAGE(AC14:AG14)</f>
        <v>#DIV/0!</v>
      </c>
      <c r="AI14" s="17"/>
      <c r="AJ14" s="17"/>
      <c r="AK14" s="17"/>
      <c r="AL14" s="17"/>
      <c r="AM14" s="17"/>
      <c r="AN14" s="9" t="e">
        <f t="shared" ref="AN14:AN72" si="10">AVERAGE(AI14:AM14)</f>
        <v>#DIV/0!</v>
      </c>
      <c r="AO14" s="17"/>
      <c r="AP14" s="17"/>
      <c r="AQ14" s="17"/>
      <c r="AR14" s="17"/>
      <c r="AS14" s="17"/>
      <c r="AT14" s="9" t="e">
        <f t="shared" ref="AT14:AT72" si="11">AVERAGE(AO14:AS14)</f>
        <v>#DIV/0!</v>
      </c>
      <c r="AU14" s="208"/>
      <c r="AV14" s="209"/>
      <c r="AW14" s="9" t="str">
        <f t="shared" ref="AW14:AW72" si="12">IF(AU14&gt;=85,"5",IF(AU14&gt;=65,"4",IF(AU14&gt;=55,"3",IF(AU14&gt;=40,"2",IF(AU14&gt;=1,"1",IF(AU14&gt;="","0"))))))</f>
        <v>0</v>
      </c>
      <c r="AX14" s="7" t="e">
        <f t="shared" si="1"/>
        <v>#DIV/0!</v>
      </c>
      <c r="AY14" s="18" t="e">
        <f>IF(BK14&gt;=4.5, " 5 ", IF(BK14&gt;=3.5," 4 ",IF(BK14&gt;=2.5," 3  ",IF(BK14&gt;=1.5," 2 ",IF(BK14&gt;=1,"1 ",IF(BK14&gt;=0,"0"))))))</f>
        <v>#DIV/0!</v>
      </c>
      <c r="AZ14" s="232"/>
      <c r="BA14" s="4" t="e">
        <f t="shared" si="2"/>
        <v>#DIV/0!</v>
      </c>
      <c r="BB14" s="4" t="e">
        <f t="shared" ref="BB14:BB72" si="13">$Q14*$L$12</f>
        <v>#DIV/0!</v>
      </c>
      <c r="BC14" s="4" t="e">
        <f t="shared" ref="BC14:BC72" si="14">$W14*$R$12</f>
        <v>#DIV/0!</v>
      </c>
      <c r="BD14" s="4">
        <f t="shared" ref="BD14:BD72" si="15">$Z14*$X$12</f>
        <v>0</v>
      </c>
      <c r="BE14" s="12" t="e">
        <f t="shared" si="3"/>
        <v>#DIV/0!</v>
      </c>
      <c r="BF14" s="4" t="e">
        <f t="shared" ref="BF14:BF72" si="16">$AH14*$AC$12</f>
        <v>#DIV/0!</v>
      </c>
      <c r="BG14" s="4" t="e">
        <f t="shared" ref="BG14:BG72" si="17">$AN14*$AI$12</f>
        <v>#DIV/0!</v>
      </c>
      <c r="BH14" s="4" t="e">
        <f t="shared" ref="BH14:BH72" si="18">$AT14*$AO$12</f>
        <v>#DIV/0!</v>
      </c>
      <c r="BI14" s="4">
        <f t="shared" ref="BI14:BI72" si="19">$AW14*$AU$12</f>
        <v>0</v>
      </c>
      <c r="BJ14" s="12" t="e">
        <f t="shared" si="4"/>
        <v>#DIV/0!</v>
      </c>
      <c r="BK14" s="12" t="e">
        <f t="shared" si="5"/>
        <v>#DIV/0!</v>
      </c>
      <c r="BL14" s="12"/>
      <c r="BM14" s="10"/>
      <c r="BN14" s="176"/>
      <c r="BO14" s="12" t="e">
        <f t="shared" ref="BO14:BO72" si="20">(BE14+BJ14)/2</f>
        <v>#DIV/0!</v>
      </c>
      <c r="BP14" s="11"/>
      <c r="BQ14" s="6"/>
      <c r="BR14" s="6"/>
    </row>
    <row r="15" spans="1:70" ht="20.25" customHeight="1">
      <c r="A15" s="332">
        <v>2</v>
      </c>
      <c r="B15" s="321"/>
      <c r="C15" s="321"/>
      <c r="D15" s="225"/>
      <c r="E15" s="21">
        <v>1</v>
      </c>
      <c r="F15" s="17"/>
      <c r="G15" s="17"/>
      <c r="H15" s="17"/>
      <c r="I15" s="17"/>
      <c r="J15" s="17"/>
      <c r="K15" s="8" t="e">
        <f t="shared" si="6"/>
        <v>#DIV/0!</v>
      </c>
      <c r="L15" s="17"/>
      <c r="M15" s="17"/>
      <c r="N15" s="17"/>
      <c r="O15" s="17"/>
      <c r="P15" s="17"/>
      <c r="Q15" s="9" t="e">
        <f>AVERAGE(L15:P15)</f>
        <v>#DIV/0!</v>
      </c>
      <c r="R15" s="17"/>
      <c r="S15" s="17"/>
      <c r="T15" s="17"/>
      <c r="U15" s="17"/>
      <c r="V15" s="17"/>
      <c r="W15" s="9" t="e">
        <f t="shared" si="7"/>
        <v>#DIV/0!</v>
      </c>
      <c r="X15" s="233"/>
      <c r="Y15" s="234"/>
      <c r="Z15" s="9" t="str">
        <f t="shared" si="8"/>
        <v>0</v>
      </c>
      <c r="AA15" s="7" t="e">
        <f t="shared" si="0"/>
        <v>#DIV/0!</v>
      </c>
      <c r="AB15" s="365"/>
      <c r="AC15" s="17"/>
      <c r="AD15" s="17"/>
      <c r="AE15" s="17"/>
      <c r="AF15" s="17"/>
      <c r="AG15" s="17"/>
      <c r="AH15" s="9" t="e">
        <f t="shared" si="9"/>
        <v>#DIV/0!</v>
      </c>
      <c r="AI15" s="17"/>
      <c r="AJ15" s="17"/>
      <c r="AK15" s="17"/>
      <c r="AL15" s="17"/>
      <c r="AM15" s="17"/>
      <c r="AN15" s="9" t="e">
        <f t="shared" si="10"/>
        <v>#DIV/0!</v>
      </c>
      <c r="AO15" s="17"/>
      <c r="AP15" s="17"/>
      <c r="AQ15" s="17"/>
      <c r="AR15" s="17"/>
      <c r="AS15" s="17"/>
      <c r="AT15" s="9" t="e">
        <f t="shared" si="11"/>
        <v>#DIV/0!</v>
      </c>
      <c r="AU15" s="208"/>
      <c r="AV15" s="209"/>
      <c r="AW15" s="9" t="str">
        <f t="shared" si="12"/>
        <v>0</v>
      </c>
      <c r="AX15" s="7" t="e">
        <f t="shared" si="1"/>
        <v>#DIV/0!</v>
      </c>
      <c r="AY15" s="18" t="e">
        <f>IF(BK15&gt;=4.5, " 5 ", IF(BK15&gt;=3.5," 4 ",IF(BK15&gt;=2.5," 3  ",IF(BK15&gt;=1.5," 2 ",IF(BK15&gt;=1,"1 ",IF(BK15&gt;=0,"0"))))))</f>
        <v>#DIV/0!</v>
      </c>
      <c r="AZ15" s="231" t="e">
        <f>IF(BP15&gt;=4.5, " 5 ", IF(BP15&gt;=3.5," 4 ",IF(BP15&gt;=2.5," 3  ",IF(BP15&gt;=1.5," 2 ",IF(BP15&gt;=1,"1 ",IF(BP15&gt;=0,"0"))))))</f>
        <v>#DIV/0!</v>
      </c>
      <c r="BA15" s="4" t="e">
        <f t="shared" si="2"/>
        <v>#DIV/0!</v>
      </c>
      <c r="BB15" s="4" t="e">
        <f t="shared" si="13"/>
        <v>#DIV/0!</v>
      </c>
      <c r="BC15" s="4" t="e">
        <f t="shared" si="14"/>
        <v>#DIV/0!</v>
      </c>
      <c r="BD15" s="4">
        <f t="shared" si="15"/>
        <v>0</v>
      </c>
      <c r="BE15" s="12" t="e">
        <f t="shared" si="3"/>
        <v>#DIV/0!</v>
      </c>
      <c r="BF15" s="4" t="e">
        <f t="shared" si="16"/>
        <v>#DIV/0!</v>
      </c>
      <c r="BG15" s="4" t="e">
        <f t="shared" si="17"/>
        <v>#DIV/0!</v>
      </c>
      <c r="BH15" s="4" t="e">
        <f t="shared" si="18"/>
        <v>#DIV/0!</v>
      </c>
      <c r="BI15" s="4">
        <f t="shared" si="19"/>
        <v>0</v>
      </c>
      <c r="BJ15" s="12" t="e">
        <f t="shared" si="4"/>
        <v>#DIV/0!</v>
      </c>
      <c r="BK15" s="12" t="e">
        <f t="shared" si="5"/>
        <v>#DIV/0!</v>
      </c>
      <c r="BL15" s="12" t="e">
        <f>(BE15+BJ15)/2</f>
        <v>#DIV/0!</v>
      </c>
      <c r="BM15" s="10" t="e">
        <f t="shared" ref="BM15:BM71" si="21">ROUND(BL15,)</f>
        <v>#DIV/0!</v>
      </c>
      <c r="BN15" s="176" t="e">
        <f t="shared" ref="BN15" si="22">ROUND(BO16,)</f>
        <v>#DIV/0!</v>
      </c>
      <c r="BO15" s="12"/>
      <c r="BP15" s="11" t="e">
        <f>(AY15+AY16)/2</f>
        <v>#DIV/0!</v>
      </c>
      <c r="BQ15" s="6"/>
      <c r="BR15" s="6"/>
    </row>
    <row r="16" spans="1:70" ht="20.25" customHeight="1" thickBot="1">
      <c r="A16" s="333"/>
      <c r="B16" s="321"/>
      <c r="C16" s="321"/>
      <c r="D16" s="225"/>
      <c r="E16" s="20">
        <v>2</v>
      </c>
      <c r="F16" s="17"/>
      <c r="G16" s="17"/>
      <c r="H16" s="17"/>
      <c r="I16" s="17"/>
      <c r="J16" s="17"/>
      <c r="K16" s="8" t="e">
        <f t="shared" si="6"/>
        <v>#DIV/0!</v>
      </c>
      <c r="L16" s="17"/>
      <c r="M16" s="17"/>
      <c r="N16" s="17"/>
      <c r="O16" s="17"/>
      <c r="P16" s="17"/>
      <c r="Q16" s="9" t="e">
        <f>AVERAGE(L16:P16)</f>
        <v>#DIV/0!</v>
      </c>
      <c r="R16" s="17"/>
      <c r="S16" s="17"/>
      <c r="T16" s="17"/>
      <c r="U16" s="17"/>
      <c r="V16" s="17"/>
      <c r="W16" s="9" t="e">
        <f t="shared" si="7"/>
        <v>#DIV/0!</v>
      </c>
      <c r="X16" s="233"/>
      <c r="Y16" s="234"/>
      <c r="Z16" s="9" t="str">
        <f t="shared" si="8"/>
        <v>0</v>
      </c>
      <c r="AA16" s="7" t="e">
        <f t="shared" si="0"/>
        <v>#DIV/0!</v>
      </c>
      <c r="AB16" s="365"/>
      <c r="AC16" s="17"/>
      <c r="AD16" s="17"/>
      <c r="AE16" s="17"/>
      <c r="AF16" s="17"/>
      <c r="AG16" s="17"/>
      <c r="AH16" s="9" t="e">
        <f t="shared" si="9"/>
        <v>#DIV/0!</v>
      </c>
      <c r="AI16" s="17"/>
      <c r="AJ16" s="17"/>
      <c r="AK16" s="17"/>
      <c r="AL16" s="17"/>
      <c r="AM16" s="17"/>
      <c r="AN16" s="9" t="e">
        <f t="shared" si="10"/>
        <v>#DIV/0!</v>
      </c>
      <c r="AO16" s="17"/>
      <c r="AP16" s="17"/>
      <c r="AQ16" s="17"/>
      <c r="AR16" s="17"/>
      <c r="AS16" s="17"/>
      <c r="AT16" s="9" t="e">
        <f t="shared" si="11"/>
        <v>#DIV/0!</v>
      </c>
      <c r="AU16" s="208"/>
      <c r="AV16" s="209"/>
      <c r="AW16" s="9" t="str">
        <f t="shared" si="12"/>
        <v>0</v>
      </c>
      <c r="AX16" s="7" t="e">
        <f t="shared" si="1"/>
        <v>#DIV/0!</v>
      </c>
      <c r="AY16" s="18" t="e">
        <f>IF(BK16&gt;=4.5, " 5 ", IF(BK16&gt;=3.5," 4 ",IF(BK16&gt;=2.5," 3  ",IF(BK16&gt;=1.5," 2 ",IF(BK16&gt;=1,"1 ",IF(BK16&gt;=0,"0"))))))</f>
        <v>#DIV/0!</v>
      </c>
      <c r="AZ16" s="232"/>
      <c r="BA16" s="4" t="e">
        <f t="shared" si="2"/>
        <v>#DIV/0!</v>
      </c>
      <c r="BB16" s="4" t="e">
        <f t="shared" si="13"/>
        <v>#DIV/0!</v>
      </c>
      <c r="BC16" s="4" t="e">
        <f t="shared" si="14"/>
        <v>#DIV/0!</v>
      </c>
      <c r="BD16" s="4">
        <f t="shared" si="15"/>
        <v>0</v>
      </c>
      <c r="BE16" s="12" t="e">
        <f t="shared" si="3"/>
        <v>#DIV/0!</v>
      </c>
      <c r="BF16" s="4" t="e">
        <f t="shared" si="16"/>
        <v>#DIV/0!</v>
      </c>
      <c r="BG16" s="4" t="e">
        <f t="shared" si="17"/>
        <v>#DIV/0!</v>
      </c>
      <c r="BH16" s="4" t="e">
        <f t="shared" si="18"/>
        <v>#DIV/0!</v>
      </c>
      <c r="BI16" s="4">
        <f t="shared" si="19"/>
        <v>0</v>
      </c>
      <c r="BJ16" s="12" t="e">
        <f t="shared" si="4"/>
        <v>#DIV/0!</v>
      </c>
      <c r="BK16" s="12" t="e">
        <f t="shared" si="5"/>
        <v>#DIV/0!</v>
      </c>
      <c r="BL16" s="12"/>
      <c r="BM16" s="10"/>
      <c r="BN16" s="176"/>
      <c r="BO16" s="12" t="e">
        <f t="shared" si="20"/>
        <v>#DIV/0!</v>
      </c>
      <c r="BP16" s="11"/>
      <c r="BQ16" s="6"/>
      <c r="BR16" s="6"/>
    </row>
    <row r="17" spans="1:70" ht="20.25" customHeight="1">
      <c r="A17" s="332">
        <v>3</v>
      </c>
      <c r="B17" s="321"/>
      <c r="C17" s="321"/>
      <c r="D17" s="225"/>
      <c r="E17" s="21">
        <v>1</v>
      </c>
      <c r="F17" s="17"/>
      <c r="G17" s="17"/>
      <c r="H17" s="17"/>
      <c r="I17" s="17"/>
      <c r="J17" s="17"/>
      <c r="K17" s="8" t="e">
        <f t="shared" si="6"/>
        <v>#DIV/0!</v>
      </c>
      <c r="L17" s="17"/>
      <c r="M17" s="17"/>
      <c r="N17" s="17"/>
      <c r="O17" s="17"/>
      <c r="P17" s="17"/>
      <c r="Q17" s="9" t="e">
        <f t="shared" ref="Q17:Q72" si="23">AVERAGE(L17:P17)</f>
        <v>#DIV/0!</v>
      </c>
      <c r="R17" s="17"/>
      <c r="S17" s="17"/>
      <c r="T17" s="17"/>
      <c r="U17" s="17"/>
      <c r="V17" s="17"/>
      <c r="W17" s="9" t="e">
        <f t="shared" si="7"/>
        <v>#DIV/0!</v>
      </c>
      <c r="X17" s="233"/>
      <c r="Y17" s="234"/>
      <c r="Z17" s="9" t="str">
        <f t="shared" si="8"/>
        <v>0</v>
      </c>
      <c r="AA17" s="7" t="e">
        <f t="shared" si="0"/>
        <v>#DIV/0!</v>
      </c>
      <c r="AB17" s="365"/>
      <c r="AC17" s="17"/>
      <c r="AD17" s="17"/>
      <c r="AE17" s="17"/>
      <c r="AF17" s="17"/>
      <c r="AG17" s="17"/>
      <c r="AH17" s="9" t="e">
        <f t="shared" si="9"/>
        <v>#DIV/0!</v>
      </c>
      <c r="AI17" s="17"/>
      <c r="AJ17" s="17"/>
      <c r="AK17" s="17"/>
      <c r="AL17" s="17"/>
      <c r="AM17" s="17"/>
      <c r="AN17" s="9" t="e">
        <f t="shared" si="10"/>
        <v>#DIV/0!</v>
      </c>
      <c r="AO17" s="17"/>
      <c r="AP17" s="17"/>
      <c r="AQ17" s="17"/>
      <c r="AR17" s="17"/>
      <c r="AS17" s="17"/>
      <c r="AT17" s="9" t="e">
        <f t="shared" si="11"/>
        <v>#DIV/0!</v>
      </c>
      <c r="AU17" s="208"/>
      <c r="AV17" s="209"/>
      <c r="AW17" s="9" t="str">
        <f t="shared" si="12"/>
        <v>0</v>
      </c>
      <c r="AX17" s="7" t="e">
        <f t="shared" si="1"/>
        <v>#DIV/0!</v>
      </c>
      <c r="AY17" s="18" t="e">
        <f t="shared" si="1"/>
        <v>#DIV/0!</v>
      </c>
      <c r="AZ17" s="231" t="e">
        <f>IF(BP17&gt;=4.5, " 5 ", IF(BP17&gt;=3.5," 4 ",IF(BP17&gt;=2.5," 3  ",IF(BP17&gt;=1.5," 2 ",IF(BP17&gt;=1,"1 ",IF(BP17&gt;=0,"0"))))))</f>
        <v>#DIV/0!</v>
      </c>
      <c r="BA17" s="4" t="e">
        <f t="shared" si="2"/>
        <v>#DIV/0!</v>
      </c>
      <c r="BB17" s="4" t="e">
        <f t="shared" si="13"/>
        <v>#DIV/0!</v>
      </c>
      <c r="BC17" s="4" t="e">
        <f t="shared" si="14"/>
        <v>#DIV/0!</v>
      </c>
      <c r="BD17" s="4">
        <f t="shared" si="15"/>
        <v>0</v>
      </c>
      <c r="BE17" s="12" t="e">
        <f t="shared" si="3"/>
        <v>#DIV/0!</v>
      </c>
      <c r="BF17" s="4" t="e">
        <f t="shared" si="16"/>
        <v>#DIV/0!</v>
      </c>
      <c r="BG17" s="4" t="e">
        <f t="shared" si="17"/>
        <v>#DIV/0!</v>
      </c>
      <c r="BH17" s="4" t="e">
        <f t="shared" si="18"/>
        <v>#DIV/0!</v>
      </c>
      <c r="BI17" s="4">
        <f t="shared" si="19"/>
        <v>0</v>
      </c>
      <c r="BJ17" s="12" t="e">
        <f t="shared" si="4"/>
        <v>#DIV/0!</v>
      </c>
      <c r="BK17" s="12" t="e">
        <f t="shared" si="5"/>
        <v>#DIV/0!</v>
      </c>
      <c r="BL17" s="12" t="e">
        <f>(BE17+BJ17)/2</f>
        <v>#DIV/0!</v>
      </c>
      <c r="BM17" s="10" t="e">
        <f t="shared" si="21"/>
        <v>#DIV/0!</v>
      </c>
      <c r="BN17" s="176" t="e">
        <f t="shared" ref="BN17" si="24">ROUND(BO18,)</f>
        <v>#DIV/0!</v>
      </c>
      <c r="BO17" s="12"/>
      <c r="BP17" s="11" t="e">
        <f t="shared" ref="BP17:BP71" si="25">(AY17+AY18)/2</f>
        <v>#DIV/0!</v>
      </c>
      <c r="BQ17" s="6"/>
      <c r="BR17" s="6"/>
    </row>
    <row r="18" spans="1:70" ht="20.25" customHeight="1" thickBot="1">
      <c r="A18" s="333"/>
      <c r="B18" s="321"/>
      <c r="C18" s="321"/>
      <c r="D18" s="225"/>
      <c r="E18" s="20">
        <v>2</v>
      </c>
      <c r="F18" s="17"/>
      <c r="G18" s="17"/>
      <c r="H18" s="17"/>
      <c r="I18" s="17"/>
      <c r="J18" s="17"/>
      <c r="K18" s="8" t="e">
        <f t="shared" si="6"/>
        <v>#DIV/0!</v>
      </c>
      <c r="L18" s="17"/>
      <c r="M18" s="17"/>
      <c r="N18" s="17"/>
      <c r="O18" s="17"/>
      <c r="P18" s="17"/>
      <c r="Q18" s="9" t="e">
        <f t="shared" si="23"/>
        <v>#DIV/0!</v>
      </c>
      <c r="R18" s="17"/>
      <c r="S18" s="17"/>
      <c r="T18" s="17"/>
      <c r="U18" s="17"/>
      <c r="V18" s="17"/>
      <c r="W18" s="9" t="e">
        <f t="shared" si="7"/>
        <v>#DIV/0!</v>
      </c>
      <c r="X18" s="233"/>
      <c r="Y18" s="234"/>
      <c r="Z18" s="9" t="str">
        <f t="shared" si="8"/>
        <v>0</v>
      </c>
      <c r="AA18" s="7" t="e">
        <f t="shared" si="0"/>
        <v>#DIV/0!</v>
      </c>
      <c r="AB18" s="365"/>
      <c r="AC18" s="17"/>
      <c r="AD18" s="17"/>
      <c r="AE18" s="17"/>
      <c r="AF18" s="17"/>
      <c r="AG18" s="17"/>
      <c r="AH18" s="9" t="e">
        <f t="shared" si="9"/>
        <v>#DIV/0!</v>
      </c>
      <c r="AI18" s="17"/>
      <c r="AJ18" s="17"/>
      <c r="AK18" s="17"/>
      <c r="AL18" s="17"/>
      <c r="AM18" s="17"/>
      <c r="AN18" s="9" t="e">
        <f t="shared" si="10"/>
        <v>#DIV/0!</v>
      </c>
      <c r="AO18" s="17"/>
      <c r="AP18" s="17"/>
      <c r="AQ18" s="17"/>
      <c r="AR18" s="17"/>
      <c r="AS18" s="17"/>
      <c r="AT18" s="9" t="e">
        <f t="shared" si="11"/>
        <v>#DIV/0!</v>
      </c>
      <c r="AU18" s="208"/>
      <c r="AV18" s="209"/>
      <c r="AW18" s="9" t="str">
        <f t="shared" si="12"/>
        <v>0</v>
      </c>
      <c r="AX18" s="7" t="e">
        <f t="shared" si="1"/>
        <v>#DIV/0!</v>
      </c>
      <c r="AY18" s="18" t="e">
        <f t="shared" si="1"/>
        <v>#DIV/0!</v>
      </c>
      <c r="AZ18" s="232"/>
      <c r="BA18" s="4" t="e">
        <f t="shared" si="2"/>
        <v>#DIV/0!</v>
      </c>
      <c r="BB18" s="4" t="e">
        <f t="shared" si="13"/>
        <v>#DIV/0!</v>
      </c>
      <c r="BC18" s="4" t="e">
        <f t="shared" si="14"/>
        <v>#DIV/0!</v>
      </c>
      <c r="BD18" s="4">
        <f t="shared" si="15"/>
        <v>0</v>
      </c>
      <c r="BE18" s="12" t="e">
        <f t="shared" si="3"/>
        <v>#DIV/0!</v>
      </c>
      <c r="BF18" s="4" t="e">
        <f t="shared" si="16"/>
        <v>#DIV/0!</v>
      </c>
      <c r="BG18" s="4" t="e">
        <f t="shared" si="17"/>
        <v>#DIV/0!</v>
      </c>
      <c r="BH18" s="4" t="e">
        <f t="shared" si="18"/>
        <v>#DIV/0!</v>
      </c>
      <c r="BI18" s="4">
        <f t="shared" si="19"/>
        <v>0</v>
      </c>
      <c r="BJ18" s="12" t="e">
        <f t="shared" si="4"/>
        <v>#DIV/0!</v>
      </c>
      <c r="BK18" s="12" t="e">
        <f t="shared" si="5"/>
        <v>#DIV/0!</v>
      </c>
      <c r="BL18" s="12"/>
      <c r="BM18" s="10"/>
      <c r="BN18" s="176"/>
      <c r="BO18" s="12" t="e">
        <f t="shared" si="20"/>
        <v>#DIV/0!</v>
      </c>
      <c r="BP18" s="11"/>
      <c r="BQ18" s="6"/>
      <c r="BR18" s="6"/>
    </row>
    <row r="19" spans="1:70" ht="17.25" customHeight="1">
      <c r="A19" s="332">
        <v>4</v>
      </c>
      <c r="B19" s="321"/>
      <c r="C19" s="321"/>
      <c r="D19" s="225"/>
      <c r="E19" s="21">
        <v>1</v>
      </c>
      <c r="F19" s="17"/>
      <c r="G19" s="17"/>
      <c r="H19" s="17"/>
      <c r="I19" s="17"/>
      <c r="J19" s="17"/>
      <c r="K19" s="8" t="e">
        <f t="shared" si="6"/>
        <v>#DIV/0!</v>
      </c>
      <c r="L19" s="17"/>
      <c r="M19" s="17"/>
      <c r="N19" s="17"/>
      <c r="O19" s="17"/>
      <c r="P19" s="17"/>
      <c r="Q19" s="9" t="e">
        <f t="shared" si="23"/>
        <v>#DIV/0!</v>
      </c>
      <c r="R19" s="17"/>
      <c r="S19" s="17"/>
      <c r="T19" s="17"/>
      <c r="U19" s="17"/>
      <c r="V19" s="17"/>
      <c r="W19" s="9" t="e">
        <f t="shared" si="7"/>
        <v>#DIV/0!</v>
      </c>
      <c r="X19" s="233"/>
      <c r="Y19" s="234"/>
      <c r="Z19" s="9" t="str">
        <f t="shared" si="8"/>
        <v>0</v>
      </c>
      <c r="AA19" s="7" t="e">
        <f t="shared" si="0"/>
        <v>#DIV/0!</v>
      </c>
      <c r="AB19" s="365"/>
      <c r="AC19" s="17"/>
      <c r="AD19" s="17"/>
      <c r="AE19" s="17"/>
      <c r="AF19" s="17"/>
      <c r="AG19" s="17"/>
      <c r="AH19" s="9" t="e">
        <f t="shared" si="9"/>
        <v>#DIV/0!</v>
      </c>
      <c r="AI19" s="17"/>
      <c r="AJ19" s="17"/>
      <c r="AK19" s="17"/>
      <c r="AL19" s="17"/>
      <c r="AM19" s="17"/>
      <c r="AN19" s="9" t="e">
        <f t="shared" si="10"/>
        <v>#DIV/0!</v>
      </c>
      <c r="AO19" s="17"/>
      <c r="AP19" s="17"/>
      <c r="AQ19" s="17"/>
      <c r="AR19" s="17"/>
      <c r="AS19" s="17"/>
      <c r="AT19" s="9" t="e">
        <f t="shared" si="11"/>
        <v>#DIV/0!</v>
      </c>
      <c r="AU19" s="208"/>
      <c r="AV19" s="209"/>
      <c r="AW19" s="9" t="str">
        <f t="shared" si="12"/>
        <v>0</v>
      </c>
      <c r="AX19" s="7" t="e">
        <f t="shared" si="1"/>
        <v>#DIV/0!</v>
      </c>
      <c r="AY19" s="18" t="e">
        <f t="shared" si="1"/>
        <v>#DIV/0!</v>
      </c>
      <c r="AZ19" s="231" t="e">
        <f t="shared" ref="AZ19" si="26">IF(BP19&gt;=4.5, " 5 ", IF(BP19&gt;=3.5," 4 ",IF(BP19&gt;=2.5," 3  ",IF(BP19&gt;=1.5," 2 ",IF(BP19&gt;=1,"1 ",IF(BP19&gt;=0,"0"))))))</f>
        <v>#DIV/0!</v>
      </c>
      <c r="BA19" s="4" t="e">
        <f t="shared" si="2"/>
        <v>#DIV/0!</v>
      </c>
      <c r="BB19" s="4" t="e">
        <f t="shared" si="13"/>
        <v>#DIV/0!</v>
      </c>
      <c r="BC19" s="4" t="e">
        <f t="shared" si="14"/>
        <v>#DIV/0!</v>
      </c>
      <c r="BD19" s="4">
        <f t="shared" si="15"/>
        <v>0</v>
      </c>
      <c r="BE19" s="12" t="e">
        <f t="shared" si="3"/>
        <v>#DIV/0!</v>
      </c>
      <c r="BF19" s="4" t="e">
        <f t="shared" si="16"/>
        <v>#DIV/0!</v>
      </c>
      <c r="BG19" s="4" t="e">
        <f t="shared" si="17"/>
        <v>#DIV/0!</v>
      </c>
      <c r="BH19" s="4" t="e">
        <f t="shared" si="18"/>
        <v>#DIV/0!</v>
      </c>
      <c r="BI19" s="4">
        <f t="shared" si="19"/>
        <v>0</v>
      </c>
      <c r="BJ19" s="12" t="e">
        <f t="shared" si="4"/>
        <v>#DIV/0!</v>
      </c>
      <c r="BK19" s="12" t="e">
        <f t="shared" si="5"/>
        <v>#DIV/0!</v>
      </c>
      <c r="BL19" s="12" t="e">
        <f>(BE19+BJ19)/2</f>
        <v>#DIV/0!</v>
      </c>
      <c r="BM19" s="10" t="e">
        <f t="shared" si="21"/>
        <v>#DIV/0!</v>
      </c>
      <c r="BN19" s="176" t="e">
        <f t="shared" ref="BN19" si="27">ROUND(BO20,)</f>
        <v>#DIV/0!</v>
      </c>
      <c r="BO19" s="12"/>
      <c r="BP19" s="11" t="e">
        <f t="shared" si="25"/>
        <v>#DIV/0!</v>
      </c>
      <c r="BQ19" s="6"/>
      <c r="BR19" s="6"/>
    </row>
    <row r="20" spans="1:70" ht="17.25" customHeight="1" thickBot="1">
      <c r="A20" s="333"/>
      <c r="B20" s="321"/>
      <c r="C20" s="321"/>
      <c r="D20" s="225"/>
      <c r="E20" s="20">
        <v>2</v>
      </c>
      <c r="F20" s="17"/>
      <c r="G20" s="17"/>
      <c r="H20" s="17"/>
      <c r="I20" s="17"/>
      <c r="J20" s="17"/>
      <c r="K20" s="8" t="e">
        <f t="shared" si="6"/>
        <v>#DIV/0!</v>
      </c>
      <c r="L20" s="17"/>
      <c r="M20" s="17"/>
      <c r="N20" s="17"/>
      <c r="O20" s="17"/>
      <c r="P20" s="17"/>
      <c r="Q20" s="9" t="e">
        <f t="shared" si="23"/>
        <v>#DIV/0!</v>
      </c>
      <c r="R20" s="17"/>
      <c r="S20" s="17"/>
      <c r="T20" s="17"/>
      <c r="U20" s="17"/>
      <c r="V20" s="17"/>
      <c r="W20" s="9" t="e">
        <f t="shared" si="7"/>
        <v>#DIV/0!</v>
      </c>
      <c r="X20" s="233"/>
      <c r="Y20" s="234"/>
      <c r="Z20" s="9" t="str">
        <f t="shared" si="8"/>
        <v>0</v>
      </c>
      <c r="AA20" s="7" t="e">
        <f t="shared" si="0"/>
        <v>#DIV/0!</v>
      </c>
      <c r="AB20" s="365"/>
      <c r="AC20" s="17"/>
      <c r="AD20" s="17"/>
      <c r="AE20" s="17"/>
      <c r="AF20" s="17"/>
      <c r="AG20" s="17"/>
      <c r="AH20" s="9" t="e">
        <f t="shared" si="9"/>
        <v>#DIV/0!</v>
      </c>
      <c r="AI20" s="17"/>
      <c r="AJ20" s="17"/>
      <c r="AK20" s="17"/>
      <c r="AL20" s="17"/>
      <c r="AM20" s="17"/>
      <c r="AN20" s="9" t="e">
        <f t="shared" si="10"/>
        <v>#DIV/0!</v>
      </c>
      <c r="AO20" s="17"/>
      <c r="AP20" s="17"/>
      <c r="AQ20" s="17"/>
      <c r="AR20" s="17"/>
      <c r="AS20" s="17"/>
      <c r="AT20" s="9" t="e">
        <f t="shared" si="11"/>
        <v>#DIV/0!</v>
      </c>
      <c r="AU20" s="208"/>
      <c r="AV20" s="209"/>
      <c r="AW20" s="9" t="str">
        <f t="shared" si="12"/>
        <v>0</v>
      </c>
      <c r="AX20" s="7" t="e">
        <f t="shared" si="1"/>
        <v>#DIV/0!</v>
      </c>
      <c r="AY20" s="18" t="e">
        <f t="shared" si="1"/>
        <v>#DIV/0!</v>
      </c>
      <c r="AZ20" s="232"/>
      <c r="BA20" s="4" t="e">
        <f t="shared" si="2"/>
        <v>#DIV/0!</v>
      </c>
      <c r="BB20" s="4" t="e">
        <f t="shared" si="13"/>
        <v>#DIV/0!</v>
      </c>
      <c r="BC20" s="4" t="e">
        <f t="shared" si="14"/>
        <v>#DIV/0!</v>
      </c>
      <c r="BD20" s="4">
        <f t="shared" si="15"/>
        <v>0</v>
      </c>
      <c r="BE20" s="12" t="e">
        <f t="shared" si="3"/>
        <v>#DIV/0!</v>
      </c>
      <c r="BF20" s="4" t="e">
        <f t="shared" si="16"/>
        <v>#DIV/0!</v>
      </c>
      <c r="BG20" s="4" t="e">
        <f t="shared" si="17"/>
        <v>#DIV/0!</v>
      </c>
      <c r="BH20" s="4" t="e">
        <f t="shared" si="18"/>
        <v>#DIV/0!</v>
      </c>
      <c r="BI20" s="4">
        <f t="shared" si="19"/>
        <v>0</v>
      </c>
      <c r="BJ20" s="12" t="e">
        <f t="shared" si="4"/>
        <v>#DIV/0!</v>
      </c>
      <c r="BK20" s="12" t="e">
        <f t="shared" si="5"/>
        <v>#DIV/0!</v>
      </c>
      <c r="BL20" s="12"/>
      <c r="BM20" s="10"/>
      <c r="BN20" s="176"/>
      <c r="BO20" s="12" t="e">
        <f t="shared" si="20"/>
        <v>#DIV/0!</v>
      </c>
      <c r="BP20" s="11"/>
      <c r="BQ20" s="6"/>
      <c r="BR20" s="6"/>
    </row>
    <row r="21" spans="1:70" ht="20.25" customHeight="1">
      <c r="A21" s="332">
        <v>5</v>
      </c>
      <c r="B21" s="321"/>
      <c r="C21" s="321"/>
      <c r="D21" s="225"/>
      <c r="E21" s="21">
        <v>1</v>
      </c>
      <c r="F21" s="17"/>
      <c r="G21" s="17"/>
      <c r="H21" s="17"/>
      <c r="I21" s="17"/>
      <c r="J21" s="17"/>
      <c r="K21" s="8" t="e">
        <f t="shared" si="6"/>
        <v>#DIV/0!</v>
      </c>
      <c r="L21" s="17"/>
      <c r="M21" s="17"/>
      <c r="N21" s="17"/>
      <c r="O21" s="17"/>
      <c r="P21" s="17"/>
      <c r="Q21" s="9" t="e">
        <f t="shared" si="23"/>
        <v>#DIV/0!</v>
      </c>
      <c r="R21" s="17"/>
      <c r="S21" s="17"/>
      <c r="T21" s="17"/>
      <c r="U21" s="17"/>
      <c r="V21" s="17"/>
      <c r="W21" s="9" t="e">
        <f t="shared" si="7"/>
        <v>#DIV/0!</v>
      </c>
      <c r="X21" s="233"/>
      <c r="Y21" s="234"/>
      <c r="Z21" s="9" t="str">
        <f t="shared" si="8"/>
        <v>0</v>
      </c>
      <c r="AA21" s="7" t="e">
        <f t="shared" si="0"/>
        <v>#DIV/0!</v>
      </c>
      <c r="AB21" s="365"/>
      <c r="AC21" s="17"/>
      <c r="AD21" s="17"/>
      <c r="AE21" s="17"/>
      <c r="AF21" s="17"/>
      <c r="AG21" s="17"/>
      <c r="AH21" s="9" t="e">
        <f t="shared" si="9"/>
        <v>#DIV/0!</v>
      </c>
      <c r="AI21" s="17"/>
      <c r="AJ21" s="17"/>
      <c r="AK21" s="17"/>
      <c r="AL21" s="17"/>
      <c r="AM21" s="17"/>
      <c r="AN21" s="9" t="e">
        <f t="shared" si="10"/>
        <v>#DIV/0!</v>
      </c>
      <c r="AO21" s="17"/>
      <c r="AP21" s="17"/>
      <c r="AQ21" s="17"/>
      <c r="AR21" s="17"/>
      <c r="AS21" s="17"/>
      <c r="AT21" s="9" t="e">
        <f t="shared" si="11"/>
        <v>#DIV/0!</v>
      </c>
      <c r="AU21" s="208"/>
      <c r="AV21" s="209"/>
      <c r="AW21" s="9" t="str">
        <f t="shared" si="12"/>
        <v>0</v>
      </c>
      <c r="AX21" s="7" t="e">
        <f t="shared" si="1"/>
        <v>#DIV/0!</v>
      </c>
      <c r="AY21" s="18" t="e">
        <f t="shared" si="1"/>
        <v>#DIV/0!</v>
      </c>
      <c r="AZ21" s="231" t="e">
        <f t="shared" ref="AZ21" si="28">IF(BP21&gt;=4.5, " 5 ", IF(BP21&gt;=3.5," 4 ",IF(BP21&gt;=2.5," 3  ",IF(BP21&gt;=1.5," 2 ",IF(BP21&gt;=1,"1 ",IF(BP21&gt;=0,"0"))))))</f>
        <v>#DIV/0!</v>
      </c>
      <c r="BA21" s="4" t="e">
        <f t="shared" si="2"/>
        <v>#DIV/0!</v>
      </c>
      <c r="BB21" s="4" t="e">
        <f t="shared" si="13"/>
        <v>#DIV/0!</v>
      </c>
      <c r="BC21" s="4" t="e">
        <f t="shared" si="14"/>
        <v>#DIV/0!</v>
      </c>
      <c r="BD21" s="4">
        <f t="shared" si="15"/>
        <v>0</v>
      </c>
      <c r="BE21" s="12" t="e">
        <f t="shared" si="3"/>
        <v>#DIV/0!</v>
      </c>
      <c r="BF21" s="4" t="e">
        <f t="shared" si="16"/>
        <v>#DIV/0!</v>
      </c>
      <c r="BG21" s="4" t="e">
        <f t="shared" si="17"/>
        <v>#DIV/0!</v>
      </c>
      <c r="BH21" s="4" t="e">
        <f t="shared" si="18"/>
        <v>#DIV/0!</v>
      </c>
      <c r="BI21" s="4">
        <f t="shared" si="19"/>
        <v>0</v>
      </c>
      <c r="BJ21" s="12" t="e">
        <f t="shared" si="4"/>
        <v>#DIV/0!</v>
      </c>
      <c r="BK21" s="12" t="e">
        <f t="shared" si="5"/>
        <v>#DIV/0!</v>
      </c>
      <c r="BL21" s="12" t="e">
        <f>(BE21+BJ21)/2</f>
        <v>#DIV/0!</v>
      </c>
      <c r="BM21" s="10" t="e">
        <f t="shared" si="21"/>
        <v>#DIV/0!</v>
      </c>
      <c r="BN21" s="176" t="e">
        <f t="shared" ref="BN21" si="29">ROUND(BO22,)</f>
        <v>#DIV/0!</v>
      </c>
      <c r="BO21" s="12"/>
      <c r="BP21" s="11" t="e">
        <f t="shared" si="25"/>
        <v>#DIV/0!</v>
      </c>
      <c r="BQ21" s="6"/>
      <c r="BR21" s="6"/>
    </row>
    <row r="22" spans="1:70" ht="18" customHeight="1" thickBot="1">
      <c r="A22" s="333"/>
      <c r="B22" s="321"/>
      <c r="C22" s="321"/>
      <c r="D22" s="225"/>
      <c r="E22" s="20">
        <v>2</v>
      </c>
      <c r="F22" s="17"/>
      <c r="G22" s="17"/>
      <c r="H22" s="17"/>
      <c r="I22" s="17"/>
      <c r="J22" s="17"/>
      <c r="K22" s="8" t="e">
        <f t="shared" si="6"/>
        <v>#DIV/0!</v>
      </c>
      <c r="L22" s="17"/>
      <c r="M22" s="17"/>
      <c r="N22" s="17"/>
      <c r="O22" s="17"/>
      <c r="P22" s="17"/>
      <c r="Q22" s="9" t="e">
        <f t="shared" si="23"/>
        <v>#DIV/0!</v>
      </c>
      <c r="R22" s="17"/>
      <c r="S22" s="17"/>
      <c r="T22" s="17"/>
      <c r="U22" s="17"/>
      <c r="V22" s="17"/>
      <c r="W22" s="9" t="e">
        <f t="shared" si="7"/>
        <v>#DIV/0!</v>
      </c>
      <c r="X22" s="233"/>
      <c r="Y22" s="234"/>
      <c r="Z22" s="9" t="str">
        <f>IF(X22&gt;=85,"5",IF(X22&gt;=65,"4",IF(X22&gt;=55,"3",IF(X22&gt;=40,"2",IF(X22&gt;=1,"1",IF(X22&gt;="","0"))))))</f>
        <v>0</v>
      </c>
      <c r="AA22" s="7" t="e">
        <f t="shared" si="0"/>
        <v>#DIV/0!</v>
      </c>
      <c r="AB22" s="365"/>
      <c r="AC22" s="17"/>
      <c r="AD22" s="17"/>
      <c r="AE22" s="17"/>
      <c r="AF22" s="17"/>
      <c r="AG22" s="17"/>
      <c r="AH22" s="9" t="e">
        <f t="shared" si="9"/>
        <v>#DIV/0!</v>
      </c>
      <c r="AI22" s="17"/>
      <c r="AJ22" s="17"/>
      <c r="AK22" s="17"/>
      <c r="AL22" s="17"/>
      <c r="AM22" s="17"/>
      <c r="AN22" s="9" t="e">
        <f t="shared" si="10"/>
        <v>#DIV/0!</v>
      </c>
      <c r="AO22" s="17"/>
      <c r="AP22" s="17"/>
      <c r="AQ22" s="17"/>
      <c r="AR22" s="17"/>
      <c r="AS22" s="17"/>
      <c r="AT22" s="9" t="e">
        <f t="shared" si="11"/>
        <v>#DIV/0!</v>
      </c>
      <c r="AU22" s="208"/>
      <c r="AV22" s="209"/>
      <c r="AW22" s="9" t="str">
        <f t="shared" si="12"/>
        <v>0</v>
      </c>
      <c r="AX22" s="7" t="e">
        <f t="shared" si="1"/>
        <v>#DIV/0!</v>
      </c>
      <c r="AY22" s="18" t="e">
        <f t="shared" si="1"/>
        <v>#DIV/0!</v>
      </c>
      <c r="AZ22" s="232"/>
      <c r="BA22" s="4" t="e">
        <f t="shared" si="2"/>
        <v>#DIV/0!</v>
      </c>
      <c r="BB22" s="4" t="e">
        <f t="shared" si="13"/>
        <v>#DIV/0!</v>
      </c>
      <c r="BC22" s="4" t="e">
        <f t="shared" si="14"/>
        <v>#DIV/0!</v>
      </c>
      <c r="BD22" s="4">
        <f t="shared" si="15"/>
        <v>0</v>
      </c>
      <c r="BE22" s="12" t="e">
        <f t="shared" si="3"/>
        <v>#DIV/0!</v>
      </c>
      <c r="BF22" s="4" t="e">
        <f t="shared" si="16"/>
        <v>#DIV/0!</v>
      </c>
      <c r="BG22" s="4" t="e">
        <f t="shared" si="17"/>
        <v>#DIV/0!</v>
      </c>
      <c r="BH22" s="4" t="e">
        <f t="shared" si="18"/>
        <v>#DIV/0!</v>
      </c>
      <c r="BI22" s="4">
        <f t="shared" si="19"/>
        <v>0</v>
      </c>
      <c r="BJ22" s="12" t="e">
        <f t="shared" si="4"/>
        <v>#DIV/0!</v>
      </c>
      <c r="BK22" s="12" t="e">
        <f t="shared" si="5"/>
        <v>#DIV/0!</v>
      </c>
      <c r="BL22" s="12"/>
      <c r="BM22" s="10"/>
      <c r="BN22" s="176"/>
      <c r="BO22" s="12" t="e">
        <f t="shared" si="20"/>
        <v>#DIV/0!</v>
      </c>
      <c r="BP22" s="11"/>
      <c r="BQ22" s="6"/>
      <c r="BR22" s="6"/>
    </row>
    <row r="23" spans="1:70" ht="20.25" customHeight="1">
      <c r="A23" s="332">
        <v>6</v>
      </c>
      <c r="B23" s="321"/>
      <c r="C23" s="321"/>
      <c r="D23" s="225"/>
      <c r="E23" s="21">
        <v>1</v>
      </c>
      <c r="F23" s="17"/>
      <c r="G23" s="17"/>
      <c r="H23" s="17"/>
      <c r="I23" s="17"/>
      <c r="J23" s="17"/>
      <c r="K23" s="8" t="e">
        <f t="shared" si="6"/>
        <v>#DIV/0!</v>
      </c>
      <c r="L23" s="17"/>
      <c r="M23" s="17"/>
      <c r="N23" s="17"/>
      <c r="O23" s="17"/>
      <c r="P23" s="17"/>
      <c r="Q23" s="9" t="e">
        <f t="shared" si="23"/>
        <v>#DIV/0!</v>
      </c>
      <c r="R23" s="17"/>
      <c r="S23" s="17"/>
      <c r="T23" s="17"/>
      <c r="U23" s="17"/>
      <c r="V23" s="17"/>
      <c r="W23" s="9" t="e">
        <f t="shared" si="7"/>
        <v>#DIV/0!</v>
      </c>
      <c r="X23" s="233"/>
      <c r="Y23" s="234"/>
      <c r="Z23" s="9" t="str">
        <f>IF(X23&gt;=85,"5",IF(X23&gt;=65,"4",IF(X23&gt;=55,"3",IF(X23&gt;=40,"2",IF(X23&gt;=1,"1",IF(X23&gt;="","0"))))))</f>
        <v>0</v>
      </c>
      <c r="AA23" s="7" t="e">
        <f t="shared" si="0"/>
        <v>#DIV/0!</v>
      </c>
      <c r="AB23" s="365"/>
      <c r="AC23" s="17"/>
      <c r="AD23" s="17"/>
      <c r="AE23" s="17"/>
      <c r="AF23" s="17"/>
      <c r="AG23" s="17"/>
      <c r="AH23" s="9" t="e">
        <f t="shared" si="9"/>
        <v>#DIV/0!</v>
      </c>
      <c r="AI23" s="17"/>
      <c r="AJ23" s="17"/>
      <c r="AK23" s="17"/>
      <c r="AL23" s="17"/>
      <c r="AM23" s="17"/>
      <c r="AN23" s="9" t="e">
        <f t="shared" si="10"/>
        <v>#DIV/0!</v>
      </c>
      <c r="AO23" s="17"/>
      <c r="AP23" s="17"/>
      <c r="AQ23" s="17"/>
      <c r="AR23" s="17"/>
      <c r="AS23" s="17"/>
      <c r="AT23" s="9" t="e">
        <f t="shared" si="11"/>
        <v>#DIV/0!</v>
      </c>
      <c r="AU23" s="208"/>
      <c r="AV23" s="209"/>
      <c r="AW23" s="9" t="str">
        <f t="shared" si="12"/>
        <v>0</v>
      </c>
      <c r="AX23" s="7" t="e">
        <f t="shared" si="1"/>
        <v>#DIV/0!</v>
      </c>
      <c r="AY23" s="18" t="e">
        <f t="shared" si="1"/>
        <v>#DIV/0!</v>
      </c>
      <c r="AZ23" s="231" t="e">
        <f t="shared" ref="AZ23" si="30">IF(BP23&gt;=4.5, " 5 ", IF(BP23&gt;=3.5," 4 ",IF(BP23&gt;=2.5," 3  ",IF(BP23&gt;=1.5," 2 ",IF(BP23&gt;=1,"1 ",IF(BP23&gt;=0,"0"))))))</f>
        <v>#DIV/0!</v>
      </c>
      <c r="BA23" s="4" t="e">
        <f t="shared" si="2"/>
        <v>#DIV/0!</v>
      </c>
      <c r="BB23" s="4" t="e">
        <f t="shared" si="13"/>
        <v>#DIV/0!</v>
      </c>
      <c r="BC23" s="4" t="e">
        <f t="shared" si="14"/>
        <v>#DIV/0!</v>
      </c>
      <c r="BD23" s="4">
        <f t="shared" si="15"/>
        <v>0</v>
      </c>
      <c r="BE23" s="12" t="e">
        <f t="shared" si="3"/>
        <v>#DIV/0!</v>
      </c>
      <c r="BF23" s="4" t="e">
        <f t="shared" si="16"/>
        <v>#DIV/0!</v>
      </c>
      <c r="BG23" s="4" t="e">
        <f t="shared" si="17"/>
        <v>#DIV/0!</v>
      </c>
      <c r="BH23" s="4" t="e">
        <f t="shared" si="18"/>
        <v>#DIV/0!</v>
      </c>
      <c r="BI23" s="4">
        <f t="shared" si="19"/>
        <v>0</v>
      </c>
      <c r="BJ23" s="12" t="e">
        <f t="shared" si="4"/>
        <v>#DIV/0!</v>
      </c>
      <c r="BK23" s="12" t="e">
        <f t="shared" si="5"/>
        <v>#DIV/0!</v>
      </c>
      <c r="BL23" s="12" t="e">
        <f>(BE23+BJ23)/2</f>
        <v>#DIV/0!</v>
      </c>
      <c r="BM23" s="10" t="e">
        <f t="shared" si="21"/>
        <v>#DIV/0!</v>
      </c>
      <c r="BN23" s="176" t="e">
        <f t="shared" ref="BN23:BN71" si="31">ROUND(BO24,)</f>
        <v>#DIV/0!</v>
      </c>
      <c r="BO23" s="12"/>
      <c r="BP23" s="11" t="e">
        <f t="shared" si="25"/>
        <v>#DIV/0!</v>
      </c>
      <c r="BQ23" s="6"/>
      <c r="BR23" s="6"/>
    </row>
    <row r="24" spans="1:70" ht="20.25" customHeight="1" thickBot="1">
      <c r="A24" s="333"/>
      <c r="B24" s="321"/>
      <c r="C24" s="321"/>
      <c r="D24" s="225"/>
      <c r="E24" s="20">
        <v>2</v>
      </c>
      <c r="F24" s="17"/>
      <c r="G24" s="17"/>
      <c r="H24" s="17"/>
      <c r="I24" s="17"/>
      <c r="J24" s="17"/>
      <c r="K24" s="8" t="e">
        <f t="shared" si="6"/>
        <v>#DIV/0!</v>
      </c>
      <c r="L24" s="17"/>
      <c r="M24" s="17"/>
      <c r="N24" s="17"/>
      <c r="O24" s="17"/>
      <c r="P24" s="17"/>
      <c r="Q24" s="9" t="e">
        <f t="shared" si="23"/>
        <v>#DIV/0!</v>
      </c>
      <c r="R24" s="17"/>
      <c r="S24" s="17"/>
      <c r="T24" s="17"/>
      <c r="U24" s="17"/>
      <c r="V24" s="17"/>
      <c r="W24" s="9" t="e">
        <f t="shared" si="7"/>
        <v>#DIV/0!</v>
      </c>
      <c r="X24" s="233"/>
      <c r="Y24" s="234"/>
      <c r="Z24" s="9" t="str">
        <f t="shared" si="8"/>
        <v>0</v>
      </c>
      <c r="AA24" s="7" t="e">
        <f t="shared" si="0"/>
        <v>#DIV/0!</v>
      </c>
      <c r="AB24" s="365"/>
      <c r="AC24" s="17"/>
      <c r="AD24" s="17"/>
      <c r="AE24" s="17"/>
      <c r="AF24" s="17"/>
      <c r="AG24" s="17"/>
      <c r="AH24" s="9" t="e">
        <f t="shared" si="9"/>
        <v>#DIV/0!</v>
      </c>
      <c r="AI24" s="17"/>
      <c r="AJ24" s="17"/>
      <c r="AK24" s="17"/>
      <c r="AL24" s="17"/>
      <c r="AM24" s="17"/>
      <c r="AN24" s="9" t="e">
        <f t="shared" si="10"/>
        <v>#DIV/0!</v>
      </c>
      <c r="AO24" s="17"/>
      <c r="AP24" s="17"/>
      <c r="AQ24" s="17"/>
      <c r="AR24" s="17"/>
      <c r="AS24" s="17"/>
      <c r="AT24" s="9" t="e">
        <f t="shared" si="11"/>
        <v>#DIV/0!</v>
      </c>
      <c r="AU24" s="208"/>
      <c r="AV24" s="209"/>
      <c r="AW24" s="9" t="str">
        <f t="shared" si="12"/>
        <v>0</v>
      </c>
      <c r="AX24" s="7" t="e">
        <f t="shared" si="1"/>
        <v>#DIV/0!</v>
      </c>
      <c r="AY24" s="18" t="e">
        <f t="shared" si="1"/>
        <v>#DIV/0!</v>
      </c>
      <c r="AZ24" s="232"/>
      <c r="BA24" s="4" t="e">
        <f t="shared" si="2"/>
        <v>#DIV/0!</v>
      </c>
      <c r="BB24" s="4" t="e">
        <f t="shared" si="13"/>
        <v>#DIV/0!</v>
      </c>
      <c r="BC24" s="4" t="e">
        <f t="shared" si="14"/>
        <v>#DIV/0!</v>
      </c>
      <c r="BD24" s="4">
        <f t="shared" si="15"/>
        <v>0</v>
      </c>
      <c r="BE24" s="12" t="e">
        <f t="shared" si="3"/>
        <v>#DIV/0!</v>
      </c>
      <c r="BF24" s="4" t="e">
        <f t="shared" si="16"/>
        <v>#DIV/0!</v>
      </c>
      <c r="BG24" s="4" t="e">
        <f t="shared" si="17"/>
        <v>#DIV/0!</v>
      </c>
      <c r="BH24" s="4" t="e">
        <f t="shared" si="18"/>
        <v>#DIV/0!</v>
      </c>
      <c r="BI24" s="4">
        <f t="shared" si="19"/>
        <v>0</v>
      </c>
      <c r="BJ24" s="12" t="e">
        <f t="shared" si="4"/>
        <v>#DIV/0!</v>
      </c>
      <c r="BK24" s="12" t="e">
        <f t="shared" si="5"/>
        <v>#DIV/0!</v>
      </c>
      <c r="BL24" s="12"/>
      <c r="BM24" s="10"/>
      <c r="BN24" s="176"/>
      <c r="BO24" s="12" t="e">
        <f t="shared" si="20"/>
        <v>#DIV/0!</v>
      </c>
      <c r="BP24" s="11"/>
      <c r="BQ24" s="6"/>
      <c r="BR24" s="6"/>
    </row>
    <row r="25" spans="1:70" ht="20.25" customHeight="1">
      <c r="A25" s="332">
        <v>7</v>
      </c>
      <c r="B25" s="321"/>
      <c r="C25" s="321"/>
      <c r="D25" s="225"/>
      <c r="E25" s="21">
        <v>1</v>
      </c>
      <c r="F25" s="17"/>
      <c r="G25" s="17"/>
      <c r="H25" s="17"/>
      <c r="I25" s="17"/>
      <c r="J25" s="17"/>
      <c r="K25" s="8" t="e">
        <f t="shared" si="6"/>
        <v>#DIV/0!</v>
      </c>
      <c r="L25" s="17"/>
      <c r="M25" s="17"/>
      <c r="N25" s="17"/>
      <c r="O25" s="17"/>
      <c r="P25" s="17"/>
      <c r="Q25" s="9" t="e">
        <f t="shared" si="23"/>
        <v>#DIV/0!</v>
      </c>
      <c r="R25" s="17"/>
      <c r="S25" s="17"/>
      <c r="T25" s="17"/>
      <c r="U25" s="17"/>
      <c r="V25" s="17"/>
      <c r="W25" s="9" t="e">
        <f t="shared" si="7"/>
        <v>#DIV/0!</v>
      </c>
      <c r="X25" s="233"/>
      <c r="Y25" s="234"/>
      <c r="Z25" s="9" t="str">
        <f t="shared" si="8"/>
        <v>0</v>
      </c>
      <c r="AA25" s="7" t="e">
        <f t="shared" si="0"/>
        <v>#DIV/0!</v>
      </c>
      <c r="AB25" s="365"/>
      <c r="AC25" s="17"/>
      <c r="AD25" s="17"/>
      <c r="AE25" s="17"/>
      <c r="AF25" s="17"/>
      <c r="AG25" s="17"/>
      <c r="AH25" s="9" t="e">
        <f t="shared" si="9"/>
        <v>#DIV/0!</v>
      </c>
      <c r="AI25" s="17"/>
      <c r="AJ25" s="17"/>
      <c r="AK25" s="17"/>
      <c r="AL25" s="17"/>
      <c r="AM25" s="17"/>
      <c r="AN25" s="9" t="e">
        <f t="shared" si="10"/>
        <v>#DIV/0!</v>
      </c>
      <c r="AO25" s="17"/>
      <c r="AP25" s="17"/>
      <c r="AQ25" s="17"/>
      <c r="AR25" s="17"/>
      <c r="AS25" s="17"/>
      <c r="AT25" s="9" t="e">
        <f t="shared" si="11"/>
        <v>#DIV/0!</v>
      </c>
      <c r="AU25" s="208"/>
      <c r="AV25" s="209"/>
      <c r="AW25" s="9" t="str">
        <f t="shared" si="12"/>
        <v>0</v>
      </c>
      <c r="AX25" s="7" t="e">
        <f t="shared" si="1"/>
        <v>#DIV/0!</v>
      </c>
      <c r="AY25" s="18" t="e">
        <f t="shared" si="1"/>
        <v>#DIV/0!</v>
      </c>
      <c r="AZ25" s="231" t="e">
        <f t="shared" ref="AZ25" si="32">IF(BP25&gt;=4.5, " 5 ", IF(BP25&gt;=3.5," 4 ",IF(BP25&gt;=2.5," 3  ",IF(BP25&gt;=1.5," 2 ",IF(BP25&gt;=1,"1 ",IF(BP25&gt;=0,"0"))))))</f>
        <v>#DIV/0!</v>
      </c>
      <c r="BA25" s="4" t="e">
        <f t="shared" si="2"/>
        <v>#DIV/0!</v>
      </c>
      <c r="BB25" s="4" t="e">
        <f t="shared" si="13"/>
        <v>#DIV/0!</v>
      </c>
      <c r="BC25" s="4" t="e">
        <f t="shared" si="14"/>
        <v>#DIV/0!</v>
      </c>
      <c r="BD25" s="4">
        <f t="shared" si="15"/>
        <v>0</v>
      </c>
      <c r="BE25" s="12" t="e">
        <f t="shared" si="3"/>
        <v>#DIV/0!</v>
      </c>
      <c r="BF25" s="4" t="e">
        <f t="shared" si="16"/>
        <v>#DIV/0!</v>
      </c>
      <c r="BG25" s="4" t="e">
        <f t="shared" si="17"/>
        <v>#DIV/0!</v>
      </c>
      <c r="BH25" s="4" t="e">
        <f t="shared" si="18"/>
        <v>#DIV/0!</v>
      </c>
      <c r="BI25" s="4">
        <f t="shared" si="19"/>
        <v>0</v>
      </c>
      <c r="BJ25" s="12" t="e">
        <f t="shared" si="4"/>
        <v>#DIV/0!</v>
      </c>
      <c r="BK25" s="12" t="e">
        <f t="shared" si="5"/>
        <v>#DIV/0!</v>
      </c>
      <c r="BL25" s="12" t="e">
        <f>(BE25+BJ25)/2</f>
        <v>#DIV/0!</v>
      </c>
      <c r="BM25" s="10" t="e">
        <f t="shared" si="21"/>
        <v>#DIV/0!</v>
      </c>
      <c r="BN25" s="176" t="e">
        <f t="shared" ref="BN25:BN65" si="33">ROUND(BO26,)</f>
        <v>#DIV/0!</v>
      </c>
      <c r="BO25" s="12"/>
      <c r="BP25" s="11" t="e">
        <f t="shared" si="25"/>
        <v>#DIV/0!</v>
      </c>
      <c r="BQ25" s="6"/>
      <c r="BR25" s="6"/>
    </row>
    <row r="26" spans="1:70" ht="20.25" customHeight="1" thickBot="1">
      <c r="A26" s="333"/>
      <c r="B26" s="321"/>
      <c r="C26" s="321"/>
      <c r="D26" s="225"/>
      <c r="E26" s="20">
        <v>2</v>
      </c>
      <c r="F26" s="17"/>
      <c r="G26" s="17"/>
      <c r="H26" s="17"/>
      <c r="I26" s="17"/>
      <c r="J26" s="17"/>
      <c r="K26" s="8" t="e">
        <f t="shared" si="6"/>
        <v>#DIV/0!</v>
      </c>
      <c r="L26" s="17"/>
      <c r="M26" s="17"/>
      <c r="N26" s="17"/>
      <c r="O26" s="17"/>
      <c r="P26" s="17"/>
      <c r="Q26" s="9" t="e">
        <f t="shared" si="23"/>
        <v>#DIV/0!</v>
      </c>
      <c r="R26" s="17"/>
      <c r="S26" s="17"/>
      <c r="T26" s="17"/>
      <c r="U26" s="17"/>
      <c r="V26" s="17"/>
      <c r="W26" s="9" t="e">
        <f t="shared" si="7"/>
        <v>#DIV/0!</v>
      </c>
      <c r="X26" s="233"/>
      <c r="Y26" s="234"/>
      <c r="Z26" s="9" t="str">
        <f t="shared" si="8"/>
        <v>0</v>
      </c>
      <c r="AA26" s="7" t="e">
        <f t="shared" si="0"/>
        <v>#DIV/0!</v>
      </c>
      <c r="AB26" s="365"/>
      <c r="AC26" s="17"/>
      <c r="AD26" s="17"/>
      <c r="AE26" s="17"/>
      <c r="AF26" s="17"/>
      <c r="AG26" s="17"/>
      <c r="AH26" s="9" t="e">
        <f t="shared" si="9"/>
        <v>#DIV/0!</v>
      </c>
      <c r="AI26" s="17"/>
      <c r="AJ26" s="17"/>
      <c r="AK26" s="17"/>
      <c r="AL26" s="17"/>
      <c r="AM26" s="17"/>
      <c r="AN26" s="9" t="e">
        <f t="shared" si="10"/>
        <v>#DIV/0!</v>
      </c>
      <c r="AO26" s="17"/>
      <c r="AP26" s="17"/>
      <c r="AQ26" s="17"/>
      <c r="AR26" s="17"/>
      <c r="AS26" s="17"/>
      <c r="AT26" s="9" t="e">
        <f t="shared" si="11"/>
        <v>#DIV/0!</v>
      </c>
      <c r="AU26" s="208"/>
      <c r="AV26" s="209"/>
      <c r="AW26" s="9" t="str">
        <f t="shared" si="12"/>
        <v>0</v>
      </c>
      <c r="AX26" s="7" t="e">
        <f t="shared" si="1"/>
        <v>#DIV/0!</v>
      </c>
      <c r="AY26" s="18" t="e">
        <f t="shared" si="1"/>
        <v>#DIV/0!</v>
      </c>
      <c r="AZ26" s="232"/>
      <c r="BA26" s="4" t="e">
        <f t="shared" si="2"/>
        <v>#DIV/0!</v>
      </c>
      <c r="BB26" s="4" t="e">
        <f t="shared" si="13"/>
        <v>#DIV/0!</v>
      </c>
      <c r="BC26" s="4" t="e">
        <f t="shared" si="14"/>
        <v>#DIV/0!</v>
      </c>
      <c r="BD26" s="4">
        <f t="shared" si="15"/>
        <v>0</v>
      </c>
      <c r="BE26" s="12" t="e">
        <f t="shared" si="3"/>
        <v>#DIV/0!</v>
      </c>
      <c r="BF26" s="4" t="e">
        <f t="shared" si="16"/>
        <v>#DIV/0!</v>
      </c>
      <c r="BG26" s="4" t="e">
        <f t="shared" si="17"/>
        <v>#DIV/0!</v>
      </c>
      <c r="BH26" s="4" t="e">
        <f t="shared" si="18"/>
        <v>#DIV/0!</v>
      </c>
      <c r="BI26" s="4">
        <f t="shared" si="19"/>
        <v>0</v>
      </c>
      <c r="BJ26" s="12" t="e">
        <f t="shared" si="4"/>
        <v>#DIV/0!</v>
      </c>
      <c r="BK26" s="12" t="e">
        <f t="shared" si="5"/>
        <v>#DIV/0!</v>
      </c>
      <c r="BL26" s="12"/>
      <c r="BM26" s="10"/>
      <c r="BN26" s="176"/>
      <c r="BO26" s="12" t="e">
        <f t="shared" si="20"/>
        <v>#DIV/0!</v>
      </c>
      <c r="BP26" s="11"/>
      <c r="BQ26" s="6"/>
      <c r="BR26" s="6"/>
    </row>
    <row r="27" spans="1:70" ht="20.25" customHeight="1">
      <c r="A27" s="332">
        <v>8</v>
      </c>
      <c r="B27" s="321"/>
      <c r="C27" s="321"/>
      <c r="D27" s="225"/>
      <c r="E27" s="21">
        <v>1</v>
      </c>
      <c r="F27" s="17"/>
      <c r="G27" s="17"/>
      <c r="H27" s="17"/>
      <c r="I27" s="17"/>
      <c r="J27" s="17"/>
      <c r="K27" s="8" t="e">
        <f t="shared" si="6"/>
        <v>#DIV/0!</v>
      </c>
      <c r="L27" s="17"/>
      <c r="M27" s="17"/>
      <c r="N27" s="17"/>
      <c r="O27" s="17"/>
      <c r="P27" s="17"/>
      <c r="Q27" s="9" t="e">
        <f t="shared" si="23"/>
        <v>#DIV/0!</v>
      </c>
      <c r="R27" s="17"/>
      <c r="S27" s="17"/>
      <c r="T27" s="17"/>
      <c r="U27" s="17"/>
      <c r="V27" s="17"/>
      <c r="W27" s="9" t="e">
        <f t="shared" si="7"/>
        <v>#DIV/0!</v>
      </c>
      <c r="X27" s="233"/>
      <c r="Y27" s="234"/>
      <c r="Z27" s="9" t="str">
        <f t="shared" si="8"/>
        <v>0</v>
      </c>
      <c r="AA27" s="7" t="e">
        <f t="shared" si="0"/>
        <v>#DIV/0!</v>
      </c>
      <c r="AB27" s="365"/>
      <c r="AC27" s="17"/>
      <c r="AD27" s="17"/>
      <c r="AE27" s="17"/>
      <c r="AF27" s="17"/>
      <c r="AG27" s="17"/>
      <c r="AH27" s="9" t="e">
        <f t="shared" si="9"/>
        <v>#DIV/0!</v>
      </c>
      <c r="AI27" s="17"/>
      <c r="AJ27" s="17"/>
      <c r="AK27" s="17"/>
      <c r="AL27" s="17"/>
      <c r="AM27" s="17"/>
      <c r="AN27" s="9" t="e">
        <f t="shared" si="10"/>
        <v>#DIV/0!</v>
      </c>
      <c r="AO27" s="17"/>
      <c r="AP27" s="17"/>
      <c r="AQ27" s="17"/>
      <c r="AR27" s="17"/>
      <c r="AS27" s="17"/>
      <c r="AT27" s="9" t="e">
        <f t="shared" si="11"/>
        <v>#DIV/0!</v>
      </c>
      <c r="AU27" s="208"/>
      <c r="AV27" s="209"/>
      <c r="AW27" s="9" t="str">
        <f t="shared" si="12"/>
        <v>0</v>
      </c>
      <c r="AX27" s="7" t="e">
        <f t="shared" si="1"/>
        <v>#DIV/0!</v>
      </c>
      <c r="AY27" s="18" t="e">
        <f t="shared" si="1"/>
        <v>#DIV/0!</v>
      </c>
      <c r="AZ27" s="231" t="e">
        <f t="shared" ref="AZ27" si="34">IF(BP27&gt;=4.5, " 5 ", IF(BP27&gt;=3.5," 4 ",IF(BP27&gt;=2.5," 3  ",IF(BP27&gt;=1.5," 2 ",IF(BP27&gt;=1,"1 ",IF(BP27&gt;=0,"0"))))))</f>
        <v>#DIV/0!</v>
      </c>
      <c r="BA27" s="4" t="e">
        <f t="shared" si="2"/>
        <v>#DIV/0!</v>
      </c>
      <c r="BB27" s="4" t="e">
        <f t="shared" si="13"/>
        <v>#DIV/0!</v>
      </c>
      <c r="BC27" s="4" t="e">
        <f t="shared" si="14"/>
        <v>#DIV/0!</v>
      </c>
      <c r="BD27" s="4">
        <f t="shared" si="15"/>
        <v>0</v>
      </c>
      <c r="BE27" s="12" t="e">
        <f t="shared" si="3"/>
        <v>#DIV/0!</v>
      </c>
      <c r="BF27" s="4" t="e">
        <f t="shared" si="16"/>
        <v>#DIV/0!</v>
      </c>
      <c r="BG27" s="4" t="e">
        <f t="shared" si="17"/>
        <v>#DIV/0!</v>
      </c>
      <c r="BH27" s="4" t="e">
        <f t="shared" si="18"/>
        <v>#DIV/0!</v>
      </c>
      <c r="BI27" s="4">
        <f t="shared" si="19"/>
        <v>0</v>
      </c>
      <c r="BJ27" s="12" t="e">
        <f t="shared" si="4"/>
        <v>#DIV/0!</v>
      </c>
      <c r="BK27" s="12" t="e">
        <f t="shared" si="5"/>
        <v>#DIV/0!</v>
      </c>
      <c r="BL27" s="12" t="e">
        <f>(BE27+BJ27)/2</f>
        <v>#DIV/0!</v>
      </c>
      <c r="BM27" s="10" t="e">
        <f t="shared" si="21"/>
        <v>#DIV/0!</v>
      </c>
      <c r="BN27" s="176" t="e">
        <f t="shared" ref="BN27:BN67" si="35">ROUND(BO28,)</f>
        <v>#DIV/0!</v>
      </c>
      <c r="BO27" s="37" t="s">
        <v>59</v>
      </c>
      <c r="BP27" s="11" t="e">
        <f t="shared" si="25"/>
        <v>#DIV/0!</v>
      </c>
      <c r="BQ27" s="6"/>
      <c r="BR27" s="6"/>
    </row>
    <row r="28" spans="1:70" ht="20.25" customHeight="1" thickBot="1">
      <c r="A28" s="333"/>
      <c r="B28" s="321"/>
      <c r="C28" s="321"/>
      <c r="D28" s="225"/>
      <c r="E28" s="20">
        <v>2</v>
      </c>
      <c r="F28" s="17"/>
      <c r="G28" s="17"/>
      <c r="H28" s="17"/>
      <c r="I28" s="17"/>
      <c r="J28" s="17"/>
      <c r="K28" s="8" t="e">
        <f t="shared" si="6"/>
        <v>#DIV/0!</v>
      </c>
      <c r="L28" s="17"/>
      <c r="M28" s="17"/>
      <c r="N28" s="17"/>
      <c r="O28" s="17"/>
      <c r="P28" s="17"/>
      <c r="Q28" s="9" t="e">
        <f t="shared" si="23"/>
        <v>#DIV/0!</v>
      </c>
      <c r="R28" s="17"/>
      <c r="S28" s="17"/>
      <c r="T28" s="17"/>
      <c r="U28" s="17"/>
      <c r="V28" s="17"/>
      <c r="W28" s="9" t="e">
        <f t="shared" si="7"/>
        <v>#DIV/0!</v>
      </c>
      <c r="X28" s="233"/>
      <c r="Y28" s="234"/>
      <c r="Z28" s="9" t="str">
        <f t="shared" si="8"/>
        <v>0</v>
      </c>
      <c r="AA28" s="7" t="e">
        <f t="shared" si="0"/>
        <v>#DIV/0!</v>
      </c>
      <c r="AB28" s="365"/>
      <c r="AC28" s="17"/>
      <c r="AD28" s="17"/>
      <c r="AE28" s="17"/>
      <c r="AF28" s="17"/>
      <c r="AG28" s="17"/>
      <c r="AH28" s="9" t="e">
        <f t="shared" si="9"/>
        <v>#DIV/0!</v>
      </c>
      <c r="AI28" s="17"/>
      <c r="AJ28" s="17"/>
      <c r="AK28" s="17"/>
      <c r="AL28" s="17"/>
      <c r="AM28" s="17"/>
      <c r="AN28" s="9" t="e">
        <f t="shared" si="10"/>
        <v>#DIV/0!</v>
      </c>
      <c r="AO28" s="17"/>
      <c r="AP28" s="17"/>
      <c r="AQ28" s="17"/>
      <c r="AR28" s="17"/>
      <c r="AS28" s="17"/>
      <c r="AT28" s="9" t="e">
        <f t="shared" si="11"/>
        <v>#DIV/0!</v>
      </c>
      <c r="AU28" s="208"/>
      <c r="AV28" s="209"/>
      <c r="AW28" s="9" t="str">
        <f t="shared" si="12"/>
        <v>0</v>
      </c>
      <c r="AX28" s="7" t="e">
        <f t="shared" si="1"/>
        <v>#DIV/0!</v>
      </c>
      <c r="AY28" s="18" t="e">
        <f t="shared" si="1"/>
        <v>#DIV/0!</v>
      </c>
      <c r="AZ28" s="232"/>
      <c r="BA28" s="4" t="e">
        <f t="shared" si="2"/>
        <v>#DIV/0!</v>
      </c>
      <c r="BB28" s="4" t="e">
        <f t="shared" si="13"/>
        <v>#DIV/0!</v>
      </c>
      <c r="BC28" s="4" t="e">
        <f t="shared" si="14"/>
        <v>#DIV/0!</v>
      </c>
      <c r="BD28" s="4">
        <f t="shared" si="15"/>
        <v>0</v>
      </c>
      <c r="BE28" s="12" t="e">
        <f t="shared" si="3"/>
        <v>#DIV/0!</v>
      </c>
      <c r="BF28" s="4" t="e">
        <f t="shared" si="16"/>
        <v>#DIV/0!</v>
      </c>
      <c r="BG28" s="4" t="e">
        <f t="shared" si="17"/>
        <v>#DIV/0!</v>
      </c>
      <c r="BH28" s="4" t="e">
        <f t="shared" si="18"/>
        <v>#DIV/0!</v>
      </c>
      <c r="BI28" s="4">
        <f t="shared" si="19"/>
        <v>0</v>
      </c>
      <c r="BJ28" s="12" t="e">
        <f t="shared" si="4"/>
        <v>#DIV/0!</v>
      </c>
      <c r="BK28" s="12" t="e">
        <f t="shared" si="5"/>
        <v>#DIV/0!</v>
      </c>
      <c r="BL28" s="12"/>
      <c r="BM28" s="10"/>
      <c r="BN28" s="176"/>
      <c r="BO28" s="12" t="e">
        <f t="shared" si="20"/>
        <v>#DIV/0!</v>
      </c>
      <c r="BP28" s="11"/>
      <c r="BQ28" s="6"/>
      <c r="BR28" s="6"/>
    </row>
    <row r="29" spans="1:70" ht="20.25" customHeight="1">
      <c r="A29" s="332">
        <v>9</v>
      </c>
      <c r="B29" s="321"/>
      <c r="C29" s="321"/>
      <c r="D29" s="225"/>
      <c r="E29" s="21">
        <v>1</v>
      </c>
      <c r="F29" s="17"/>
      <c r="G29" s="17"/>
      <c r="H29" s="17"/>
      <c r="I29" s="17"/>
      <c r="J29" s="17"/>
      <c r="K29" s="8" t="e">
        <f t="shared" si="6"/>
        <v>#DIV/0!</v>
      </c>
      <c r="L29" s="17"/>
      <c r="M29" s="17"/>
      <c r="N29" s="17"/>
      <c r="O29" s="17"/>
      <c r="P29" s="17"/>
      <c r="Q29" s="9" t="e">
        <f t="shared" si="23"/>
        <v>#DIV/0!</v>
      </c>
      <c r="R29" s="17"/>
      <c r="S29" s="17"/>
      <c r="T29" s="17"/>
      <c r="U29" s="17"/>
      <c r="V29" s="17"/>
      <c r="W29" s="9" t="e">
        <f t="shared" si="7"/>
        <v>#DIV/0!</v>
      </c>
      <c r="X29" s="233"/>
      <c r="Y29" s="234"/>
      <c r="Z29" s="9" t="str">
        <f t="shared" si="8"/>
        <v>0</v>
      </c>
      <c r="AA29" s="7" t="e">
        <f t="shared" si="0"/>
        <v>#DIV/0!</v>
      </c>
      <c r="AB29" s="365"/>
      <c r="AC29" s="17"/>
      <c r="AD29" s="17"/>
      <c r="AE29" s="17"/>
      <c r="AF29" s="17"/>
      <c r="AG29" s="17"/>
      <c r="AH29" s="9" t="e">
        <f t="shared" si="9"/>
        <v>#DIV/0!</v>
      </c>
      <c r="AI29" s="17"/>
      <c r="AJ29" s="17"/>
      <c r="AK29" s="17"/>
      <c r="AL29" s="17"/>
      <c r="AM29" s="17"/>
      <c r="AN29" s="9" t="e">
        <f t="shared" si="10"/>
        <v>#DIV/0!</v>
      </c>
      <c r="AO29" s="17"/>
      <c r="AP29" s="17"/>
      <c r="AQ29" s="17"/>
      <c r="AR29" s="17"/>
      <c r="AS29" s="17"/>
      <c r="AT29" s="9" t="e">
        <f t="shared" si="11"/>
        <v>#DIV/0!</v>
      </c>
      <c r="AU29" s="208"/>
      <c r="AV29" s="209"/>
      <c r="AW29" s="9" t="str">
        <f t="shared" si="12"/>
        <v>0</v>
      </c>
      <c r="AX29" s="7" t="e">
        <f t="shared" si="1"/>
        <v>#DIV/0!</v>
      </c>
      <c r="AY29" s="18" t="e">
        <f t="shared" si="1"/>
        <v>#DIV/0!</v>
      </c>
      <c r="AZ29" s="231" t="e">
        <f t="shared" ref="AZ29" si="36">IF(BP29&gt;=4.5, " 5 ", IF(BP29&gt;=3.5," 4 ",IF(BP29&gt;=2.5," 3  ",IF(BP29&gt;=1.5," 2 ",IF(BP29&gt;=1,"1 ",IF(BP29&gt;=0,"0"))))))</f>
        <v>#DIV/0!</v>
      </c>
      <c r="BA29" s="4" t="e">
        <f t="shared" si="2"/>
        <v>#DIV/0!</v>
      </c>
      <c r="BB29" s="4" t="e">
        <f t="shared" si="13"/>
        <v>#DIV/0!</v>
      </c>
      <c r="BC29" s="4" t="e">
        <f t="shared" si="14"/>
        <v>#DIV/0!</v>
      </c>
      <c r="BD29" s="4">
        <f t="shared" si="15"/>
        <v>0</v>
      </c>
      <c r="BE29" s="12" t="e">
        <f t="shared" si="3"/>
        <v>#DIV/0!</v>
      </c>
      <c r="BF29" s="4" t="e">
        <f t="shared" si="16"/>
        <v>#DIV/0!</v>
      </c>
      <c r="BG29" s="4" t="e">
        <f t="shared" si="17"/>
        <v>#DIV/0!</v>
      </c>
      <c r="BH29" s="4" t="e">
        <f t="shared" si="18"/>
        <v>#DIV/0!</v>
      </c>
      <c r="BI29" s="4">
        <f t="shared" si="19"/>
        <v>0</v>
      </c>
      <c r="BJ29" s="12" t="e">
        <f t="shared" si="4"/>
        <v>#DIV/0!</v>
      </c>
      <c r="BK29" s="12" t="e">
        <f t="shared" si="5"/>
        <v>#DIV/0!</v>
      </c>
      <c r="BL29" s="12" t="e">
        <f>(BE29+BJ29)/2</f>
        <v>#DIV/0!</v>
      </c>
      <c r="BM29" s="10" t="e">
        <f t="shared" si="21"/>
        <v>#DIV/0!</v>
      </c>
      <c r="BN29" s="176" t="e">
        <f t="shared" ref="BN29" si="37">ROUND(BO30,)</f>
        <v>#DIV/0!</v>
      </c>
      <c r="BO29" s="12"/>
      <c r="BP29" s="11" t="e">
        <f t="shared" si="25"/>
        <v>#DIV/0!</v>
      </c>
      <c r="BQ29" s="6"/>
      <c r="BR29" s="6"/>
    </row>
    <row r="30" spans="1:70" ht="21" customHeight="1" thickBot="1">
      <c r="A30" s="333"/>
      <c r="B30" s="321"/>
      <c r="C30" s="321"/>
      <c r="D30" s="225"/>
      <c r="E30" s="20">
        <v>2</v>
      </c>
      <c r="F30" s="17"/>
      <c r="G30" s="17"/>
      <c r="H30" s="17"/>
      <c r="I30" s="17"/>
      <c r="J30" s="17"/>
      <c r="K30" s="8" t="e">
        <f t="shared" si="6"/>
        <v>#DIV/0!</v>
      </c>
      <c r="L30" s="17"/>
      <c r="M30" s="17"/>
      <c r="N30" s="17"/>
      <c r="O30" s="17"/>
      <c r="P30" s="17"/>
      <c r="Q30" s="9" t="e">
        <f t="shared" si="23"/>
        <v>#DIV/0!</v>
      </c>
      <c r="R30" s="17"/>
      <c r="S30" s="17"/>
      <c r="T30" s="17"/>
      <c r="U30" s="17"/>
      <c r="V30" s="17"/>
      <c r="W30" s="9" t="e">
        <f t="shared" si="7"/>
        <v>#DIV/0!</v>
      </c>
      <c r="X30" s="233"/>
      <c r="Y30" s="234"/>
      <c r="Z30" s="9" t="str">
        <f t="shared" si="8"/>
        <v>0</v>
      </c>
      <c r="AA30" s="7" t="e">
        <f t="shared" si="0"/>
        <v>#DIV/0!</v>
      </c>
      <c r="AB30" s="365"/>
      <c r="AC30" s="17"/>
      <c r="AD30" s="17"/>
      <c r="AE30" s="17"/>
      <c r="AF30" s="17"/>
      <c r="AG30" s="17"/>
      <c r="AH30" s="9" t="e">
        <f t="shared" si="9"/>
        <v>#DIV/0!</v>
      </c>
      <c r="AI30" s="17"/>
      <c r="AJ30" s="17"/>
      <c r="AK30" s="17"/>
      <c r="AL30" s="17"/>
      <c r="AM30" s="17"/>
      <c r="AN30" s="9" t="e">
        <f t="shared" si="10"/>
        <v>#DIV/0!</v>
      </c>
      <c r="AO30" s="17"/>
      <c r="AP30" s="17"/>
      <c r="AQ30" s="17"/>
      <c r="AR30" s="17"/>
      <c r="AS30" s="17"/>
      <c r="AT30" s="9" t="e">
        <f t="shared" si="11"/>
        <v>#DIV/0!</v>
      </c>
      <c r="AU30" s="208"/>
      <c r="AV30" s="209"/>
      <c r="AW30" s="9" t="str">
        <f t="shared" si="12"/>
        <v>0</v>
      </c>
      <c r="AX30" s="7" t="e">
        <f t="shared" si="1"/>
        <v>#DIV/0!</v>
      </c>
      <c r="AY30" s="18" t="e">
        <f t="shared" si="1"/>
        <v>#DIV/0!</v>
      </c>
      <c r="AZ30" s="232"/>
      <c r="BA30" s="4" t="e">
        <f t="shared" si="2"/>
        <v>#DIV/0!</v>
      </c>
      <c r="BB30" s="4" t="e">
        <f t="shared" si="13"/>
        <v>#DIV/0!</v>
      </c>
      <c r="BC30" s="4" t="e">
        <f t="shared" si="14"/>
        <v>#DIV/0!</v>
      </c>
      <c r="BD30" s="4">
        <f t="shared" si="15"/>
        <v>0</v>
      </c>
      <c r="BE30" s="12" t="e">
        <f t="shared" si="3"/>
        <v>#DIV/0!</v>
      </c>
      <c r="BF30" s="4" t="e">
        <f t="shared" si="16"/>
        <v>#DIV/0!</v>
      </c>
      <c r="BG30" s="4" t="e">
        <f t="shared" si="17"/>
        <v>#DIV/0!</v>
      </c>
      <c r="BH30" s="4" t="e">
        <f t="shared" si="18"/>
        <v>#DIV/0!</v>
      </c>
      <c r="BI30" s="4">
        <f t="shared" si="19"/>
        <v>0</v>
      </c>
      <c r="BJ30" s="12" t="e">
        <f t="shared" si="4"/>
        <v>#DIV/0!</v>
      </c>
      <c r="BK30" s="12" t="e">
        <f t="shared" si="5"/>
        <v>#DIV/0!</v>
      </c>
      <c r="BL30" s="12"/>
      <c r="BM30" s="10"/>
      <c r="BN30" s="176"/>
      <c r="BO30" s="12" t="e">
        <f t="shared" si="20"/>
        <v>#DIV/0!</v>
      </c>
      <c r="BP30" s="11"/>
      <c r="BQ30" s="6"/>
      <c r="BR30" s="6"/>
    </row>
    <row r="31" spans="1:70" ht="18.75" customHeight="1">
      <c r="A31" s="332">
        <v>10</v>
      </c>
      <c r="B31" s="321"/>
      <c r="C31" s="321"/>
      <c r="D31" s="225"/>
      <c r="E31" s="21">
        <v>1</v>
      </c>
      <c r="F31" s="17"/>
      <c r="G31" s="17"/>
      <c r="H31" s="17"/>
      <c r="I31" s="17"/>
      <c r="J31" s="17"/>
      <c r="K31" s="8" t="e">
        <f t="shared" si="6"/>
        <v>#DIV/0!</v>
      </c>
      <c r="L31" s="17"/>
      <c r="M31" s="17"/>
      <c r="N31" s="17"/>
      <c r="O31" s="17"/>
      <c r="P31" s="17"/>
      <c r="Q31" s="9" t="e">
        <f t="shared" si="23"/>
        <v>#DIV/0!</v>
      </c>
      <c r="R31" s="17"/>
      <c r="S31" s="17"/>
      <c r="T31" s="17"/>
      <c r="U31" s="17"/>
      <c r="V31" s="17"/>
      <c r="W31" s="9" t="e">
        <f t="shared" si="7"/>
        <v>#DIV/0!</v>
      </c>
      <c r="X31" s="233"/>
      <c r="Y31" s="234"/>
      <c r="Z31" s="9" t="str">
        <f t="shared" si="8"/>
        <v>0</v>
      </c>
      <c r="AA31" s="7" t="e">
        <f t="shared" si="0"/>
        <v>#DIV/0!</v>
      </c>
      <c r="AB31" s="365"/>
      <c r="AC31" s="17"/>
      <c r="AD31" s="17"/>
      <c r="AE31" s="17"/>
      <c r="AF31" s="17"/>
      <c r="AG31" s="17"/>
      <c r="AH31" s="9" t="e">
        <f t="shared" si="9"/>
        <v>#DIV/0!</v>
      </c>
      <c r="AI31" s="17"/>
      <c r="AJ31" s="17"/>
      <c r="AK31" s="17"/>
      <c r="AL31" s="17"/>
      <c r="AM31" s="17"/>
      <c r="AN31" s="9" t="e">
        <f t="shared" si="10"/>
        <v>#DIV/0!</v>
      </c>
      <c r="AO31" s="17"/>
      <c r="AP31" s="17"/>
      <c r="AQ31" s="17"/>
      <c r="AR31" s="17"/>
      <c r="AS31" s="17"/>
      <c r="AT31" s="9" t="e">
        <f t="shared" si="11"/>
        <v>#DIV/0!</v>
      </c>
      <c r="AU31" s="208"/>
      <c r="AV31" s="209"/>
      <c r="AW31" s="9" t="str">
        <f t="shared" si="12"/>
        <v>0</v>
      </c>
      <c r="AX31" s="7" t="e">
        <f t="shared" si="1"/>
        <v>#DIV/0!</v>
      </c>
      <c r="AY31" s="18" t="e">
        <f t="shared" si="1"/>
        <v>#DIV/0!</v>
      </c>
      <c r="AZ31" s="231" t="e">
        <f t="shared" ref="AZ31" si="38">IF(BP31&gt;=4.5, " 5 ", IF(BP31&gt;=3.5," 4 ",IF(BP31&gt;=2.5," 3  ",IF(BP31&gt;=1.5," 2 ",IF(BP31&gt;=1,"1 ",IF(BP31&gt;=0,"0"))))))</f>
        <v>#DIV/0!</v>
      </c>
      <c r="BA31" s="4" t="e">
        <f t="shared" si="2"/>
        <v>#DIV/0!</v>
      </c>
      <c r="BB31" s="4" t="e">
        <f t="shared" si="13"/>
        <v>#DIV/0!</v>
      </c>
      <c r="BC31" s="4" t="e">
        <f t="shared" si="14"/>
        <v>#DIV/0!</v>
      </c>
      <c r="BD31" s="4">
        <f t="shared" si="15"/>
        <v>0</v>
      </c>
      <c r="BE31" s="12" t="e">
        <f t="shared" si="3"/>
        <v>#DIV/0!</v>
      </c>
      <c r="BF31" s="4" t="e">
        <f t="shared" si="16"/>
        <v>#DIV/0!</v>
      </c>
      <c r="BG31" s="4" t="e">
        <f t="shared" si="17"/>
        <v>#DIV/0!</v>
      </c>
      <c r="BH31" s="4" t="e">
        <f t="shared" si="18"/>
        <v>#DIV/0!</v>
      </c>
      <c r="BI31" s="4">
        <f t="shared" si="19"/>
        <v>0</v>
      </c>
      <c r="BJ31" s="12" t="e">
        <f t="shared" si="4"/>
        <v>#DIV/0!</v>
      </c>
      <c r="BK31" s="12" t="e">
        <f t="shared" si="5"/>
        <v>#DIV/0!</v>
      </c>
      <c r="BL31" s="12" t="e">
        <f>(BE31+BJ31)/2</f>
        <v>#DIV/0!</v>
      </c>
      <c r="BM31" s="10" t="e">
        <f t="shared" si="21"/>
        <v>#DIV/0!</v>
      </c>
      <c r="BN31" s="176" t="e">
        <f t="shared" si="31"/>
        <v>#DIV/0!</v>
      </c>
      <c r="BO31" s="12"/>
      <c r="BP31" s="11" t="e">
        <f t="shared" si="25"/>
        <v>#DIV/0!</v>
      </c>
      <c r="BQ31" s="6"/>
      <c r="BR31" s="6"/>
    </row>
    <row r="32" spans="1:70" ht="21" customHeight="1" thickBot="1">
      <c r="A32" s="333"/>
      <c r="B32" s="321"/>
      <c r="C32" s="321"/>
      <c r="D32" s="225"/>
      <c r="E32" s="20">
        <v>2</v>
      </c>
      <c r="F32" s="17"/>
      <c r="G32" s="17"/>
      <c r="H32" s="17"/>
      <c r="I32" s="17"/>
      <c r="J32" s="17"/>
      <c r="K32" s="8" t="e">
        <f t="shared" si="6"/>
        <v>#DIV/0!</v>
      </c>
      <c r="L32" s="17"/>
      <c r="M32" s="17"/>
      <c r="N32" s="17"/>
      <c r="O32" s="17"/>
      <c r="P32" s="17"/>
      <c r="Q32" s="9" t="e">
        <f t="shared" si="23"/>
        <v>#DIV/0!</v>
      </c>
      <c r="R32" s="17"/>
      <c r="S32" s="17"/>
      <c r="T32" s="17"/>
      <c r="U32" s="17"/>
      <c r="V32" s="17"/>
      <c r="W32" s="9" t="e">
        <f t="shared" si="7"/>
        <v>#DIV/0!</v>
      </c>
      <c r="X32" s="233"/>
      <c r="Y32" s="234"/>
      <c r="Z32" s="9" t="str">
        <f t="shared" si="8"/>
        <v>0</v>
      </c>
      <c r="AA32" s="7" t="e">
        <f t="shared" si="0"/>
        <v>#DIV/0!</v>
      </c>
      <c r="AB32" s="365"/>
      <c r="AC32" s="17"/>
      <c r="AD32" s="17"/>
      <c r="AE32" s="17"/>
      <c r="AF32" s="17"/>
      <c r="AG32" s="17"/>
      <c r="AH32" s="9" t="e">
        <f t="shared" si="9"/>
        <v>#DIV/0!</v>
      </c>
      <c r="AI32" s="17"/>
      <c r="AJ32" s="17"/>
      <c r="AK32" s="17"/>
      <c r="AL32" s="17"/>
      <c r="AM32" s="17"/>
      <c r="AN32" s="9" t="e">
        <f t="shared" si="10"/>
        <v>#DIV/0!</v>
      </c>
      <c r="AO32" s="17"/>
      <c r="AP32" s="17"/>
      <c r="AQ32" s="17"/>
      <c r="AR32" s="17"/>
      <c r="AS32" s="17"/>
      <c r="AT32" s="9" t="e">
        <f t="shared" si="11"/>
        <v>#DIV/0!</v>
      </c>
      <c r="AU32" s="208"/>
      <c r="AV32" s="209"/>
      <c r="AW32" s="9" t="str">
        <f t="shared" si="12"/>
        <v>0</v>
      </c>
      <c r="AX32" s="7" t="e">
        <f t="shared" si="1"/>
        <v>#DIV/0!</v>
      </c>
      <c r="AY32" s="18" t="e">
        <f t="shared" si="1"/>
        <v>#DIV/0!</v>
      </c>
      <c r="AZ32" s="232"/>
      <c r="BA32" s="4" t="e">
        <f t="shared" si="2"/>
        <v>#DIV/0!</v>
      </c>
      <c r="BB32" s="4" t="e">
        <f t="shared" si="13"/>
        <v>#DIV/0!</v>
      </c>
      <c r="BC32" s="4" t="e">
        <f t="shared" si="14"/>
        <v>#DIV/0!</v>
      </c>
      <c r="BD32" s="4">
        <f t="shared" si="15"/>
        <v>0</v>
      </c>
      <c r="BE32" s="12" t="e">
        <f t="shared" si="3"/>
        <v>#DIV/0!</v>
      </c>
      <c r="BF32" s="4" t="e">
        <f t="shared" si="16"/>
        <v>#DIV/0!</v>
      </c>
      <c r="BG32" s="4" t="e">
        <f t="shared" si="17"/>
        <v>#DIV/0!</v>
      </c>
      <c r="BH32" s="4" t="e">
        <f t="shared" si="18"/>
        <v>#DIV/0!</v>
      </c>
      <c r="BI32" s="4">
        <f t="shared" si="19"/>
        <v>0</v>
      </c>
      <c r="BJ32" s="12" t="e">
        <f t="shared" si="4"/>
        <v>#DIV/0!</v>
      </c>
      <c r="BK32" s="12" t="e">
        <f t="shared" si="5"/>
        <v>#DIV/0!</v>
      </c>
      <c r="BL32" s="12"/>
      <c r="BM32" s="10"/>
      <c r="BN32" s="176"/>
      <c r="BO32" s="12" t="e">
        <f t="shared" si="20"/>
        <v>#DIV/0!</v>
      </c>
      <c r="BP32" s="11"/>
      <c r="BQ32" s="6"/>
      <c r="BR32" s="6"/>
    </row>
    <row r="33" spans="1:70" ht="19.5" customHeight="1">
      <c r="A33" s="332">
        <v>11</v>
      </c>
      <c r="B33" s="324"/>
      <c r="C33" s="324"/>
      <c r="D33" s="323"/>
      <c r="E33" s="21">
        <v>1</v>
      </c>
      <c r="F33" s="17"/>
      <c r="G33" s="17"/>
      <c r="H33" s="17"/>
      <c r="I33" s="17"/>
      <c r="J33" s="17"/>
      <c r="K33" s="8" t="e">
        <f t="shared" si="6"/>
        <v>#DIV/0!</v>
      </c>
      <c r="L33" s="17"/>
      <c r="M33" s="17"/>
      <c r="N33" s="17"/>
      <c r="O33" s="17"/>
      <c r="P33" s="17"/>
      <c r="Q33" s="9" t="e">
        <f t="shared" si="23"/>
        <v>#DIV/0!</v>
      </c>
      <c r="R33" s="17"/>
      <c r="S33" s="17"/>
      <c r="T33" s="17"/>
      <c r="U33" s="17"/>
      <c r="V33" s="17"/>
      <c r="W33" s="9" t="e">
        <f t="shared" si="7"/>
        <v>#DIV/0!</v>
      </c>
      <c r="X33" s="233"/>
      <c r="Y33" s="234"/>
      <c r="Z33" s="9" t="str">
        <f t="shared" si="8"/>
        <v>0</v>
      </c>
      <c r="AA33" s="7" t="e">
        <f t="shared" si="0"/>
        <v>#DIV/0!</v>
      </c>
      <c r="AB33" s="365"/>
      <c r="AC33" s="17"/>
      <c r="AD33" s="17"/>
      <c r="AE33" s="17"/>
      <c r="AF33" s="17"/>
      <c r="AG33" s="17"/>
      <c r="AH33" s="9" t="e">
        <f t="shared" si="9"/>
        <v>#DIV/0!</v>
      </c>
      <c r="AI33" s="17"/>
      <c r="AJ33" s="17"/>
      <c r="AK33" s="17"/>
      <c r="AL33" s="17"/>
      <c r="AM33" s="17"/>
      <c r="AN33" s="9" t="e">
        <f t="shared" si="10"/>
        <v>#DIV/0!</v>
      </c>
      <c r="AO33" s="17"/>
      <c r="AP33" s="17"/>
      <c r="AQ33" s="17"/>
      <c r="AR33" s="17"/>
      <c r="AS33" s="17"/>
      <c r="AT33" s="9" t="e">
        <f t="shared" si="11"/>
        <v>#DIV/0!</v>
      </c>
      <c r="AU33" s="208"/>
      <c r="AV33" s="209"/>
      <c r="AW33" s="9" t="str">
        <f t="shared" si="12"/>
        <v>0</v>
      </c>
      <c r="AX33" s="7" t="e">
        <f t="shared" si="1"/>
        <v>#DIV/0!</v>
      </c>
      <c r="AY33" s="18" t="e">
        <f t="shared" si="1"/>
        <v>#DIV/0!</v>
      </c>
      <c r="AZ33" s="231" t="e">
        <f t="shared" ref="AZ33" si="39">IF(BP33&gt;=4.5, " 5 ", IF(BP33&gt;=3.5," 4 ",IF(BP33&gt;=2.5," 3  ",IF(BP33&gt;=1.5," 2 ",IF(BP33&gt;=1,"1 ",IF(BP33&gt;=0,"0"))))))</f>
        <v>#DIV/0!</v>
      </c>
      <c r="BA33" s="4" t="e">
        <f t="shared" si="2"/>
        <v>#DIV/0!</v>
      </c>
      <c r="BB33" s="4" t="e">
        <f t="shared" si="13"/>
        <v>#DIV/0!</v>
      </c>
      <c r="BC33" s="4" t="e">
        <f t="shared" si="14"/>
        <v>#DIV/0!</v>
      </c>
      <c r="BD33" s="4">
        <f t="shared" si="15"/>
        <v>0</v>
      </c>
      <c r="BE33" s="12" t="e">
        <f t="shared" si="3"/>
        <v>#DIV/0!</v>
      </c>
      <c r="BF33" s="4" t="e">
        <f t="shared" si="16"/>
        <v>#DIV/0!</v>
      </c>
      <c r="BG33" s="4" t="e">
        <f t="shared" si="17"/>
        <v>#DIV/0!</v>
      </c>
      <c r="BH33" s="4" t="e">
        <f t="shared" si="18"/>
        <v>#DIV/0!</v>
      </c>
      <c r="BI33" s="4">
        <f t="shared" si="19"/>
        <v>0</v>
      </c>
      <c r="BJ33" s="12" t="e">
        <f t="shared" si="4"/>
        <v>#DIV/0!</v>
      </c>
      <c r="BK33" s="12" t="e">
        <f t="shared" si="5"/>
        <v>#DIV/0!</v>
      </c>
      <c r="BL33" s="12" t="e">
        <f>(BE33+BJ33)/2</f>
        <v>#DIV/0!</v>
      </c>
      <c r="BM33" s="10" t="e">
        <f t="shared" si="21"/>
        <v>#DIV/0!</v>
      </c>
      <c r="BN33" s="176" t="e">
        <f t="shared" si="33"/>
        <v>#DIV/0!</v>
      </c>
      <c r="BO33" s="12"/>
      <c r="BP33" s="11" t="e">
        <f t="shared" si="25"/>
        <v>#DIV/0!</v>
      </c>
      <c r="BQ33" s="6"/>
      <c r="BR33" s="6"/>
    </row>
    <row r="34" spans="1:70" ht="21" customHeight="1" thickBot="1">
      <c r="A34" s="333"/>
      <c r="B34" s="324"/>
      <c r="C34" s="324"/>
      <c r="D34" s="323"/>
      <c r="E34" s="20">
        <v>2</v>
      </c>
      <c r="F34" s="17"/>
      <c r="G34" s="17"/>
      <c r="H34" s="17"/>
      <c r="I34" s="17"/>
      <c r="J34" s="17"/>
      <c r="K34" s="8" t="e">
        <f t="shared" si="6"/>
        <v>#DIV/0!</v>
      </c>
      <c r="L34" s="17"/>
      <c r="M34" s="17"/>
      <c r="N34" s="17"/>
      <c r="O34" s="17"/>
      <c r="P34" s="17"/>
      <c r="Q34" s="9" t="e">
        <f t="shared" si="23"/>
        <v>#DIV/0!</v>
      </c>
      <c r="R34" s="17"/>
      <c r="S34" s="17"/>
      <c r="T34" s="17"/>
      <c r="U34" s="17"/>
      <c r="V34" s="17"/>
      <c r="W34" s="9" t="e">
        <f t="shared" si="7"/>
        <v>#DIV/0!</v>
      </c>
      <c r="X34" s="233"/>
      <c r="Y34" s="234"/>
      <c r="Z34" s="9" t="str">
        <f t="shared" si="8"/>
        <v>0</v>
      </c>
      <c r="AA34" s="7" t="e">
        <f t="shared" si="0"/>
        <v>#DIV/0!</v>
      </c>
      <c r="AB34" s="365"/>
      <c r="AC34" s="17"/>
      <c r="AD34" s="17"/>
      <c r="AE34" s="17"/>
      <c r="AF34" s="17"/>
      <c r="AG34" s="17"/>
      <c r="AH34" s="9" t="e">
        <f t="shared" si="9"/>
        <v>#DIV/0!</v>
      </c>
      <c r="AI34" s="17"/>
      <c r="AJ34" s="17"/>
      <c r="AK34" s="17"/>
      <c r="AL34" s="17"/>
      <c r="AM34" s="17"/>
      <c r="AN34" s="9" t="e">
        <f t="shared" si="10"/>
        <v>#DIV/0!</v>
      </c>
      <c r="AO34" s="17"/>
      <c r="AP34" s="17"/>
      <c r="AQ34" s="17"/>
      <c r="AR34" s="17"/>
      <c r="AS34" s="17"/>
      <c r="AT34" s="9" t="e">
        <f t="shared" si="11"/>
        <v>#DIV/0!</v>
      </c>
      <c r="AU34" s="208"/>
      <c r="AV34" s="209"/>
      <c r="AW34" s="9" t="str">
        <f t="shared" si="12"/>
        <v>0</v>
      </c>
      <c r="AX34" s="7" t="e">
        <f t="shared" si="1"/>
        <v>#DIV/0!</v>
      </c>
      <c r="AY34" s="18" t="e">
        <f t="shared" si="1"/>
        <v>#DIV/0!</v>
      </c>
      <c r="AZ34" s="232"/>
      <c r="BA34" s="4" t="e">
        <f t="shared" si="2"/>
        <v>#DIV/0!</v>
      </c>
      <c r="BB34" s="4" t="e">
        <f t="shared" si="13"/>
        <v>#DIV/0!</v>
      </c>
      <c r="BC34" s="4" t="e">
        <f t="shared" si="14"/>
        <v>#DIV/0!</v>
      </c>
      <c r="BD34" s="4">
        <f t="shared" si="15"/>
        <v>0</v>
      </c>
      <c r="BE34" s="12" t="e">
        <f t="shared" si="3"/>
        <v>#DIV/0!</v>
      </c>
      <c r="BF34" s="4" t="e">
        <f t="shared" si="16"/>
        <v>#DIV/0!</v>
      </c>
      <c r="BG34" s="4" t="e">
        <f t="shared" si="17"/>
        <v>#DIV/0!</v>
      </c>
      <c r="BH34" s="4" t="e">
        <f t="shared" si="18"/>
        <v>#DIV/0!</v>
      </c>
      <c r="BI34" s="4">
        <f t="shared" si="19"/>
        <v>0</v>
      </c>
      <c r="BJ34" s="12" t="e">
        <f t="shared" si="4"/>
        <v>#DIV/0!</v>
      </c>
      <c r="BK34" s="12" t="e">
        <f t="shared" si="5"/>
        <v>#DIV/0!</v>
      </c>
      <c r="BL34" s="12"/>
      <c r="BM34" s="10"/>
      <c r="BN34" s="176"/>
      <c r="BO34" s="12" t="e">
        <f t="shared" si="20"/>
        <v>#DIV/0!</v>
      </c>
      <c r="BP34" s="11"/>
      <c r="BQ34" s="6"/>
      <c r="BR34" s="6"/>
    </row>
    <row r="35" spans="1:70" ht="23.25" customHeight="1">
      <c r="A35" s="332">
        <v>12</v>
      </c>
      <c r="B35" s="324"/>
      <c r="C35" s="324"/>
      <c r="D35" s="323"/>
      <c r="E35" s="21">
        <v>1</v>
      </c>
      <c r="F35" s="17"/>
      <c r="G35" s="17"/>
      <c r="H35" s="17"/>
      <c r="I35" s="17"/>
      <c r="J35" s="17"/>
      <c r="K35" s="8" t="e">
        <f t="shared" si="6"/>
        <v>#DIV/0!</v>
      </c>
      <c r="L35" s="17"/>
      <c r="M35" s="17"/>
      <c r="N35" s="17"/>
      <c r="O35" s="17"/>
      <c r="P35" s="17"/>
      <c r="Q35" s="9" t="e">
        <f t="shared" si="23"/>
        <v>#DIV/0!</v>
      </c>
      <c r="R35" s="17"/>
      <c r="S35" s="17"/>
      <c r="T35" s="17"/>
      <c r="U35" s="17"/>
      <c r="V35" s="17"/>
      <c r="W35" s="9" t="e">
        <f t="shared" si="7"/>
        <v>#DIV/0!</v>
      </c>
      <c r="X35" s="233"/>
      <c r="Y35" s="234"/>
      <c r="Z35" s="9" t="str">
        <f t="shared" si="8"/>
        <v>0</v>
      </c>
      <c r="AA35" s="7" t="e">
        <f t="shared" si="0"/>
        <v>#DIV/0!</v>
      </c>
      <c r="AB35" s="365"/>
      <c r="AC35" s="17"/>
      <c r="AD35" s="17"/>
      <c r="AE35" s="17"/>
      <c r="AF35" s="17"/>
      <c r="AG35" s="17"/>
      <c r="AH35" s="9" t="e">
        <f t="shared" si="9"/>
        <v>#DIV/0!</v>
      </c>
      <c r="AI35" s="17"/>
      <c r="AJ35" s="17"/>
      <c r="AK35" s="17"/>
      <c r="AL35" s="17"/>
      <c r="AM35" s="17"/>
      <c r="AN35" s="9" t="e">
        <f t="shared" si="10"/>
        <v>#DIV/0!</v>
      </c>
      <c r="AO35" s="17"/>
      <c r="AP35" s="17"/>
      <c r="AQ35" s="17"/>
      <c r="AR35" s="17"/>
      <c r="AS35" s="17"/>
      <c r="AT35" s="9" t="e">
        <f t="shared" si="11"/>
        <v>#DIV/0!</v>
      </c>
      <c r="AU35" s="208"/>
      <c r="AV35" s="209"/>
      <c r="AW35" s="9" t="str">
        <f t="shared" si="12"/>
        <v>0</v>
      </c>
      <c r="AX35" s="7" t="e">
        <f t="shared" si="1"/>
        <v>#DIV/0!</v>
      </c>
      <c r="AY35" s="18" t="e">
        <f t="shared" si="1"/>
        <v>#DIV/0!</v>
      </c>
      <c r="AZ35" s="231" t="e">
        <f t="shared" ref="AZ35" si="40">IF(BP35&gt;=4.5, " 5 ", IF(BP35&gt;=3.5," 4 ",IF(BP35&gt;=2.5," 3  ",IF(BP35&gt;=1.5," 2 ",IF(BP35&gt;=1,"1 ",IF(BP35&gt;=0,"0"))))))</f>
        <v>#DIV/0!</v>
      </c>
      <c r="BA35" s="4" t="e">
        <f t="shared" si="2"/>
        <v>#DIV/0!</v>
      </c>
      <c r="BB35" s="4" t="e">
        <f t="shared" si="13"/>
        <v>#DIV/0!</v>
      </c>
      <c r="BC35" s="4" t="e">
        <f t="shared" si="14"/>
        <v>#DIV/0!</v>
      </c>
      <c r="BD35" s="4">
        <f t="shared" si="15"/>
        <v>0</v>
      </c>
      <c r="BE35" s="12" t="e">
        <f t="shared" si="3"/>
        <v>#DIV/0!</v>
      </c>
      <c r="BF35" s="4" t="e">
        <f t="shared" si="16"/>
        <v>#DIV/0!</v>
      </c>
      <c r="BG35" s="4" t="e">
        <f t="shared" si="17"/>
        <v>#DIV/0!</v>
      </c>
      <c r="BH35" s="4" t="e">
        <f t="shared" si="18"/>
        <v>#DIV/0!</v>
      </c>
      <c r="BI35" s="4">
        <f t="shared" si="19"/>
        <v>0</v>
      </c>
      <c r="BJ35" s="12" t="e">
        <f t="shared" si="4"/>
        <v>#DIV/0!</v>
      </c>
      <c r="BK35" s="12" t="e">
        <f t="shared" si="5"/>
        <v>#DIV/0!</v>
      </c>
      <c r="BL35" s="12" t="e">
        <f>(BE35+BJ35)/2</f>
        <v>#DIV/0!</v>
      </c>
      <c r="BM35" s="10" t="e">
        <f t="shared" si="21"/>
        <v>#DIV/0!</v>
      </c>
      <c r="BN35" s="176" t="e">
        <f t="shared" si="35"/>
        <v>#DIV/0!</v>
      </c>
      <c r="BO35" s="12"/>
      <c r="BP35" s="11" t="e">
        <f t="shared" si="25"/>
        <v>#DIV/0!</v>
      </c>
      <c r="BQ35" s="6"/>
      <c r="BR35" s="6"/>
    </row>
    <row r="36" spans="1:70" ht="23.25" customHeight="1" thickBot="1">
      <c r="A36" s="333"/>
      <c r="B36" s="324"/>
      <c r="C36" s="324"/>
      <c r="D36" s="323"/>
      <c r="E36" s="20">
        <v>2</v>
      </c>
      <c r="F36" s="17"/>
      <c r="G36" s="17"/>
      <c r="H36" s="17"/>
      <c r="I36" s="17"/>
      <c r="J36" s="17"/>
      <c r="K36" s="8" t="e">
        <f t="shared" si="6"/>
        <v>#DIV/0!</v>
      </c>
      <c r="L36" s="17"/>
      <c r="M36" s="17"/>
      <c r="N36" s="17"/>
      <c r="O36" s="17"/>
      <c r="P36" s="17"/>
      <c r="Q36" s="9" t="e">
        <f t="shared" si="23"/>
        <v>#DIV/0!</v>
      </c>
      <c r="R36" s="17"/>
      <c r="S36" s="17"/>
      <c r="T36" s="17"/>
      <c r="U36" s="17"/>
      <c r="V36" s="17"/>
      <c r="W36" s="9" t="e">
        <f t="shared" si="7"/>
        <v>#DIV/0!</v>
      </c>
      <c r="X36" s="233"/>
      <c r="Y36" s="234"/>
      <c r="Z36" s="9" t="str">
        <f t="shared" si="8"/>
        <v>0</v>
      </c>
      <c r="AA36" s="7" t="e">
        <f t="shared" si="0"/>
        <v>#DIV/0!</v>
      </c>
      <c r="AB36" s="365"/>
      <c r="AC36" s="17"/>
      <c r="AD36" s="17"/>
      <c r="AE36" s="17"/>
      <c r="AF36" s="17"/>
      <c r="AG36" s="17"/>
      <c r="AH36" s="9" t="e">
        <f t="shared" si="9"/>
        <v>#DIV/0!</v>
      </c>
      <c r="AI36" s="17"/>
      <c r="AJ36" s="17"/>
      <c r="AK36" s="17"/>
      <c r="AL36" s="17"/>
      <c r="AM36" s="17"/>
      <c r="AN36" s="9" t="e">
        <f t="shared" si="10"/>
        <v>#DIV/0!</v>
      </c>
      <c r="AO36" s="17"/>
      <c r="AP36" s="17"/>
      <c r="AQ36" s="17"/>
      <c r="AR36" s="17"/>
      <c r="AS36" s="17"/>
      <c r="AT36" s="9" t="e">
        <f t="shared" si="11"/>
        <v>#DIV/0!</v>
      </c>
      <c r="AU36" s="208"/>
      <c r="AV36" s="209"/>
      <c r="AW36" s="9" t="str">
        <f t="shared" si="12"/>
        <v>0</v>
      </c>
      <c r="AX36" s="7" t="e">
        <f t="shared" si="1"/>
        <v>#DIV/0!</v>
      </c>
      <c r="AY36" s="18" t="e">
        <f t="shared" si="1"/>
        <v>#DIV/0!</v>
      </c>
      <c r="AZ36" s="232"/>
      <c r="BA36" s="4" t="e">
        <f t="shared" si="2"/>
        <v>#DIV/0!</v>
      </c>
      <c r="BB36" s="4" t="e">
        <f t="shared" si="13"/>
        <v>#DIV/0!</v>
      </c>
      <c r="BC36" s="4" t="e">
        <f t="shared" si="14"/>
        <v>#DIV/0!</v>
      </c>
      <c r="BD36" s="4">
        <f t="shared" si="15"/>
        <v>0</v>
      </c>
      <c r="BE36" s="12" t="e">
        <f t="shared" si="3"/>
        <v>#DIV/0!</v>
      </c>
      <c r="BF36" s="4" t="e">
        <f t="shared" si="16"/>
        <v>#DIV/0!</v>
      </c>
      <c r="BG36" s="4" t="e">
        <f t="shared" si="17"/>
        <v>#DIV/0!</v>
      </c>
      <c r="BH36" s="4" t="e">
        <f t="shared" si="18"/>
        <v>#DIV/0!</v>
      </c>
      <c r="BI36" s="4">
        <f t="shared" si="19"/>
        <v>0</v>
      </c>
      <c r="BJ36" s="12" t="e">
        <f t="shared" si="4"/>
        <v>#DIV/0!</v>
      </c>
      <c r="BK36" s="12" t="e">
        <f t="shared" si="5"/>
        <v>#DIV/0!</v>
      </c>
      <c r="BL36" s="12"/>
      <c r="BM36" s="10"/>
      <c r="BN36" s="176"/>
      <c r="BO36" s="12" t="e">
        <f t="shared" si="20"/>
        <v>#DIV/0!</v>
      </c>
      <c r="BP36" s="11"/>
      <c r="BQ36" s="6"/>
      <c r="BR36" s="6"/>
    </row>
    <row r="37" spans="1:70" ht="20.25" customHeight="1">
      <c r="A37" s="332">
        <v>13</v>
      </c>
      <c r="B37" s="324"/>
      <c r="C37" s="324"/>
      <c r="D37" s="323"/>
      <c r="E37" s="21">
        <v>1</v>
      </c>
      <c r="F37" s="17"/>
      <c r="G37" s="17"/>
      <c r="H37" s="17"/>
      <c r="I37" s="17"/>
      <c r="J37" s="17"/>
      <c r="K37" s="8" t="e">
        <f t="shared" si="6"/>
        <v>#DIV/0!</v>
      </c>
      <c r="L37" s="17"/>
      <c r="M37" s="17"/>
      <c r="N37" s="17"/>
      <c r="O37" s="17"/>
      <c r="P37" s="17"/>
      <c r="Q37" s="9" t="e">
        <f t="shared" si="23"/>
        <v>#DIV/0!</v>
      </c>
      <c r="R37" s="17"/>
      <c r="S37" s="17"/>
      <c r="T37" s="17"/>
      <c r="U37" s="17"/>
      <c r="V37" s="17"/>
      <c r="W37" s="9" t="e">
        <f t="shared" si="7"/>
        <v>#DIV/0!</v>
      </c>
      <c r="X37" s="233"/>
      <c r="Y37" s="234"/>
      <c r="Z37" s="9" t="str">
        <f t="shared" si="8"/>
        <v>0</v>
      </c>
      <c r="AA37" s="7" t="e">
        <f t="shared" si="0"/>
        <v>#DIV/0!</v>
      </c>
      <c r="AB37" s="365"/>
      <c r="AC37" s="17"/>
      <c r="AD37" s="17"/>
      <c r="AE37" s="17"/>
      <c r="AF37" s="17"/>
      <c r="AG37" s="17"/>
      <c r="AH37" s="9" t="e">
        <f t="shared" si="9"/>
        <v>#DIV/0!</v>
      </c>
      <c r="AI37" s="17"/>
      <c r="AJ37" s="17"/>
      <c r="AK37" s="17"/>
      <c r="AL37" s="17"/>
      <c r="AM37" s="17"/>
      <c r="AN37" s="9" t="e">
        <f t="shared" si="10"/>
        <v>#DIV/0!</v>
      </c>
      <c r="AO37" s="17"/>
      <c r="AP37" s="17"/>
      <c r="AQ37" s="17"/>
      <c r="AR37" s="17"/>
      <c r="AS37" s="17"/>
      <c r="AT37" s="9" t="e">
        <f t="shared" si="11"/>
        <v>#DIV/0!</v>
      </c>
      <c r="AU37" s="208"/>
      <c r="AV37" s="209"/>
      <c r="AW37" s="9" t="str">
        <f t="shared" si="12"/>
        <v>0</v>
      </c>
      <c r="AX37" s="7" t="e">
        <f t="shared" si="1"/>
        <v>#DIV/0!</v>
      </c>
      <c r="AY37" s="18" t="e">
        <f t="shared" si="1"/>
        <v>#DIV/0!</v>
      </c>
      <c r="AZ37" s="231" t="e">
        <f t="shared" ref="AZ37" si="41">IF(BP37&gt;=4.5, " 5 ", IF(BP37&gt;=3.5," 4 ",IF(BP37&gt;=2.5," 3  ",IF(BP37&gt;=1.5," 2 ",IF(BP37&gt;=1,"1 ",IF(BP37&gt;=0,"0"))))))</f>
        <v>#DIV/0!</v>
      </c>
      <c r="BA37" s="4" t="e">
        <f t="shared" si="2"/>
        <v>#DIV/0!</v>
      </c>
      <c r="BB37" s="4" t="e">
        <f t="shared" si="13"/>
        <v>#DIV/0!</v>
      </c>
      <c r="BC37" s="4" t="e">
        <f t="shared" si="14"/>
        <v>#DIV/0!</v>
      </c>
      <c r="BD37" s="4">
        <f t="shared" si="15"/>
        <v>0</v>
      </c>
      <c r="BE37" s="12" t="e">
        <f t="shared" si="3"/>
        <v>#DIV/0!</v>
      </c>
      <c r="BF37" s="4" t="e">
        <f t="shared" si="16"/>
        <v>#DIV/0!</v>
      </c>
      <c r="BG37" s="4" t="e">
        <f t="shared" si="17"/>
        <v>#DIV/0!</v>
      </c>
      <c r="BH37" s="4" t="e">
        <f t="shared" si="18"/>
        <v>#DIV/0!</v>
      </c>
      <c r="BI37" s="4">
        <f t="shared" si="19"/>
        <v>0</v>
      </c>
      <c r="BJ37" s="12" t="e">
        <f t="shared" si="4"/>
        <v>#DIV/0!</v>
      </c>
      <c r="BK37" s="12" t="e">
        <f t="shared" si="5"/>
        <v>#DIV/0!</v>
      </c>
      <c r="BL37" s="12" t="e">
        <f>(BE37+BJ37)/2</f>
        <v>#DIV/0!</v>
      </c>
      <c r="BM37" s="10" t="e">
        <f t="shared" si="21"/>
        <v>#DIV/0!</v>
      </c>
      <c r="BN37" s="176" t="e">
        <f t="shared" ref="BN37" si="42">ROUND(BO38,)</f>
        <v>#DIV/0!</v>
      </c>
      <c r="BO37" s="12"/>
      <c r="BP37" s="11" t="e">
        <f t="shared" si="25"/>
        <v>#DIV/0!</v>
      </c>
      <c r="BQ37" s="6"/>
      <c r="BR37" s="6"/>
    </row>
    <row r="38" spans="1:70" ht="15" customHeight="1" thickBot="1">
      <c r="A38" s="333"/>
      <c r="B38" s="324"/>
      <c r="C38" s="324"/>
      <c r="D38" s="323"/>
      <c r="E38" s="20">
        <v>2</v>
      </c>
      <c r="F38" s="17"/>
      <c r="G38" s="17"/>
      <c r="H38" s="17"/>
      <c r="I38" s="17"/>
      <c r="J38" s="17"/>
      <c r="K38" s="8" t="e">
        <f t="shared" si="6"/>
        <v>#DIV/0!</v>
      </c>
      <c r="L38" s="17"/>
      <c r="M38" s="17"/>
      <c r="N38" s="17"/>
      <c r="O38" s="17"/>
      <c r="P38" s="17"/>
      <c r="Q38" s="9" t="e">
        <f t="shared" si="23"/>
        <v>#DIV/0!</v>
      </c>
      <c r="R38" s="17"/>
      <c r="S38" s="17"/>
      <c r="T38" s="17"/>
      <c r="U38" s="17"/>
      <c r="V38" s="17"/>
      <c r="W38" s="9" t="e">
        <f t="shared" si="7"/>
        <v>#DIV/0!</v>
      </c>
      <c r="X38" s="233"/>
      <c r="Y38" s="234"/>
      <c r="Z38" s="9" t="str">
        <f t="shared" si="8"/>
        <v>0</v>
      </c>
      <c r="AA38" s="7" t="e">
        <f t="shared" si="0"/>
        <v>#DIV/0!</v>
      </c>
      <c r="AB38" s="365"/>
      <c r="AC38" s="17"/>
      <c r="AD38" s="17"/>
      <c r="AE38" s="17"/>
      <c r="AF38" s="17"/>
      <c r="AG38" s="17"/>
      <c r="AH38" s="9" t="e">
        <f t="shared" si="9"/>
        <v>#DIV/0!</v>
      </c>
      <c r="AI38" s="17"/>
      <c r="AJ38" s="17"/>
      <c r="AK38" s="17"/>
      <c r="AL38" s="17"/>
      <c r="AM38" s="17"/>
      <c r="AN38" s="9" t="e">
        <f t="shared" si="10"/>
        <v>#DIV/0!</v>
      </c>
      <c r="AO38" s="17"/>
      <c r="AP38" s="17"/>
      <c r="AQ38" s="17"/>
      <c r="AR38" s="17"/>
      <c r="AS38" s="17"/>
      <c r="AT38" s="9" t="e">
        <f t="shared" si="11"/>
        <v>#DIV/0!</v>
      </c>
      <c r="AU38" s="208"/>
      <c r="AV38" s="209"/>
      <c r="AW38" s="9" t="str">
        <f t="shared" si="12"/>
        <v>0</v>
      </c>
      <c r="AX38" s="7" t="e">
        <f t="shared" si="1"/>
        <v>#DIV/0!</v>
      </c>
      <c r="AY38" s="18" t="e">
        <f t="shared" si="1"/>
        <v>#DIV/0!</v>
      </c>
      <c r="AZ38" s="232"/>
      <c r="BA38" s="4" t="e">
        <f t="shared" si="2"/>
        <v>#DIV/0!</v>
      </c>
      <c r="BB38" s="4" t="e">
        <f t="shared" si="13"/>
        <v>#DIV/0!</v>
      </c>
      <c r="BC38" s="4" t="e">
        <f t="shared" si="14"/>
        <v>#DIV/0!</v>
      </c>
      <c r="BD38" s="4">
        <f t="shared" si="15"/>
        <v>0</v>
      </c>
      <c r="BE38" s="12" t="e">
        <f t="shared" si="3"/>
        <v>#DIV/0!</v>
      </c>
      <c r="BF38" s="4" t="e">
        <f t="shared" si="16"/>
        <v>#DIV/0!</v>
      </c>
      <c r="BG38" s="4" t="e">
        <f t="shared" si="17"/>
        <v>#DIV/0!</v>
      </c>
      <c r="BH38" s="4" t="e">
        <f t="shared" si="18"/>
        <v>#DIV/0!</v>
      </c>
      <c r="BI38" s="4">
        <f t="shared" si="19"/>
        <v>0</v>
      </c>
      <c r="BJ38" s="12" t="e">
        <f t="shared" si="4"/>
        <v>#DIV/0!</v>
      </c>
      <c r="BK38" s="12" t="e">
        <f t="shared" si="5"/>
        <v>#DIV/0!</v>
      </c>
      <c r="BL38" s="12"/>
      <c r="BM38" s="10"/>
      <c r="BN38" s="176"/>
      <c r="BO38" s="12" t="e">
        <f t="shared" si="20"/>
        <v>#DIV/0!</v>
      </c>
      <c r="BP38" s="11"/>
      <c r="BQ38" s="6"/>
      <c r="BR38" s="6"/>
    </row>
    <row r="39" spans="1:70" ht="20.25" customHeight="1">
      <c r="A39" s="332">
        <v>14</v>
      </c>
      <c r="B39" s="324"/>
      <c r="C39" s="324"/>
      <c r="D39" s="323"/>
      <c r="E39" s="21">
        <v>1</v>
      </c>
      <c r="F39" s="17"/>
      <c r="G39" s="17"/>
      <c r="H39" s="17"/>
      <c r="I39" s="17"/>
      <c r="J39" s="17"/>
      <c r="K39" s="8" t="e">
        <f t="shared" si="6"/>
        <v>#DIV/0!</v>
      </c>
      <c r="L39" s="17"/>
      <c r="M39" s="17"/>
      <c r="N39" s="17"/>
      <c r="O39" s="17"/>
      <c r="P39" s="17"/>
      <c r="Q39" s="9" t="e">
        <f t="shared" si="23"/>
        <v>#DIV/0!</v>
      </c>
      <c r="R39" s="17"/>
      <c r="S39" s="17"/>
      <c r="T39" s="17"/>
      <c r="U39" s="17"/>
      <c r="V39" s="17"/>
      <c r="W39" s="9" t="e">
        <f t="shared" si="7"/>
        <v>#DIV/0!</v>
      </c>
      <c r="X39" s="233"/>
      <c r="Y39" s="234"/>
      <c r="Z39" s="9" t="str">
        <f t="shared" si="8"/>
        <v>0</v>
      </c>
      <c r="AA39" s="7" t="e">
        <f t="shared" si="0"/>
        <v>#DIV/0!</v>
      </c>
      <c r="AB39" s="365"/>
      <c r="AC39" s="17"/>
      <c r="AD39" s="17"/>
      <c r="AE39" s="17"/>
      <c r="AF39" s="17"/>
      <c r="AG39" s="17"/>
      <c r="AH39" s="9" t="e">
        <f t="shared" si="9"/>
        <v>#DIV/0!</v>
      </c>
      <c r="AI39" s="17"/>
      <c r="AJ39" s="17"/>
      <c r="AK39" s="17"/>
      <c r="AL39" s="17"/>
      <c r="AM39" s="17"/>
      <c r="AN39" s="9" t="e">
        <f t="shared" si="10"/>
        <v>#DIV/0!</v>
      </c>
      <c r="AO39" s="17"/>
      <c r="AP39" s="17"/>
      <c r="AQ39" s="17"/>
      <c r="AR39" s="17"/>
      <c r="AS39" s="17"/>
      <c r="AT39" s="9" t="e">
        <f t="shared" si="11"/>
        <v>#DIV/0!</v>
      </c>
      <c r="AU39" s="208"/>
      <c r="AV39" s="209"/>
      <c r="AW39" s="9" t="str">
        <f t="shared" si="12"/>
        <v>0</v>
      </c>
      <c r="AX39" s="7" t="e">
        <f t="shared" si="1"/>
        <v>#DIV/0!</v>
      </c>
      <c r="AY39" s="18" t="e">
        <f t="shared" si="1"/>
        <v>#DIV/0!</v>
      </c>
      <c r="AZ39" s="231" t="e">
        <f t="shared" ref="AZ39" si="43">IF(BP39&gt;=4.5, " 5 ", IF(BP39&gt;=3.5," 4 ",IF(BP39&gt;=2.5," 3  ",IF(BP39&gt;=1.5," 2 ",IF(BP39&gt;=1,"1 ",IF(BP39&gt;=0,"0"))))))</f>
        <v>#DIV/0!</v>
      </c>
      <c r="BA39" s="4" t="e">
        <f t="shared" si="2"/>
        <v>#DIV/0!</v>
      </c>
      <c r="BB39" s="4" t="e">
        <f t="shared" si="13"/>
        <v>#DIV/0!</v>
      </c>
      <c r="BC39" s="4" t="e">
        <f t="shared" si="14"/>
        <v>#DIV/0!</v>
      </c>
      <c r="BD39" s="4">
        <f t="shared" si="15"/>
        <v>0</v>
      </c>
      <c r="BE39" s="12" t="e">
        <f t="shared" si="3"/>
        <v>#DIV/0!</v>
      </c>
      <c r="BF39" s="4" t="e">
        <f t="shared" si="16"/>
        <v>#DIV/0!</v>
      </c>
      <c r="BG39" s="4" t="e">
        <f t="shared" si="17"/>
        <v>#DIV/0!</v>
      </c>
      <c r="BH39" s="4" t="e">
        <f t="shared" si="18"/>
        <v>#DIV/0!</v>
      </c>
      <c r="BI39" s="4">
        <f t="shared" si="19"/>
        <v>0</v>
      </c>
      <c r="BJ39" s="12" t="e">
        <f t="shared" si="4"/>
        <v>#DIV/0!</v>
      </c>
      <c r="BK39" s="12" t="e">
        <f t="shared" si="5"/>
        <v>#DIV/0!</v>
      </c>
      <c r="BL39" s="12" t="e">
        <f>(BE39+BJ39)/2</f>
        <v>#DIV/0!</v>
      </c>
      <c r="BM39" s="10" t="e">
        <f t="shared" si="21"/>
        <v>#DIV/0!</v>
      </c>
      <c r="BN39" s="176" t="e">
        <f t="shared" si="31"/>
        <v>#DIV/0!</v>
      </c>
      <c r="BO39" s="12"/>
      <c r="BP39" s="11" t="e">
        <f t="shared" si="25"/>
        <v>#DIV/0!</v>
      </c>
      <c r="BQ39" s="6"/>
      <c r="BR39" s="6"/>
    </row>
    <row r="40" spans="1:70" ht="20.25" customHeight="1" thickBot="1">
      <c r="A40" s="333"/>
      <c r="B40" s="324"/>
      <c r="C40" s="324"/>
      <c r="D40" s="323"/>
      <c r="E40" s="20">
        <v>2</v>
      </c>
      <c r="F40" s="17"/>
      <c r="G40" s="17"/>
      <c r="H40" s="17"/>
      <c r="I40" s="17"/>
      <c r="J40" s="17"/>
      <c r="K40" s="8" t="e">
        <f t="shared" si="6"/>
        <v>#DIV/0!</v>
      </c>
      <c r="L40" s="17"/>
      <c r="M40" s="17"/>
      <c r="N40" s="17"/>
      <c r="O40" s="17"/>
      <c r="P40" s="17"/>
      <c r="Q40" s="9" t="e">
        <f t="shared" si="23"/>
        <v>#DIV/0!</v>
      </c>
      <c r="R40" s="17"/>
      <c r="S40" s="17"/>
      <c r="T40" s="17"/>
      <c r="U40" s="17"/>
      <c r="V40" s="17"/>
      <c r="W40" s="9" t="e">
        <f t="shared" si="7"/>
        <v>#DIV/0!</v>
      </c>
      <c r="X40" s="233"/>
      <c r="Y40" s="234"/>
      <c r="Z40" s="9" t="str">
        <f t="shared" si="8"/>
        <v>0</v>
      </c>
      <c r="AA40" s="7" t="e">
        <f t="shared" si="0"/>
        <v>#DIV/0!</v>
      </c>
      <c r="AB40" s="365"/>
      <c r="AC40" s="17"/>
      <c r="AD40" s="17"/>
      <c r="AE40" s="17"/>
      <c r="AF40" s="17"/>
      <c r="AG40" s="17"/>
      <c r="AH40" s="9" t="e">
        <f t="shared" si="9"/>
        <v>#DIV/0!</v>
      </c>
      <c r="AI40" s="17"/>
      <c r="AJ40" s="17"/>
      <c r="AK40" s="17"/>
      <c r="AL40" s="17"/>
      <c r="AM40" s="17"/>
      <c r="AN40" s="9" t="e">
        <f t="shared" si="10"/>
        <v>#DIV/0!</v>
      </c>
      <c r="AO40" s="17"/>
      <c r="AP40" s="17"/>
      <c r="AQ40" s="17"/>
      <c r="AR40" s="17"/>
      <c r="AS40" s="17"/>
      <c r="AT40" s="9" t="e">
        <f t="shared" si="11"/>
        <v>#DIV/0!</v>
      </c>
      <c r="AU40" s="208"/>
      <c r="AV40" s="209"/>
      <c r="AW40" s="9" t="str">
        <f t="shared" si="12"/>
        <v>0</v>
      </c>
      <c r="AX40" s="7" t="e">
        <f t="shared" si="1"/>
        <v>#DIV/0!</v>
      </c>
      <c r="AY40" s="18" t="e">
        <f t="shared" si="1"/>
        <v>#DIV/0!</v>
      </c>
      <c r="AZ40" s="232"/>
      <c r="BA40" s="4" t="e">
        <f t="shared" si="2"/>
        <v>#DIV/0!</v>
      </c>
      <c r="BB40" s="4" t="e">
        <f t="shared" si="13"/>
        <v>#DIV/0!</v>
      </c>
      <c r="BC40" s="4" t="e">
        <f t="shared" si="14"/>
        <v>#DIV/0!</v>
      </c>
      <c r="BD40" s="4">
        <f t="shared" si="15"/>
        <v>0</v>
      </c>
      <c r="BE40" s="12" t="e">
        <f t="shared" si="3"/>
        <v>#DIV/0!</v>
      </c>
      <c r="BF40" s="4" t="e">
        <f t="shared" si="16"/>
        <v>#DIV/0!</v>
      </c>
      <c r="BG40" s="4" t="e">
        <f t="shared" si="17"/>
        <v>#DIV/0!</v>
      </c>
      <c r="BH40" s="4" t="e">
        <f t="shared" si="18"/>
        <v>#DIV/0!</v>
      </c>
      <c r="BI40" s="4">
        <f t="shared" si="19"/>
        <v>0</v>
      </c>
      <c r="BJ40" s="12" t="e">
        <f t="shared" si="4"/>
        <v>#DIV/0!</v>
      </c>
      <c r="BK40" s="12" t="e">
        <f t="shared" si="5"/>
        <v>#DIV/0!</v>
      </c>
      <c r="BL40" s="12"/>
      <c r="BM40" s="10"/>
      <c r="BN40" s="176"/>
      <c r="BO40" s="12" t="e">
        <f t="shared" si="20"/>
        <v>#DIV/0!</v>
      </c>
      <c r="BP40" s="11"/>
      <c r="BQ40" s="6"/>
      <c r="BR40" s="6"/>
    </row>
    <row r="41" spans="1:70" ht="20.25" customHeight="1">
      <c r="A41" s="332">
        <v>15</v>
      </c>
      <c r="B41" s="324"/>
      <c r="C41" s="324"/>
      <c r="D41" s="323"/>
      <c r="E41" s="21">
        <v>1</v>
      </c>
      <c r="F41" s="17"/>
      <c r="G41" s="17"/>
      <c r="H41" s="17"/>
      <c r="I41" s="17"/>
      <c r="J41" s="17"/>
      <c r="K41" s="8" t="e">
        <f t="shared" si="6"/>
        <v>#DIV/0!</v>
      </c>
      <c r="L41" s="17"/>
      <c r="M41" s="17"/>
      <c r="N41" s="17"/>
      <c r="O41" s="17"/>
      <c r="P41" s="17"/>
      <c r="Q41" s="9" t="e">
        <f t="shared" si="23"/>
        <v>#DIV/0!</v>
      </c>
      <c r="R41" s="17"/>
      <c r="S41" s="17"/>
      <c r="T41" s="17"/>
      <c r="U41" s="17"/>
      <c r="V41" s="17"/>
      <c r="W41" s="9" t="e">
        <f t="shared" si="7"/>
        <v>#DIV/0!</v>
      </c>
      <c r="X41" s="233"/>
      <c r="Y41" s="234"/>
      <c r="Z41" s="9" t="str">
        <f t="shared" si="8"/>
        <v>0</v>
      </c>
      <c r="AA41" s="7" t="e">
        <f t="shared" si="0"/>
        <v>#DIV/0!</v>
      </c>
      <c r="AB41" s="365"/>
      <c r="AC41" s="17"/>
      <c r="AD41" s="17"/>
      <c r="AE41" s="17"/>
      <c r="AF41" s="17"/>
      <c r="AG41" s="17"/>
      <c r="AH41" s="9" t="e">
        <f t="shared" si="9"/>
        <v>#DIV/0!</v>
      </c>
      <c r="AI41" s="17"/>
      <c r="AJ41" s="17"/>
      <c r="AK41" s="17"/>
      <c r="AL41" s="17"/>
      <c r="AM41" s="17"/>
      <c r="AN41" s="9" t="e">
        <f t="shared" si="10"/>
        <v>#DIV/0!</v>
      </c>
      <c r="AO41" s="17"/>
      <c r="AP41" s="17"/>
      <c r="AQ41" s="17"/>
      <c r="AR41" s="17"/>
      <c r="AS41" s="17"/>
      <c r="AT41" s="9" t="e">
        <f t="shared" si="11"/>
        <v>#DIV/0!</v>
      </c>
      <c r="AU41" s="208"/>
      <c r="AV41" s="209"/>
      <c r="AW41" s="9" t="str">
        <f t="shared" si="12"/>
        <v>0</v>
      </c>
      <c r="AX41" s="7" t="e">
        <f t="shared" si="1"/>
        <v>#DIV/0!</v>
      </c>
      <c r="AY41" s="18" t="e">
        <f t="shared" si="1"/>
        <v>#DIV/0!</v>
      </c>
      <c r="AZ41" s="231" t="e">
        <f t="shared" ref="AZ41" si="44">IF(BP41&gt;=4.5, " 5 ", IF(BP41&gt;=3.5," 4 ",IF(BP41&gt;=2.5," 3  ",IF(BP41&gt;=1.5," 2 ",IF(BP41&gt;=1,"1 ",IF(BP41&gt;=0,"0"))))))</f>
        <v>#DIV/0!</v>
      </c>
      <c r="BA41" s="4" t="e">
        <f t="shared" si="2"/>
        <v>#DIV/0!</v>
      </c>
      <c r="BB41" s="4" t="e">
        <f t="shared" si="13"/>
        <v>#DIV/0!</v>
      </c>
      <c r="BC41" s="4" t="e">
        <f t="shared" si="14"/>
        <v>#DIV/0!</v>
      </c>
      <c r="BD41" s="4">
        <f t="shared" si="15"/>
        <v>0</v>
      </c>
      <c r="BE41" s="12" t="e">
        <f t="shared" si="3"/>
        <v>#DIV/0!</v>
      </c>
      <c r="BF41" s="4" t="e">
        <f t="shared" si="16"/>
        <v>#DIV/0!</v>
      </c>
      <c r="BG41" s="4" t="e">
        <f t="shared" si="17"/>
        <v>#DIV/0!</v>
      </c>
      <c r="BH41" s="4" t="e">
        <f t="shared" si="18"/>
        <v>#DIV/0!</v>
      </c>
      <c r="BI41" s="4">
        <f t="shared" si="19"/>
        <v>0</v>
      </c>
      <c r="BJ41" s="12" t="e">
        <f t="shared" si="4"/>
        <v>#DIV/0!</v>
      </c>
      <c r="BK41" s="12" t="e">
        <f t="shared" si="5"/>
        <v>#DIV/0!</v>
      </c>
      <c r="BL41" s="12" t="e">
        <f>(BE41+BJ41)/2</f>
        <v>#DIV/0!</v>
      </c>
      <c r="BM41" s="10" t="e">
        <f t="shared" si="21"/>
        <v>#DIV/0!</v>
      </c>
      <c r="BN41" s="176" t="e">
        <f t="shared" si="33"/>
        <v>#DIV/0!</v>
      </c>
      <c r="BO41" s="12"/>
      <c r="BP41" s="11" t="e">
        <f t="shared" si="25"/>
        <v>#DIV/0!</v>
      </c>
      <c r="BQ41" s="6"/>
      <c r="BR41" s="6"/>
    </row>
    <row r="42" spans="1:70" ht="20.25" customHeight="1" thickBot="1">
      <c r="A42" s="333"/>
      <c r="B42" s="324"/>
      <c r="C42" s="324"/>
      <c r="D42" s="323"/>
      <c r="E42" s="20">
        <v>2</v>
      </c>
      <c r="F42" s="17"/>
      <c r="G42" s="17"/>
      <c r="H42" s="17"/>
      <c r="I42" s="17"/>
      <c r="J42" s="17"/>
      <c r="K42" s="8" t="e">
        <f t="shared" si="6"/>
        <v>#DIV/0!</v>
      </c>
      <c r="L42" s="17"/>
      <c r="M42" s="17"/>
      <c r="N42" s="17"/>
      <c r="O42" s="17"/>
      <c r="P42" s="17"/>
      <c r="Q42" s="9" t="e">
        <f t="shared" si="23"/>
        <v>#DIV/0!</v>
      </c>
      <c r="R42" s="17"/>
      <c r="S42" s="17"/>
      <c r="T42" s="17"/>
      <c r="U42" s="17"/>
      <c r="V42" s="17"/>
      <c r="W42" s="9" t="e">
        <f t="shared" si="7"/>
        <v>#DIV/0!</v>
      </c>
      <c r="X42" s="233"/>
      <c r="Y42" s="234"/>
      <c r="Z42" s="9" t="str">
        <f t="shared" si="8"/>
        <v>0</v>
      </c>
      <c r="AA42" s="7" t="e">
        <f t="shared" si="0"/>
        <v>#DIV/0!</v>
      </c>
      <c r="AB42" s="365"/>
      <c r="AC42" s="17"/>
      <c r="AD42" s="17"/>
      <c r="AE42" s="17"/>
      <c r="AF42" s="17"/>
      <c r="AG42" s="17"/>
      <c r="AH42" s="9" t="e">
        <f t="shared" si="9"/>
        <v>#DIV/0!</v>
      </c>
      <c r="AI42" s="17"/>
      <c r="AJ42" s="17"/>
      <c r="AK42" s="17"/>
      <c r="AL42" s="17"/>
      <c r="AM42" s="17"/>
      <c r="AN42" s="9" t="e">
        <f t="shared" si="10"/>
        <v>#DIV/0!</v>
      </c>
      <c r="AO42" s="17"/>
      <c r="AP42" s="17"/>
      <c r="AQ42" s="17"/>
      <c r="AR42" s="17"/>
      <c r="AS42" s="17"/>
      <c r="AT42" s="9" t="e">
        <f t="shared" si="11"/>
        <v>#DIV/0!</v>
      </c>
      <c r="AU42" s="208"/>
      <c r="AV42" s="209"/>
      <c r="AW42" s="9" t="str">
        <f t="shared" si="12"/>
        <v>0</v>
      </c>
      <c r="AX42" s="7" t="e">
        <f t="shared" si="1"/>
        <v>#DIV/0!</v>
      </c>
      <c r="AY42" s="18" t="e">
        <f t="shared" si="1"/>
        <v>#DIV/0!</v>
      </c>
      <c r="AZ42" s="232"/>
      <c r="BA42" s="4" t="e">
        <f t="shared" si="2"/>
        <v>#DIV/0!</v>
      </c>
      <c r="BB42" s="4" t="e">
        <f t="shared" si="13"/>
        <v>#DIV/0!</v>
      </c>
      <c r="BC42" s="4" t="e">
        <f t="shared" si="14"/>
        <v>#DIV/0!</v>
      </c>
      <c r="BD42" s="4">
        <f t="shared" si="15"/>
        <v>0</v>
      </c>
      <c r="BE42" s="12" t="e">
        <f t="shared" si="3"/>
        <v>#DIV/0!</v>
      </c>
      <c r="BF42" s="4" t="e">
        <f t="shared" si="16"/>
        <v>#DIV/0!</v>
      </c>
      <c r="BG42" s="4" t="e">
        <f t="shared" si="17"/>
        <v>#DIV/0!</v>
      </c>
      <c r="BH42" s="4" t="e">
        <f t="shared" si="18"/>
        <v>#DIV/0!</v>
      </c>
      <c r="BI42" s="4">
        <f t="shared" si="19"/>
        <v>0</v>
      </c>
      <c r="BJ42" s="12" t="e">
        <f t="shared" si="4"/>
        <v>#DIV/0!</v>
      </c>
      <c r="BK42" s="12" t="e">
        <f t="shared" si="5"/>
        <v>#DIV/0!</v>
      </c>
      <c r="BL42" s="12"/>
      <c r="BM42" s="10"/>
      <c r="BN42" s="176"/>
      <c r="BO42" s="12" t="e">
        <f t="shared" si="20"/>
        <v>#DIV/0!</v>
      </c>
      <c r="BP42" s="11"/>
      <c r="BQ42" s="6"/>
      <c r="BR42" s="6"/>
    </row>
    <row r="43" spans="1:70" ht="20.25" customHeight="1">
      <c r="A43" s="332">
        <v>16</v>
      </c>
      <c r="B43" s="324"/>
      <c r="C43" s="324"/>
      <c r="D43" s="323"/>
      <c r="E43" s="22">
        <v>1</v>
      </c>
      <c r="F43" s="17"/>
      <c r="G43" s="17"/>
      <c r="H43" s="17"/>
      <c r="I43" s="17"/>
      <c r="J43" s="17"/>
      <c r="K43" s="8" t="e">
        <f t="shared" si="6"/>
        <v>#DIV/0!</v>
      </c>
      <c r="L43" s="17"/>
      <c r="M43" s="17"/>
      <c r="N43" s="17"/>
      <c r="O43" s="17"/>
      <c r="P43" s="17"/>
      <c r="Q43" s="9" t="e">
        <f t="shared" si="23"/>
        <v>#DIV/0!</v>
      </c>
      <c r="R43" s="17"/>
      <c r="S43" s="17"/>
      <c r="T43" s="17"/>
      <c r="U43" s="17"/>
      <c r="V43" s="17"/>
      <c r="W43" s="9" t="e">
        <f t="shared" si="7"/>
        <v>#DIV/0!</v>
      </c>
      <c r="X43" s="233"/>
      <c r="Y43" s="234"/>
      <c r="Z43" s="9" t="str">
        <f t="shared" si="8"/>
        <v>0</v>
      </c>
      <c r="AA43" s="7" t="e">
        <f t="shared" si="0"/>
        <v>#DIV/0!</v>
      </c>
      <c r="AB43" s="365"/>
      <c r="AC43" s="17"/>
      <c r="AD43" s="17"/>
      <c r="AE43" s="17"/>
      <c r="AF43" s="17"/>
      <c r="AG43" s="17"/>
      <c r="AH43" s="9" t="e">
        <f t="shared" si="9"/>
        <v>#DIV/0!</v>
      </c>
      <c r="AI43" s="17"/>
      <c r="AJ43" s="17"/>
      <c r="AK43" s="17"/>
      <c r="AL43" s="17"/>
      <c r="AM43" s="17"/>
      <c r="AN43" s="9" t="e">
        <f t="shared" si="10"/>
        <v>#DIV/0!</v>
      </c>
      <c r="AO43" s="17"/>
      <c r="AP43" s="17"/>
      <c r="AQ43" s="17"/>
      <c r="AR43" s="17"/>
      <c r="AS43" s="17"/>
      <c r="AT43" s="9" t="e">
        <f t="shared" si="11"/>
        <v>#DIV/0!</v>
      </c>
      <c r="AU43" s="208"/>
      <c r="AV43" s="209"/>
      <c r="AW43" s="9" t="str">
        <f t="shared" si="12"/>
        <v>0</v>
      </c>
      <c r="AX43" s="7" t="e">
        <f t="shared" si="1"/>
        <v>#DIV/0!</v>
      </c>
      <c r="AY43" s="18" t="e">
        <f t="shared" si="1"/>
        <v>#DIV/0!</v>
      </c>
      <c r="AZ43" s="231" t="e">
        <f t="shared" ref="AZ43" si="45">IF(BP43&gt;=4.5, " 5 ", IF(BP43&gt;=3.5," 4 ",IF(BP43&gt;=2.5," 3  ",IF(BP43&gt;=1.5," 2 ",IF(BP43&gt;=1,"1 ",IF(BP43&gt;=0,"0"))))))</f>
        <v>#DIV/0!</v>
      </c>
      <c r="BA43" s="4" t="e">
        <f t="shared" si="2"/>
        <v>#DIV/0!</v>
      </c>
      <c r="BB43" s="4" t="e">
        <f t="shared" si="13"/>
        <v>#DIV/0!</v>
      </c>
      <c r="BC43" s="4" t="e">
        <f t="shared" si="14"/>
        <v>#DIV/0!</v>
      </c>
      <c r="BD43" s="4">
        <f t="shared" si="15"/>
        <v>0</v>
      </c>
      <c r="BE43" s="12" t="e">
        <f t="shared" si="3"/>
        <v>#DIV/0!</v>
      </c>
      <c r="BF43" s="4" t="e">
        <f t="shared" si="16"/>
        <v>#DIV/0!</v>
      </c>
      <c r="BG43" s="4" t="e">
        <f t="shared" si="17"/>
        <v>#DIV/0!</v>
      </c>
      <c r="BH43" s="4" t="e">
        <f t="shared" si="18"/>
        <v>#DIV/0!</v>
      </c>
      <c r="BI43" s="4">
        <f t="shared" si="19"/>
        <v>0</v>
      </c>
      <c r="BJ43" s="12" t="e">
        <f t="shared" si="4"/>
        <v>#DIV/0!</v>
      </c>
      <c r="BK43" s="12" t="e">
        <f t="shared" si="5"/>
        <v>#DIV/0!</v>
      </c>
      <c r="BL43" s="12" t="e">
        <f>(BE43+BJ43)/2</f>
        <v>#DIV/0!</v>
      </c>
      <c r="BM43" s="10" t="e">
        <f t="shared" si="21"/>
        <v>#DIV/0!</v>
      </c>
      <c r="BN43" s="176" t="e">
        <f t="shared" si="35"/>
        <v>#DIV/0!</v>
      </c>
      <c r="BO43" s="12"/>
      <c r="BP43" s="11" t="e">
        <f t="shared" si="25"/>
        <v>#DIV/0!</v>
      </c>
      <c r="BQ43" s="6"/>
      <c r="BR43" s="6"/>
    </row>
    <row r="44" spans="1:70" ht="20.25" customHeight="1" thickBot="1">
      <c r="A44" s="333"/>
      <c r="B44" s="324"/>
      <c r="C44" s="324"/>
      <c r="D44" s="323"/>
      <c r="E44" s="23">
        <v>2</v>
      </c>
      <c r="F44" s="17"/>
      <c r="G44" s="17"/>
      <c r="H44" s="17"/>
      <c r="I44" s="17"/>
      <c r="J44" s="17"/>
      <c r="K44" s="8" t="e">
        <f t="shared" si="6"/>
        <v>#DIV/0!</v>
      </c>
      <c r="L44" s="17"/>
      <c r="M44" s="17"/>
      <c r="N44" s="17"/>
      <c r="O44" s="17"/>
      <c r="P44" s="17"/>
      <c r="Q44" s="9" t="e">
        <f t="shared" si="23"/>
        <v>#DIV/0!</v>
      </c>
      <c r="R44" s="17"/>
      <c r="S44" s="17"/>
      <c r="T44" s="17"/>
      <c r="U44" s="17"/>
      <c r="V44" s="17"/>
      <c r="W44" s="9" t="e">
        <f t="shared" si="7"/>
        <v>#DIV/0!</v>
      </c>
      <c r="X44" s="233"/>
      <c r="Y44" s="234"/>
      <c r="Z44" s="9" t="str">
        <f t="shared" si="8"/>
        <v>0</v>
      </c>
      <c r="AA44" s="7" t="e">
        <f t="shared" si="0"/>
        <v>#DIV/0!</v>
      </c>
      <c r="AB44" s="365"/>
      <c r="AC44" s="17"/>
      <c r="AD44" s="17"/>
      <c r="AE44" s="17"/>
      <c r="AF44" s="17"/>
      <c r="AG44" s="17"/>
      <c r="AH44" s="9" t="e">
        <f t="shared" si="9"/>
        <v>#DIV/0!</v>
      </c>
      <c r="AI44" s="17"/>
      <c r="AJ44" s="17"/>
      <c r="AK44" s="17"/>
      <c r="AL44" s="17"/>
      <c r="AM44" s="17"/>
      <c r="AN44" s="9" t="e">
        <f t="shared" si="10"/>
        <v>#DIV/0!</v>
      </c>
      <c r="AO44" s="17"/>
      <c r="AP44" s="17"/>
      <c r="AQ44" s="17"/>
      <c r="AR44" s="17"/>
      <c r="AS44" s="17"/>
      <c r="AT44" s="9" t="e">
        <f t="shared" si="11"/>
        <v>#DIV/0!</v>
      </c>
      <c r="AU44" s="208"/>
      <c r="AV44" s="209"/>
      <c r="AW44" s="9" t="str">
        <f t="shared" si="12"/>
        <v>0</v>
      </c>
      <c r="AX44" s="7" t="e">
        <f t="shared" si="1"/>
        <v>#DIV/0!</v>
      </c>
      <c r="AY44" s="18" t="e">
        <f t="shared" si="1"/>
        <v>#DIV/0!</v>
      </c>
      <c r="AZ44" s="232"/>
      <c r="BA44" s="4" t="e">
        <f t="shared" si="2"/>
        <v>#DIV/0!</v>
      </c>
      <c r="BB44" s="4" t="e">
        <f t="shared" si="13"/>
        <v>#DIV/0!</v>
      </c>
      <c r="BC44" s="4" t="e">
        <f t="shared" si="14"/>
        <v>#DIV/0!</v>
      </c>
      <c r="BD44" s="4">
        <f t="shared" si="15"/>
        <v>0</v>
      </c>
      <c r="BE44" s="12" t="e">
        <f t="shared" si="3"/>
        <v>#DIV/0!</v>
      </c>
      <c r="BF44" s="4" t="e">
        <f t="shared" si="16"/>
        <v>#DIV/0!</v>
      </c>
      <c r="BG44" s="4" t="e">
        <f t="shared" si="17"/>
        <v>#DIV/0!</v>
      </c>
      <c r="BH44" s="4" t="e">
        <f t="shared" si="18"/>
        <v>#DIV/0!</v>
      </c>
      <c r="BI44" s="4">
        <f t="shared" si="19"/>
        <v>0</v>
      </c>
      <c r="BJ44" s="12" t="e">
        <f t="shared" si="4"/>
        <v>#DIV/0!</v>
      </c>
      <c r="BK44" s="12" t="e">
        <f t="shared" si="5"/>
        <v>#DIV/0!</v>
      </c>
      <c r="BL44" s="12"/>
      <c r="BM44" s="10"/>
      <c r="BN44" s="176"/>
      <c r="BO44" s="12" t="e">
        <f t="shared" si="20"/>
        <v>#DIV/0!</v>
      </c>
      <c r="BP44" s="11"/>
      <c r="BQ44" s="6"/>
      <c r="BR44" s="6"/>
    </row>
    <row r="45" spans="1:70" ht="20.25" customHeight="1">
      <c r="A45" s="332">
        <v>17</v>
      </c>
      <c r="B45" s="324"/>
      <c r="C45" s="324"/>
      <c r="D45" s="323"/>
      <c r="E45" s="22">
        <v>1</v>
      </c>
      <c r="F45" s="17"/>
      <c r="G45" s="17"/>
      <c r="H45" s="17"/>
      <c r="I45" s="17"/>
      <c r="J45" s="17"/>
      <c r="K45" s="8" t="e">
        <f t="shared" si="6"/>
        <v>#DIV/0!</v>
      </c>
      <c r="L45" s="17"/>
      <c r="M45" s="17"/>
      <c r="N45" s="17"/>
      <c r="O45" s="17"/>
      <c r="P45" s="17"/>
      <c r="Q45" s="9" t="e">
        <f t="shared" si="23"/>
        <v>#DIV/0!</v>
      </c>
      <c r="R45" s="17"/>
      <c r="S45" s="17"/>
      <c r="T45" s="17"/>
      <c r="U45" s="17"/>
      <c r="V45" s="17"/>
      <c r="W45" s="9" t="e">
        <f t="shared" si="7"/>
        <v>#DIV/0!</v>
      </c>
      <c r="X45" s="233"/>
      <c r="Y45" s="234"/>
      <c r="Z45" s="9" t="str">
        <f t="shared" si="8"/>
        <v>0</v>
      </c>
      <c r="AA45" s="7" t="e">
        <f t="shared" si="0"/>
        <v>#DIV/0!</v>
      </c>
      <c r="AB45" s="365"/>
      <c r="AC45" s="17"/>
      <c r="AD45" s="17"/>
      <c r="AE45" s="17"/>
      <c r="AF45" s="17"/>
      <c r="AG45" s="17"/>
      <c r="AH45" s="9" t="e">
        <f t="shared" si="9"/>
        <v>#DIV/0!</v>
      </c>
      <c r="AI45" s="17"/>
      <c r="AJ45" s="17"/>
      <c r="AK45" s="17"/>
      <c r="AL45" s="17"/>
      <c r="AM45" s="17"/>
      <c r="AN45" s="9" t="e">
        <f t="shared" si="10"/>
        <v>#DIV/0!</v>
      </c>
      <c r="AO45" s="17"/>
      <c r="AP45" s="17"/>
      <c r="AQ45" s="17"/>
      <c r="AR45" s="17"/>
      <c r="AS45" s="17"/>
      <c r="AT45" s="9" t="e">
        <f t="shared" si="11"/>
        <v>#DIV/0!</v>
      </c>
      <c r="AU45" s="208"/>
      <c r="AV45" s="209"/>
      <c r="AW45" s="9" t="str">
        <f t="shared" si="12"/>
        <v>0</v>
      </c>
      <c r="AX45" s="7" t="e">
        <f t="shared" si="1"/>
        <v>#DIV/0!</v>
      </c>
      <c r="AY45" s="18" t="e">
        <f t="shared" si="1"/>
        <v>#DIV/0!</v>
      </c>
      <c r="AZ45" s="231" t="e">
        <f t="shared" ref="AZ45" si="46">IF(BP45&gt;=4.5, " 5 ", IF(BP45&gt;=3.5," 4 ",IF(BP45&gt;=2.5," 3  ",IF(BP45&gt;=1.5," 2 ",IF(BP45&gt;=1,"1 ",IF(BP45&gt;=0,"0"))))))</f>
        <v>#DIV/0!</v>
      </c>
      <c r="BA45" s="4" t="e">
        <f t="shared" si="2"/>
        <v>#DIV/0!</v>
      </c>
      <c r="BB45" s="4" t="e">
        <f t="shared" si="13"/>
        <v>#DIV/0!</v>
      </c>
      <c r="BC45" s="4" t="e">
        <f t="shared" si="14"/>
        <v>#DIV/0!</v>
      </c>
      <c r="BD45" s="4">
        <f t="shared" si="15"/>
        <v>0</v>
      </c>
      <c r="BE45" s="12" t="e">
        <f t="shared" si="3"/>
        <v>#DIV/0!</v>
      </c>
      <c r="BF45" s="4" t="e">
        <f t="shared" si="16"/>
        <v>#DIV/0!</v>
      </c>
      <c r="BG45" s="4" t="e">
        <f t="shared" si="17"/>
        <v>#DIV/0!</v>
      </c>
      <c r="BH45" s="4" t="e">
        <f t="shared" si="18"/>
        <v>#DIV/0!</v>
      </c>
      <c r="BI45" s="4">
        <f t="shared" si="19"/>
        <v>0</v>
      </c>
      <c r="BJ45" s="12" t="e">
        <f t="shared" si="4"/>
        <v>#DIV/0!</v>
      </c>
      <c r="BK45" s="12" t="e">
        <f t="shared" si="5"/>
        <v>#DIV/0!</v>
      </c>
      <c r="BL45" s="12" t="e">
        <f>(BE45+BJ45)/2</f>
        <v>#DIV/0!</v>
      </c>
      <c r="BM45" s="10" t="e">
        <f t="shared" si="21"/>
        <v>#DIV/0!</v>
      </c>
      <c r="BN45" s="176" t="e">
        <f t="shared" ref="BN45" si="47">ROUND(BO46,)</f>
        <v>#DIV/0!</v>
      </c>
      <c r="BO45" s="12"/>
      <c r="BP45" s="11" t="e">
        <f t="shared" si="25"/>
        <v>#DIV/0!</v>
      </c>
      <c r="BQ45" s="6"/>
      <c r="BR45" s="6"/>
    </row>
    <row r="46" spans="1:70" ht="20.25" customHeight="1" thickBot="1">
      <c r="A46" s="333"/>
      <c r="B46" s="324"/>
      <c r="C46" s="324"/>
      <c r="D46" s="323"/>
      <c r="E46" s="23">
        <v>2</v>
      </c>
      <c r="F46" s="17"/>
      <c r="G46" s="17"/>
      <c r="H46" s="17"/>
      <c r="I46" s="17"/>
      <c r="J46" s="17"/>
      <c r="K46" s="8" t="e">
        <f t="shared" si="6"/>
        <v>#DIV/0!</v>
      </c>
      <c r="L46" s="17"/>
      <c r="M46" s="17"/>
      <c r="N46" s="17"/>
      <c r="O46" s="17"/>
      <c r="P46" s="17"/>
      <c r="Q46" s="9" t="e">
        <f t="shared" si="23"/>
        <v>#DIV/0!</v>
      </c>
      <c r="R46" s="17"/>
      <c r="S46" s="17"/>
      <c r="T46" s="17"/>
      <c r="U46" s="17"/>
      <c r="V46" s="17"/>
      <c r="W46" s="9" t="e">
        <f t="shared" si="7"/>
        <v>#DIV/0!</v>
      </c>
      <c r="X46" s="233"/>
      <c r="Y46" s="234"/>
      <c r="Z46" s="9" t="str">
        <f t="shared" si="8"/>
        <v>0</v>
      </c>
      <c r="AA46" s="7" t="e">
        <f t="shared" si="0"/>
        <v>#DIV/0!</v>
      </c>
      <c r="AB46" s="365"/>
      <c r="AC46" s="17"/>
      <c r="AD46" s="17"/>
      <c r="AE46" s="17"/>
      <c r="AF46" s="17"/>
      <c r="AG46" s="17"/>
      <c r="AH46" s="9" t="e">
        <f t="shared" si="9"/>
        <v>#DIV/0!</v>
      </c>
      <c r="AI46" s="17"/>
      <c r="AJ46" s="17"/>
      <c r="AK46" s="17"/>
      <c r="AL46" s="17"/>
      <c r="AM46" s="17"/>
      <c r="AN46" s="9" t="e">
        <f t="shared" si="10"/>
        <v>#DIV/0!</v>
      </c>
      <c r="AO46" s="17"/>
      <c r="AP46" s="17"/>
      <c r="AQ46" s="17"/>
      <c r="AR46" s="17"/>
      <c r="AS46" s="17"/>
      <c r="AT46" s="9" t="e">
        <f t="shared" si="11"/>
        <v>#DIV/0!</v>
      </c>
      <c r="AU46" s="208"/>
      <c r="AV46" s="209"/>
      <c r="AW46" s="9" t="str">
        <f t="shared" si="12"/>
        <v>0</v>
      </c>
      <c r="AX46" s="7" t="e">
        <f t="shared" si="1"/>
        <v>#DIV/0!</v>
      </c>
      <c r="AY46" s="18" t="e">
        <f t="shared" si="1"/>
        <v>#DIV/0!</v>
      </c>
      <c r="AZ46" s="232"/>
      <c r="BA46" s="4" t="e">
        <f t="shared" si="2"/>
        <v>#DIV/0!</v>
      </c>
      <c r="BB46" s="4" t="e">
        <f t="shared" si="13"/>
        <v>#DIV/0!</v>
      </c>
      <c r="BC46" s="4" t="e">
        <f t="shared" si="14"/>
        <v>#DIV/0!</v>
      </c>
      <c r="BD46" s="4">
        <f t="shared" si="15"/>
        <v>0</v>
      </c>
      <c r="BE46" s="12" t="e">
        <f t="shared" si="3"/>
        <v>#DIV/0!</v>
      </c>
      <c r="BF46" s="4" t="e">
        <f t="shared" si="16"/>
        <v>#DIV/0!</v>
      </c>
      <c r="BG46" s="4" t="e">
        <f t="shared" si="17"/>
        <v>#DIV/0!</v>
      </c>
      <c r="BH46" s="4" t="e">
        <f t="shared" si="18"/>
        <v>#DIV/0!</v>
      </c>
      <c r="BI46" s="4">
        <f t="shared" si="19"/>
        <v>0</v>
      </c>
      <c r="BJ46" s="12" t="e">
        <f t="shared" si="4"/>
        <v>#DIV/0!</v>
      </c>
      <c r="BK46" s="12" t="e">
        <f t="shared" si="5"/>
        <v>#DIV/0!</v>
      </c>
      <c r="BL46" s="12"/>
      <c r="BM46" s="10"/>
      <c r="BN46" s="176"/>
      <c r="BO46" s="12" t="e">
        <f t="shared" si="20"/>
        <v>#DIV/0!</v>
      </c>
      <c r="BP46" s="11"/>
      <c r="BQ46" s="6"/>
      <c r="BR46" s="6"/>
    </row>
    <row r="47" spans="1:70" ht="20.25" customHeight="1">
      <c r="A47" s="332">
        <v>18</v>
      </c>
      <c r="B47" s="324"/>
      <c r="C47" s="324"/>
      <c r="D47" s="323"/>
      <c r="E47" s="22">
        <v>1</v>
      </c>
      <c r="F47" s="17"/>
      <c r="G47" s="17"/>
      <c r="H47" s="17"/>
      <c r="I47" s="17"/>
      <c r="J47" s="17"/>
      <c r="K47" s="8" t="e">
        <f t="shared" si="6"/>
        <v>#DIV/0!</v>
      </c>
      <c r="L47" s="17"/>
      <c r="M47" s="17"/>
      <c r="N47" s="17"/>
      <c r="O47" s="17"/>
      <c r="P47" s="17"/>
      <c r="Q47" s="9" t="e">
        <f t="shared" si="23"/>
        <v>#DIV/0!</v>
      </c>
      <c r="R47" s="17"/>
      <c r="S47" s="17"/>
      <c r="T47" s="17"/>
      <c r="U47" s="17"/>
      <c r="V47" s="17"/>
      <c r="W47" s="9" t="e">
        <f t="shared" si="7"/>
        <v>#DIV/0!</v>
      </c>
      <c r="X47" s="233"/>
      <c r="Y47" s="234"/>
      <c r="Z47" s="9" t="str">
        <f t="shared" si="8"/>
        <v>0</v>
      </c>
      <c r="AA47" s="7" t="e">
        <f t="shared" si="0"/>
        <v>#DIV/0!</v>
      </c>
      <c r="AB47" s="365"/>
      <c r="AC47" s="17"/>
      <c r="AD47" s="17"/>
      <c r="AE47" s="17"/>
      <c r="AF47" s="17"/>
      <c r="AG47" s="17"/>
      <c r="AH47" s="9" t="e">
        <f t="shared" si="9"/>
        <v>#DIV/0!</v>
      </c>
      <c r="AI47" s="17"/>
      <c r="AJ47" s="17"/>
      <c r="AK47" s="17"/>
      <c r="AL47" s="17"/>
      <c r="AM47" s="17"/>
      <c r="AN47" s="9" t="e">
        <f t="shared" si="10"/>
        <v>#DIV/0!</v>
      </c>
      <c r="AO47" s="17"/>
      <c r="AP47" s="17"/>
      <c r="AQ47" s="17"/>
      <c r="AR47" s="17"/>
      <c r="AS47" s="17"/>
      <c r="AT47" s="9" t="e">
        <f t="shared" si="11"/>
        <v>#DIV/0!</v>
      </c>
      <c r="AU47" s="208"/>
      <c r="AV47" s="209"/>
      <c r="AW47" s="9" t="str">
        <f t="shared" si="12"/>
        <v>0</v>
      </c>
      <c r="AX47" s="7" t="e">
        <f t="shared" si="1"/>
        <v>#DIV/0!</v>
      </c>
      <c r="AY47" s="18" t="e">
        <f t="shared" si="1"/>
        <v>#DIV/0!</v>
      </c>
      <c r="AZ47" s="231" t="e">
        <f t="shared" ref="AZ47" si="48">IF(BP47&gt;=4.5, " 5 ", IF(BP47&gt;=3.5," 4 ",IF(BP47&gt;=2.5," 3  ",IF(BP47&gt;=1.5," 2 ",IF(BP47&gt;=1,"1 ",IF(BP47&gt;=0,"0"))))))</f>
        <v>#DIV/0!</v>
      </c>
      <c r="BA47" s="4" t="e">
        <f t="shared" si="2"/>
        <v>#DIV/0!</v>
      </c>
      <c r="BB47" s="4" t="e">
        <f t="shared" si="13"/>
        <v>#DIV/0!</v>
      </c>
      <c r="BC47" s="4" t="e">
        <f t="shared" si="14"/>
        <v>#DIV/0!</v>
      </c>
      <c r="BD47" s="4">
        <f t="shared" si="15"/>
        <v>0</v>
      </c>
      <c r="BE47" s="12" t="e">
        <f t="shared" si="3"/>
        <v>#DIV/0!</v>
      </c>
      <c r="BF47" s="4" t="e">
        <f t="shared" si="16"/>
        <v>#DIV/0!</v>
      </c>
      <c r="BG47" s="4" t="e">
        <f t="shared" si="17"/>
        <v>#DIV/0!</v>
      </c>
      <c r="BH47" s="4" t="e">
        <f t="shared" si="18"/>
        <v>#DIV/0!</v>
      </c>
      <c r="BI47" s="4">
        <f t="shared" si="19"/>
        <v>0</v>
      </c>
      <c r="BJ47" s="12" t="e">
        <f t="shared" si="4"/>
        <v>#DIV/0!</v>
      </c>
      <c r="BK47" s="12" t="e">
        <f t="shared" si="5"/>
        <v>#DIV/0!</v>
      </c>
      <c r="BL47" s="12" t="e">
        <f>(BE47+BJ47)/2</f>
        <v>#DIV/0!</v>
      </c>
      <c r="BM47" s="10" t="e">
        <f t="shared" si="21"/>
        <v>#DIV/0!</v>
      </c>
      <c r="BN47" s="176" t="e">
        <f t="shared" si="31"/>
        <v>#DIV/0!</v>
      </c>
      <c r="BO47" s="12"/>
      <c r="BP47" s="11" t="e">
        <f t="shared" si="25"/>
        <v>#DIV/0!</v>
      </c>
      <c r="BQ47" s="6"/>
      <c r="BR47" s="6"/>
    </row>
    <row r="48" spans="1:70" ht="20.25" customHeight="1" thickBot="1">
      <c r="A48" s="333"/>
      <c r="B48" s="324"/>
      <c r="C48" s="324"/>
      <c r="D48" s="323"/>
      <c r="E48" s="23">
        <v>2</v>
      </c>
      <c r="F48" s="17"/>
      <c r="G48" s="17"/>
      <c r="H48" s="17"/>
      <c r="I48" s="17"/>
      <c r="J48" s="17"/>
      <c r="K48" s="8" t="e">
        <f t="shared" si="6"/>
        <v>#DIV/0!</v>
      </c>
      <c r="L48" s="17"/>
      <c r="M48" s="17"/>
      <c r="N48" s="17"/>
      <c r="O48" s="17"/>
      <c r="P48" s="17"/>
      <c r="Q48" s="9" t="e">
        <f t="shared" si="23"/>
        <v>#DIV/0!</v>
      </c>
      <c r="R48" s="17"/>
      <c r="S48" s="17"/>
      <c r="T48" s="17"/>
      <c r="U48" s="17"/>
      <c r="V48" s="17"/>
      <c r="W48" s="9" t="e">
        <f t="shared" si="7"/>
        <v>#DIV/0!</v>
      </c>
      <c r="X48" s="233"/>
      <c r="Y48" s="234"/>
      <c r="Z48" s="9" t="str">
        <f t="shared" si="8"/>
        <v>0</v>
      </c>
      <c r="AA48" s="7" t="e">
        <f t="shared" si="0"/>
        <v>#DIV/0!</v>
      </c>
      <c r="AB48" s="365"/>
      <c r="AC48" s="17"/>
      <c r="AD48" s="17"/>
      <c r="AE48" s="17"/>
      <c r="AF48" s="17"/>
      <c r="AG48" s="17"/>
      <c r="AH48" s="9" t="e">
        <f t="shared" si="9"/>
        <v>#DIV/0!</v>
      </c>
      <c r="AI48" s="17"/>
      <c r="AJ48" s="17"/>
      <c r="AK48" s="17"/>
      <c r="AL48" s="17"/>
      <c r="AM48" s="17"/>
      <c r="AN48" s="9" t="e">
        <f t="shared" si="10"/>
        <v>#DIV/0!</v>
      </c>
      <c r="AO48" s="17"/>
      <c r="AP48" s="17"/>
      <c r="AQ48" s="17"/>
      <c r="AR48" s="17"/>
      <c r="AS48" s="17"/>
      <c r="AT48" s="9" t="e">
        <f t="shared" si="11"/>
        <v>#DIV/0!</v>
      </c>
      <c r="AU48" s="208"/>
      <c r="AV48" s="209"/>
      <c r="AW48" s="9" t="str">
        <f t="shared" si="12"/>
        <v>0</v>
      </c>
      <c r="AX48" s="7" t="e">
        <f t="shared" si="1"/>
        <v>#DIV/0!</v>
      </c>
      <c r="AY48" s="18" t="e">
        <f t="shared" si="1"/>
        <v>#DIV/0!</v>
      </c>
      <c r="AZ48" s="232"/>
      <c r="BA48" s="4" t="e">
        <f t="shared" si="2"/>
        <v>#DIV/0!</v>
      </c>
      <c r="BB48" s="4" t="e">
        <f t="shared" si="13"/>
        <v>#DIV/0!</v>
      </c>
      <c r="BC48" s="4" t="e">
        <f t="shared" si="14"/>
        <v>#DIV/0!</v>
      </c>
      <c r="BD48" s="4">
        <f t="shared" si="15"/>
        <v>0</v>
      </c>
      <c r="BE48" s="12" t="e">
        <f t="shared" si="3"/>
        <v>#DIV/0!</v>
      </c>
      <c r="BF48" s="4" t="e">
        <f t="shared" si="16"/>
        <v>#DIV/0!</v>
      </c>
      <c r="BG48" s="4" t="e">
        <f t="shared" si="17"/>
        <v>#DIV/0!</v>
      </c>
      <c r="BH48" s="4" t="e">
        <f t="shared" si="18"/>
        <v>#DIV/0!</v>
      </c>
      <c r="BI48" s="4">
        <f t="shared" si="19"/>
        <v>0</v>
      </c>
      <c r="BJ48" s="12" t="e">
        <f t="shared" si="4"/>
        <v>#DIV/0!</v>
      </c>
      <c r="BK48" s="12" t="e">
        <f t="shared" si="5"/>
        <v>#DIV/0!</v>
      </c>
      <c r="BL48" s="12"/>
      <c r="BM48" s="10"/>
      <c r="BN48" s="176"/>
      <c r="BO48" s="12" t="e">
        <f t="shared" si="20"/>
        <v>#DIV/0!</v>
      </c>
      <c r="BP48" s="11"/>
      <c r="BQ48" s="6"/>
      <c r="BR48" s="6"/>
    </row>
    <row r="49" spans="1:70" ht="20.25" customHeight="1">
      <c r="A49" s="332">
        <v>19</v>
      </c>
      <c r="B49" s="324"/>
      <c r="C49" s="324"/>
      <c r="D49" s="323"/>
      <c r="E49" s="22">
        <v>1</v>
      </c>
      <c r="F49" s="17"/>
      <c r="G49" s="17"/>
      <c r="H49" s="17"/>
      <c r="I49" s="17"/>
      <c r="J49" s="17"/>
      <c r="K49" s="8" t="e">
        <f t="shared" si="6"/>
        <v>#DIV/0!</v>
      </c>
      <c r="L49" s="17"/>
      <c r="M49" s="17"/>
      <c r="N49" s="17"/>
      <c r="O49" s="17"/>
      <c r="P49" s="17"/>
      <c r="Q49" s="9" t="e">
        <f t="shared" si="23"/>
        <v>#DIV/0!</v>
      </c>
      <c r="R49" s="17"/>
      <c r="S49" s="17"/>
      <c r="T49" s="17"/>
      <c r="U49" s="17"/>
      <c r="V49" s="17"/>
      <c r="W49" s="9" t="e">
        <f t="shared" si="7"/>
        <v>#DIV/0!</v>
      </c>
      <c r="X49" s="233"/>
      <c r="Y49" s="234"/>
      <c r="Z49" s="9" t="str">
        <f t="shared" si="8"/>
        <v>0</v>
      </c>
      <c r="AA49" s="7" t="e">
        <f t="shared" si="0"/>
        <v>#DIV/0!</v>
      </c>
      <c r="AB49" s="365"/>
      <c r="AC49" s="17"/>
      <c r="AD49" s="17"/>
      <c r="AE49" s="17"/>
      <c r="AF49" s="17"/>
      <c r="AG49" s="17"/>
      <c r="AH49" s="9" t="e">
        <f t="shared" si="9"/>
        <v>#DIV/0!</v>
      </c>
      <c r="AI49" s="17"/>
      <c r="AJ49" s="17"/>
      <c r="AK49" s="17"/>
      <c r="AL49" s="17"/>
      <c r="AM49" s="17"/>
      <c r="AN49" s="9" t="e">
        <f t="shared" si="10"/>
        <v>#DIV/0!</v>
      </c>
      <c r="AO49" s="17"/>
      <c r="AP49" s="17"/>
      <c r="AQ49" s="17"/>
      <c r="AR49" s="17"/>
      <c r="AS49" s="17"/>
      <c r="AT49" s="9" t="e">
        <f t="shared" si="11"/>
        <v>#DIV/0!</v>
      </c>
      <c r="AU49" s="208"/>
      <c r="AV49" s="209"/>
      <c r="AW49" s="9" t="str">
        <f t="shared" si="12"/>
        <v>0</v>
      </c>
      <c r="AX49" s="7" t="e">
        <f t="shared" si="1"/>
        <v>#DIV/0!</v>
      </c>
      <c r="AY49" s="18" t="e">
        <f t="shared" si="1"/>
        <v>#DIV/0!</v>
      </c>
      <c r="AZ49" s="231" t="e">
        <f t="shared" ref="AZ49" si="49">IF(BP49&gt;=4.5, " 5 ", IF(BP49&gt;=3.5," 4 ",IF(BP49&gt;=2.5," 3  ",IF(BP49&gt;=1.5," 2 ",IF(BP49&gt;=1,"1 ",IF(BP49&gt;=0,"0"))))))</f>
        <v>#DIV/0!</v>
      </c>
      <c r="BA49" s="4" t="e">
        <f t="shared" si="2"/>
        <v>#DIV/0!</v>
      </c>
      <c r="BB49" s="4" t="e">
        <f t="shared" si="13"/>
        <v>#DIV/0!</v>
      </c>
      <c r="BC49" s="4" t="e">
        <f t="shared" si="14"/>
        <v>#DIV/0!</v>
      </c>
      <c r="BD49" s="4">
        <f t="shared" si="15"/>
        <v>0</v>
      </c>
      <c r="BE49" s="12" t="e">
        <f t="shared" si="3"/>
        <v>#DIV/0!</v>
      </c>
      <c r="BF49" s="4" t="e">
        <f t="shared" si="16"/>
        <v>#DIV/0!</v>
      </c>
      <c r="BG49" s="4" t="e">
        <f t="shared" si="17"/>
        <v>#DIV/0!</v>
      </c>
      <c r="BH49" s="4" t="e">
        <f t="shared" si="18"/>
        <v>#DIV/0!</v>
      </c>
      <c r="BI49" s="4">
        <f t="shared" si="19"/>
        <v>0</v>
      </c>
      <c r="BJ49" s="12" t="e">
        <f t="shared" si="4"/>
        <v>#DIV/0!</v>
      </c>
      <c r="BK49" s="12" t="e">
        <f t="shared" si="5"/>
        <v>#DIV/0!</v>
      </c>
      <c r="BL49" s="12" t="e">
        <f>(BE49+BJ49)/2</f>
        <v>#DIV/0!</v>
      </c>
      <c r="BM49" s="10" t="e">
        <f t="shared" si="21"/>
        <v>#DIV/0!</v>
      </c>
      <c r="BN49" s="176" t="e">
        <f t="shared" si="33"/>
        <v>#DIV/0!</v>
      </c>
      <c r="BO49" s="12"/>
      <c r="BP49" s="11" t="e">
        <f t="shared" si="25"/>
        <v>#DIV/0!</v>
      </c>
      <c r="BQ49" s="6"/>
      <c r="BR49" s="6"/>
    </row>
    <row r="50" spans="1:70" ht="20.25" customHeight="1" thickBot="1">
      <c r="A50" s="333"/>
      <c r="B50" s="324"/>
      <c r="C50" s="324"/>
      <c r="D50" s="323"/>
      <c r="E50" s="23">
        <v>2</v>
      </c>
      <c r="F50" s="17"/>
      <c r="G50" s="17"/>
      <c r="H50" s="17"/>
      <c r="I50" s="17"/>
      <c r="J50" s="17"/>
      <c r="K50" s="8" t="e">
        <f t="shared" si="6"/>
        <v>#DIV/0!</v>
      </c>
      <c r="L50" s="17"/>
      <c r="M50" s="17"/>
      <c r="N50" s="17"/>
      <c r="O50" s="17"/>
      <c r="P50" s="17"/>
      <c r="Q50" s="9" t="e">
        <f t="shared" si="23"/>
        <v>#DIV/0!</v>
      </c>
      <c r="R50" s="17"/>
      <c r="S50" s="17"/>
      <c r="T50" s="17"/>
      <c r="U50" s="17"/>
      <c r="V50" s="17"/>
      <c r="W50" s="9" t="e">
        <f t="shared" si="7"/>
        <v>#DIV/0!</v>
      </c>
      <c r="X50" s="233"/>
      <c r="Y50" s="234"/>
      <c r="Z50" s="9" t="str">
        <f t="shared" si="8"/>
        <v>0</v>
      </c>
      <c r="AA50" s="7" t="e">
        <f t="shared" si="0"/>
        <v>#DIV/0!</v>
      </c>
      <c r="AB50" s="365"/>
      <c r="AC50" s="17"/>
      <c r="AD50" s="17"/>
      <c r="AE50" s="17"/>
      <c r="AF50" s="17"/>
      <c r="AG50" s="17"/>
      <c r="AH50" s="9" t="e">
        <f t="shared" si="9"/>
        <v>#DIV/0!</v>
      </c>
      <c r="AI50" s="17"/>
      <c r="AJ50" s="17"/>
      <c r="AK50" s="17"/>
      <c r="AL50" s="17"/>
      <c r="AM50" s="17"/>
      <c r="AN50" s="9" t="e">
        <f t="shared" si="10"/>
        <v>#DIV/0!</v>
      </c>
      <c r="AO50" s="17"/>
      <c r="AP50" s="17"/>
      <c r="AQ50" s="17"/>
      <c r="AR50" s="17"/>
      <c r="AS50" s="17"/>
      <c r="AT50" s="9" t="e">
        <f t="shared" si="11"/>
        <v>#DIV/0!</v>
      </c>
      <c r="AU50" s="208"/>
      <c r="AV50" s="209"/>
      <c r="AW50" s="9" t="str">
        <f t="shared" si="12"/>
        <v>0</v>
      </c>
      <c r="AX50" s="7" t="e">
        <f t="shared" si="1"/>
        <v>#DIV/0!</v>
      </c>
      <c r="AY50" s="18" t="e">
        <f t="shared" si="1"/>
        <v>#DIV/0!</v>
      </c>
      <c r="AZ50" s="232"/>
      <c r="BA50" s="4" t="e">
        <f t="shared" si="2"/>
        <v>#DIV/0!</v>
      </c>
      <c r="BB50" s="4" t="e">
        <f t="shared" si="13"/>
        <v>#DIV/0!</v>
      </c>
      <c r="BC50" s="4" t="e">
        <f t="shared" si="14"/>
        <v>#DIV/0!</v>
      </c>
      <c r="BD50" s="4">
        <f t="shared" si="15"/>
        <v>0</v>
      </c>
      <c r="BE50" s="12" t="e">
        <f t="shared" si="3"/>
        <v>#DIV/0!</v>
      </c>
      <c r="BF50" s="4" t="e">
        <f t="shared" si="16"/>
        <v>#DIV/0!</v>
      </c>
      <c r="BG50" s="4" t="e">
        <f t="shared" si="17"/>
        <v>#DIV/0!</v>
      </c>
      <c r="BH50" s="4" t="e">
        <f t="shared" si="18"/>
        <v>#DIV/0!</v>
      </c>
      <c r="BI50" s="4">
        <f t="shared" si="19"/>
        <v>0</v>
      </c>
      <c r="BJ50" s="12" t="e">
        <f t="shared" si="4"/>
        <v>#DIV/0!</v>
      </c>
      <c r="BK50" s="12" t="e">
        <f t="shared" si="5"/>
        <v>#DIV/0!</v>
      </c>
      <c r="BL50" s="12"/>
      <c r="BM50" s="10"/>
      <c r="BN50" s="176"/>
      <c r="BO50" s="12" t="e">
        <f t="shared" si="20"/>
        <v>#DIV/0!</v>
      </c>
      <c r="BP50" s="11"/>
      <c r="BQ50" s="6"/>
      <c r="BR50" s="6"/>
    </row>
    <row r="51" spans="1:70" ht="20.25" customHeight="1">
      <c r="A51" s="332">
        <v>20</v>
      </c>
      <c r="B51" s="324"/>
      <c r="C51" s="324"/>
      <c r="D51" s="323"/>
      <c r="E51" s="22">
        <v>1</v>
      </c>
      <c r="F51" s="17"/>
      <c r="G51" s="17"/>
      <c r="H51" s="17"/>
      <c r="I51" s="17"/>
      <c r="J51" s="17"/>
      <c r="K51" s="8" t="e">
        <f t="shared" si="6"/>
        <v>#DIV/0!</v>
      </c>
      <c r="L51" s="17"/>
      <c r="M51" s="17"/>
      <c r="N51" s="17"/>
      <c r="O51" s="17"/>
      <c r="P51" s="17"/>
      <c r="Q51" s="9" t="e">
        <f t="shared" si="23"/>
        <v>#DIV/0!</v>
      </c>
      <c r="R51" s="17"/>
      <c r="S51" s="17"/>
      <c r="T51" s="17"/>
      <c r="U51" s="17"/>
      <c r="V51" s="17"/>
      <c r="W51" s="9" t="e">
        <f t="shared" si="7"/>
        <v>#DIV/0!</v>
      </c>
      <c r="X51" s="233"/>
      <c r="Y51" s="234"/>
      <c r="Z51" s="9" t="str">
        <f t="shared" si="8"/>
        <v>0</v>
      </c>
      <c r="AA51" s="7" t="e">
        <f t="shared" si="0"/>
        <v>#DIV/0!</v>
      </c>
      <c r="AB51" s="365"/>
      <c r="AC51" s="17"/>
      <c r="AD51" s="17"/>
      <c r="AE51" s="17"/>
      <c r="AF51" s="17"/>
      <c r="AG51" s="17"/>
      <c r="AH51" s="9" t="e">
        <f t="shared" si="9"/>
        <v>#DIV/0!</v>
      </c>
      <c r="AI51" s="17"/>
      <c r="AJ51" s="17"/>
      <c r="AK51" s="17"/>
      <c r="AL51" s="17"/>
      <c r="AM51" s="17"/>
      <c r="AN51" s="9" t="e">
        <f t="shared" si="10"/>
        <v>#DIV/0!</v>
      </c>
      <c r="AO51" s="17"/>
      <c r="AP51" s="17"/>
      <c r="AQ51" s="17"/>
      <c r="AR51" s="17"/>
      <c r="AS51" s="17"/>
      <c r="AT51" s="9" t="e">
        <f t="shared" si="11"/>
        <v>#DIV/0!</v>
      </c>
      <c r="AU51" s="208"/>
      <c r="AV51" s="209"/>
      <c r="AW51" s="9" t="str">
        <f t="shared" si="12"/>
        <v>0</v>
      </c>
      <c r="AX51" s="7" t="e">
        <f t="shared" si="1"/>
        <v>#DIV/0!</v>
      </c>
      <c r="AY51" s="18" t="e">
        <f t="shared" si="1"/>
        <v>#DIV/0!</v>
      </c>
      <c r="AZ51" s="231" t="e">
        <f t="shared" ref="AZ51" si="50">IF(BP51&gt;=4.5, " 5 ", IF(BP51&gt;=3.5," 4 ",IF(BP51&gt;=2.5," 3  ",IF(BP51&gt;=1.5," 2 ",IF(BP51&gt;=1,"1 ",IF(BP51&gt;=0,"0"))))))</f>
        <v>#DIV/0!</v>
      </c>
      <c r="BA51" s="4" t="e">
        <f t="shared" si="2"/>
        <v>#DIV/0!</v>
      </c>
      <c r="BB51" s="4" t="e">
        <f t="shared" si="13"/>
        <v>#DIV/0!</v>
      </c>
      <c r="BC51" s="4" t="e">
        <f t="shared" si="14"/>
        <v>#DIV/0!</v>
      </c>
      <c r="BD51" s="4">
        <f t="shared" si="15"/>
        <v>0</v>
      </c>
      <c r="BE51" s="12" t="e">
        <f t="shared" si="3"/>
        <v>#DIV/0!</v>
      </c>
      <c r="BF51" s="4" t="e">
        <f t="shared" si="16"/>
        <v>#DIV/0!</v>
      </c>
      <c r="BG51" s="4" t="e">
        <f t="shared" si="17"/>
        <v>#DIV/0!</v>
      </c>
      <c r="BH51" s="4" t="e">
        <f t="shared" si="18"/>
        <v>#DIV/0!</v>
      </c>
      <c r="BI51" s="4">
        <f t="shared" si="19"/>
        <v>0</v>
      </c>
      <c r="BJ51" s="12" t="e">
        <f t="shared" si="4"/>
        <v>#DIV/0!</v>
      </c>
      <c r="BK51" s="12" t="e">
        <f t="shared" si="5"/>
        <v>#DIV/0!</v>
      </c>
      <c r="BL51" s="12" t="e">
        <f>(BE51+BJ51)/2</f>
        <v>#DIV/0!</v>
      </c>
      <c r="BM51" s="10" t="e">
        <f t="shared" si="21"/>
        <v>#DIV/0!</v>
      </c>
      <c r="BN51" s="176" t="e">
        <f t="shared" si="35"/>
        <v>#DIV/0!</v>
      </c>
      <c r="BO51" s="12"/>
      <c r="BP51" s="11" t="e">
        <f t="shared" si="25"/>
        <v>#DIV/0!</v>
      </c>
      <c r="BQ51" s="6"/>
      <c r="BR51" s="6"/>
    </row>
    <row r="52" spans="1:70" ht="20.25" customHeight="1" thickBot="1">
      <c r="A52" s="333"/>
      <c r="B52" s="324"/>
      <c r="C52" s="324"/>
      <c r="D52" s="323"/>
      <c r="E52" s="23">
        <v>2</v>
      </c>
      <c r="F52" s="17"/>
      <c r="G52" s="17"/>
      <c r="H52" s="17"/>
      <c r="I52" s="17"/>
      <c r="J52" s="17"/>
      <c r="K52" s="8" t="e">
        <f t="shared" si="6"/>
        <v>#DIV/0!</v>
      </c>
      <c r="L52" s="17"/>
      <c r="M52" s="17"/>
      <c r="N52" s="17"/>
      <c r="O52" s="17"/>
      <c r="P52" s="17"/>
      <c r="Q52" s="9" t="e">
        <f t="shared" si="23"/>
        <v>#DIV/0!</v>
      </c>
      <c r="R52" s="17"/>
      <c r="S52" s="17"/>
      <c r="T52" s="17"/>
      <c r="U52" s="17"/>
      <c r="V52" s="17"/>
      <c r="W52" s="9" t="e">
        <f t="shared" si="7"/>
        <v>#DIV/0!</v>
      </c>
      <c r="X52" s="233"/>
      <c r="Y52" s="234"/>
      <c r="Z52" s="9" t="str">
        <f t="shared" si="8"/>
        <v>0</v>
      </c>
      <c r="AA52" s="7" t="e">
        <f t="shared" si="0"/>
        <v>#DIV/0!</v>
      </c>
      <c r="AB52" s="365"/>
      <c r="AC52" s="17"/>
      <c r="AD52" s="17"/>
      <c r="AE52" s="17"/>
      <c r="AF52" s="17"/>
      <c r="AG52" s="17"/>
      <c r="AH52" s="9" t="e">
        <f t="shared" si="9"/>
        <v>#DIV/0!</v>
      </c>
      <c r="AI52" s="17"/>
      <c r="AJ52" s="17"/>
      <c r="AK52" s="17"/>
      <c r="AL52" s="17"/>
      <c r="AM52" s="17"/>
      <c r="AN52" s="9" t="e">
        <f t="shared" si="10"/>
        <v>#DIV/0!</v>
      </c>
      <c r="AO52" s="17"/>
      <c r="AP52" s="17"/>
      <c r="AQ52" s="17"/>
      <c r="AR52" s="17"/>
      <c r="AS52" s="17"/>
      <c r="AT52" s="9" t="e">
        <f t="shared" si="11"/>
        <v>#DIV/0!</v>
      </c>
      <c r="AU52" s="208"/>
      <c r="AV52" s="209"/>
      <c r="AW52" s="9" t="str">
        <f t="shared" si="12"/>
        <v>0</v>
      </c>
      <c r="AX52" s="7" t="e">
        <f t="shared" si="1"/>
        <v>#DIV/0!</v>
      </c>
      <c r="AY52" s="18" t="e">
        <f t="shared" si="1"/>
        <v>#DIV/0!</v>
      </c>
      <c r="AZ52" s="232"/>
      <c r="BA52" s="4" t="e">
        <f t="shared" si="2"/>
        <v>#DIV/0!</v>
      </c>
      <c r="BB52" s="4" t="e">
        <f t="shared" si="13"/>
        <v>#DIV/0!</v>
      </c>
      <c r="BC52" s="4" t="e">
        <f t="shared" si="14"/>
        <v>#DIV/0!</v>
      </c>
      <c r="BD52" s="4">
        <f t="shared" si="15"/>
        <v>0</v>
      </c>
      <c r="BE52" s="12" t="e">
        <f t="shared" si="3"/>
        <v>#DIV/0!</v>
      </c>
      <c r="BF52" s="4" t="e">
        <f t="shared" si="16"/>
        <v>#DIV/0!</v>
      </c>
      <c r="BG52" s="4" t="e">
        <f t="shared" si="17"/>
        <v>#DIV/0!</v>
      </c>
      <c r="BH52" s="4" t="e">
        <f t="shared" si="18"/>
        <v>#DIV/0!</v>
      </c>
      <c r="BI52" s="4">
        <f t="shared" si="19"/>
        <v>0</v>
      </c>
      <c r="BJ52" s="12" t="e">
        <f t="shared" si="4"/>
        <v>#DIV/0!</v>
      </c>
      <c r="BK52" s="12" t="e">
        <f t="shared" si="5"/>
        <v>#DIV/0!</v>
      </c>
      <c r="BL52" s="12"/>
      <c r="BM52" s="10"/>
      <c r="BN52" s="176"/>
      <c r="BO52" s="12" t="e">
        <f t="shared" si="20"/>
        <v>#DIV/0!</v>
      </c>
      <c r="BP52" s="11"/>
      <c r="BQ52" s="6"/>
      <c r="BR52" s="6"/>
    </row>
    <row r="53" spans="1:70" ht="20.25" customHeight="1">
      <c r="A53" s="332">
        <v>21</v>
      </c>
      <c r="B53" s="353"/>
      <c r="C53" s="353"/>
      <c r="D53" s="355"/>
      <c r="E53" s="22">
        <v>1</v>
      </c>
      <c r="F53" s="17"/>
      <c r="G53" s="17"/>
      <c r="H53" s="17"/>
      <c r="I53" s="17"/>
      <c r="J53" s="17"/>
      <c r="K53" s="8" t="e">
        <f t="shared" si="6"/>
        <v>#DIV/0!</v>
      </c>
      <c r="L53" s="17"/>
      <c r="M53" s="17"/>
      <c r="N53" s="17"/>
      <c r="O53" s="17"/>
      <c r="P53" s="17"/>
      <c r="Q53" s="9" t="e">
        <f t="shared" si="23"/>
        <v>#DIV/0!</v>
      </c>
      <c r="R53" s="17"/>
      <c r="S53" s="17"/>
      <c r="T53" s="17"/>
      <c r="U53" s="17"/>
      <c r="V53" s="17"/>
      <c r="W53" s="9" t="e">
        <f t="shared" si="7"/>
        <v>#DIV/0!</v>
      </c>
      <c r="X53" s="233"/>
      <c r="Y53" s="234"/>
      <c r="Z53" s="9" t="str">
        <f t="shared" si="8"/>
        <v>0</v>
      </c>
      <c r="AA53" s="7" t="e">
        <f t="shared" si="0"/>
        <v>#DIV/0!</v>
      </c>
      <c r="AB53" s="365"/>
      <c r="AC53" s="17"/>
      <c r="AD53" s="17"/>
      <c r="AE53" s="17"/>
      <c r="AF53" s="17"/>
      <c r="AG53" s="17"/>
      <c r="AH53" s="9" t="e">
        <f t="shared" si="9"/>
        <v>#DIV/0!</v>
      </c>
      <c r="AI53" s="17"/>
      <c r="AJ53" s="17"/>
      <c r="AK53" s="17"/>
      <c r="AL53" s="17"/>
      <c r="AM53" s="17"/>
      <c r="AN53" s="9" t="e">
        <f t="shared" si="10"/>
        <v>#DIV/0!</v>
      </c>
      <c r="AO53" s="17"/>
      <c r="AP53" s="17"/>
      <c r="AQ53" s="17"/>
      <c r="AR53" s="17"/>
      <c r="AS53" s="17"/>
      <c r="AT53" s="9" t="e">
        <f t="shared" si="11"/>
        <v>#DIV/0!</v>
      </c>
      <c r="AU53" s="208"/>
      <c r="AV53" s="209"/>
      <c r="AW53" s="9" t="str">
        <f t="shared" si="12"/>
        <v>0</v>
      </c>
      <c r="AX53" s="7" t="e">
        <f t="shared" si="1"/>
        <v>#DIV/0!</v>
      </c>
      <c r="AY53" s="18" t="e">
        <f t="shared" si="1"/>
        <v>#DIV/0!</v>
      </c>
      <c r="AZ53" s="231" t="e">
        <f t="shared" ref="AZ53" si="51">IF(BP53&gt;=4.5, " 5 ", IF(BP53&gt;=3.5," 4 ",IF(BP53&gt;=2.5," 3  ",IF(BP53&gt;=1.5," 2 ",IF(BP53&gt;=1,"1 ",IF(BP53&gt;=0,"0"))))))</f>
        <v>#DIV/0!</v>
      </c>
      <c r="BA53" s="4" t="e">
        <f t="shared" si="2"/>
        <v>#DIV/0!</v>
      </c>
      <c r="BB53" s="4" t="e">
        <f t="shared" si="13"/>
        <v>#DIV/0!</v>
      </c>
      <c r="BC53" s="4" t="e">
        <f t="shared" si="14"/>
        <v>#DIV/0!</v>
      </c>
      <c r="BD53" s="4">
        <f t="shared" si="15"/>
        <v>0</v>
      </c>
      <c r="BE53" s="12" t="e">
        <f t="shared" si="3"/>
        <v>#DIV/0!</v>
      </c>
      <c r="BF53" s="4" t="e">
        <f t="shared" si="16"/>
        <v>#DIV/0!</v>
      </c>
      <c r="BG53" s="4" t="e">
        <f t="shared" si="17"/>
        <v>#DIV/0!</v>
      </c>
      <c r="BH53" s="4" t="e">
        <f t="shared" si="18"/>
        <v>#DIV/0!</v>
      </c>
      <c r="BI53" s="4">
        <f t="shared" si="19"/>
        <v>0</v>
      </c>
      <c r="BJ53" s="12" t="e">
        <f t="shared" si="4"/>
        <v>#DIV/0!</v>
      </c>
      <c r="BK53" s="12" t="e">
        <f t="shared" si="5"/>
        <v>#DIV/0!</v>
      </c>
      <c r="BL53" s="12" t="e">
        <f>(BE53+BJ53)/2</f>
        <v>#DIV/0!</v>
      </c>
      <c r="BM53" s="10" t="e">
        <f t="shared" si="21"/>
        <v>#DIV/0!</v>
      </c>
      <c r="BN53" s="176" t="e">
        <f t="shared" ref="BN53" si="52">ROUND(BO54,)</f>
        <v>#DIV/0!</v>
      </c>
      <c r="BO53" s="12"/>
      <c r="BP53" s="11" t="e">
        <f t="shared" si="25"/>
        <v>#DIV/0!</v>
      </c>
      <c r="BQ53" s="6"/>
      <c r="BR53" s="6"/>
    </row>
    <row r="54" spans="1:70" ht="20.25" customHeight="1" thickBot="1">
      <c r="A54" s="333"/>
      <c r="B54" s="353"/>
      <c r="C54" s="353"/>
      <c r="D54" s="355"/>
      <c r="E54" s="23">
        <v>2</v>
      </c>
      <c r="F54" s="17"/>
      <c r="G54" s="17"/>
      <c r="H54" s="17"/>
      <c r="I54" s="17"/>
      <c r="J54" s="17"/>
      <c r="K54" s="8" t="e">
        <f t="shared" si="6"/>
        <v>#DIV/0!</v>
      </c>
      <c r="L54" s="17"/>
      <c r="M54" s="17"/>
      <c r="N54" s="17"/>
      <c r="O54" s="17"/>
      <c r="P54" s="17"/>
      <c r="Q54" s="9" t="e">
        <f t="shared" si="23"/>
        <v>#DIV/0!</v>
      </c>
      <c r="R54" s="17"/>
      <c r="S54" s="17"/>
      <c r="T54" s="17"/>
      <c r="U54" s="17"/>
      <c r="V54" s="17"/>
      <c r="W54" s="9" t="e">
        <f t="shared" si="7"/>
        <v>#DIV/0!</v>
      </c>
      <c r="X54" s="233"/>
      <c r="Y54" s="234"/>
      <c r="Z54" s="9" t="str">
        <f t="shared" si="8"/>
        <v>0</v>
      </c>
      <c r="AA54" s="7" t="e">
        <f t="shared" si="0"/>
        <v>#DIV/0!</v>
      </c>
      <c r="AB54" s="365"/>
      <c r="AC54" s="17"/>
      <c r="AD54" s="17"/>
      <c r="AE54" s="17"/>
      <c r="AF54" s="17"/>
      <c r="AG54" s="17"/>
      <c r="AH54" s="9" t="e">
        <f t="shared" si="9"/>
        <v>#DIV/0!</v>
      </c>
      <c r="AI54" s="17"/>
      <c r="AJ54" s="17"/>
      <c r="AK54" s="17"/>
      <c r="AL54" s="17"/>
      <c r="AM54" s="17"/>
      <c r="AN54" s="9" t="e">
        <f t="shared" si="10"/>
        <v>#DIV/0!</v>
      </c>
      <c r="AO54" s="17"/>
      <c r="AP54" s="17"/>
      <c r="AQ54" s="17"/>
      <c r="AR54" s="17"/>
      <c r="AS54" s="17"/>
      <c r="AT54" s="9" t="e">
        <f t="shared" si="11"/>
        <v>#DIV/0!</v>
      </c>
      <c r="AU54" s="208"/>
      <c r="AV54" s="209"/>
      <c r="AW54" s="9" t="str">
        <f t="shared" si="12"/>
        <v>0</v>
      </c>
      <c r="AX54" s="7" t="e">
        <f t="shared" si="1"/>
        <v>#DIV/0!</v>
      </c>
      <c r="AY54" s="18" t="e">
        <f t="shared" si="1"/>
        <v>#DIV/0!</v>
      </c>
      <c r="AZ54" s="232"/>
      <c r="BA54" s="4" t="e">
        <f t="shared" si="2"/>
        <v>#DIV/0!</v>
      </c>
      <c r="BB54" s="4" t="e">
        <f t="shared" si="13"/>
        <v>#DIV/0!</v>
      </c>
      <c r="BC54" s="4" t="e">
        <f t="shared" si="14"/>
        <v>#DIV/0!</v>
      </c>
      <c r="BD54" s="4">
        <f t="shared" si="15"/>
        <v>0</v>
      </c>
      <c r="BE54" s="12" t="e">
        <f t="shared" si="3"/>
        <v>#DIV/0!</v>
      </c>
      <c r="BF54" s="4" t="e">
        <f t="shared" si="16"/>
        <v>#DIV/0!</v>
      </c>
      <c r="BG54" s="4" t="e">
        <f t="shared" si="17"/>
        <v>#DIV/0!</v>
      </c>
      <c r="BH54" s="4" t="e">
        <f t="shared" si="18"/>
        <v>#DIV/0!</v>
      </c>
      <c r="BI54" s="4">
        <f t="shared" si="19"/>
        <v>0</v>
      </c>
      <c r="BJ54" s="12" t="e">
        <f t="shared" si="4"/>
        <v>#DIV/0!</v>
      </c>
      <c r="BK54" s="12" t="e">
        <f t="shared" si="5"/>
        <v>#DIV/0!</v>
      </c>
      <c r="BL54" s="12"/>
      <c r="BM54" s="10"/>
      <c r="BN54" s="176"/>
      <c r="BO54" s="12" t="e">
        <f t="shared" si="20"/>
        <v>#DIV/0!</v>
      </c>
      <c r="BP54" s="11"/>
      <c r="BQ54" s="6"/>
      <c r="BR54" s="6"/>
    </row>
    <row r="55" spans="1:70" ht="20.25" customHeight="1">
      <c r="A55" s="326">
        <v>22</v>
      </c>
      <c r="B55" s="353"/>
      <c r="C55" s="353"/>
      <c r="D55" s="355"/>
      <c r="E55" s="24">
        <v>1</v>
      </c>
      <c r="F55" s="17"/>
      <c r="G55" s="17"/>
      <c r="H55" s="17"/>
      <c r="I55" s="17"/>
      <c r="J55" s="17"/>
      <c r="K55" s="8" t="e">
        <f t="shared" si="6"/>
        <v>#DIV/0!</v>
      </c>
      <c r="L55" s="17"/>
      <c r="M55" s="17"/>
      <c r="N55" s="17"/>
      <c r="O55" s="17"/>
      <c r="P55" s="17"/>
      <c r="Q55" s="9" t="e">
        <f t="shared" si="23"/>
        <v>#DIV/0!</v>
      </c>
      <c r="R55" s="17"/>
      <c r="S55" s="17"/>
      <c r="T55" s="17"/>
      <c r="U55" s="17"/>
      <c r="V55" s="17"/>
      <c r="W55" s="9" t="e">
        <f t="shared" si="7"/>
        <v>#DIV/0!</v>
      </c>
      <c r="X55" s="233"/>
      <c r="Y55" s="234"/>
      <c r="Z55" s="9" t="str">
        <f t="shared" si="8"/>
        <v>0</v>
      </c>
      <c r="AA55" s="7" t="e">
        <f t="shared" si="0"/>
        <v>#DIV/0!</v>
      </c>
      <c r="AB55" s="365"/>
      <c r="AC55" s="17"/>
      <c r="AD55" s="17"/>
      <c r="AE55" s="17"/>
      <c r="AF55" s="17"/>
      <c r="AG55" s="17"/>
      <c r="AH55" s="9" t="e">
        <f t="shared" si="9"/>
        <v>#DIV/0!</v>
      </c>
      <c r="AI55" s="17"/>
      <c r="AJ55" s="17"/>
      <c r="AK55" s="17"/>
      <c r="AL55" s="17"/>
      <c r="AM55" s="17"/>
      <c r="AN55" s="9" t="e">
        <f t="shared" si="10"/>
        <v>#DIV/0!</v>
      </c>
      <c r="AO55" s="17"/>
      <c r="AP55" s="17"/>
      <c r="AQ55" s="17"/>
      <c r="AR55" s="17"/>
      <c r="AS55" s="17"/>
      <c r="AT55" s="9" t="e">
        <f t="shared" si="11"/>
        <v>#DIV/0!</v>
      </c>
      <c r="AU55" s="208"/>
      <c r="AV55" s="209"/>
      <c r="AW55" s="9" t="str">
        <f t="shared" si="12"/>
        <v>0</v>
      </c>
      <c r="AX55" s="7" t="e">
        <f t="shared" si="1"/>
        <v>#DIV/0!</v>
      </c>
      <c r="AY55" s="18" t="e">
        <f t="shared" si="1"/>
        <v>#DIV/0!</v>
      </c>
      <c r="AZ55" s="231" t="e">
        <f t="shared" ref="AZ55" si="53">IF(BP55&gt;=4.5, " 5 ", IF(BP55&gt;=3.5," 4 ",IF(BP55&gt;=2.5," 3  ",IF(BP55&gt;=1.5," 2 ",IF(BP55&gt;=1,"1 ",IF(BP55&gt;=0,"0"))))))</f>
        <v>#DIV/0!</v>
      </c>
      <c r="BA55" s="4" t="e">
        <f t="shared" si="2"/>
        <v>#DIV/0!</v>
      </c>
      <c r="BB55" s="4" t="e">
        <f t="shared" si="13"/>
        <v>#DIV/0!</v>
      </c>
      <c r="BC55" s="4" t="e">
        <f t="shared" si="14"/>
        <v>#DIV/0!</v>
      </c>
      <c r="BD55" s="4">
        <f t="shared" si="15"/>
        <v>0</v>
      </c>
      <c r="BE55" s="12" t="e">
        <f t="shared" si="3"/>
        <v>#DIV/0!</v>
      </c>
      <c r="BF55" s="4" t="e">
        <f t="shared" si="16"/>
        <v>#DIV/0!</v>
      </c>
      <c r="BG55" s="4" t="e">
        <f t="shared" si="17"/>
        <v>#DIV/0!</v>
      </c>
      <c r="BH55" s="4" t="e">
        <f t="shared" si="18"/>
        <v>#DIV/0!</v>
      </c>
      <c r="BI55" s="4">
        <f t="shared" si="19"/>
        <v>0</v>
      </c>
      <c r="BJ55" s="12" t="e">
        <f t="shared" si="4"/>
        <v>#DIV/0!</v>
      </c>
      <c r="BK55" s="12" t="e">
        <f t="shared" si="5"/>
        <v>#DIV/0!</v>
      </c>
      <c r="BL55" s="12" t="e">
        <f>(BE55+BJ55)/2</f>
        <v>#DIV/0!</v>
      </c>
      <c r="BM55" s="10" t="e">
        <f t="shared" si="21"/>
        <v>#DIV/0!</v>
      </c>
      <c r="BN55" s="176" t="e">
        <f t="shared" si="31"/>
        <v>#DIV/0!</v>
      </c>
      <c r="BO55" s="12"/>
      <c r="BP55" s="11" t="e">
        <f t="shared" si="25"/>
        <v>#DIV/0!</v>
      </c>
      <c r="BQ55" s="6"/>
      <c r="BR55" s="6"/>
    </row>
    <row r="56" spans="1:70" ht="20.25" customHeight="1" thickBot="1">
      <c r="A56" s="327"/>
      <c r="B56" s="353"/>
      <c r="C56" s="353"/>
      <c r="D56" s="355"/>
      <c r="E56" s="25">
        <v>2</v>
      </c>
      <c r="F56" s="17"/>
      <c r="G56" s="17"/>
      <c r="H56" s="17"/>
      <c r="I56" s="17"/>
      <c r="J56" s="17"/>
      <c r="K56" s="8" t="e">
        <f t="shared" si="6"/>
        <v>#DIV/0!</v>
      </c>
      <c r="L56" s="17"/>
      <c r="M56" s="17"/>
      <c r="N56" s="17"/>
      <c r="O56" s="17"/>
      <c r="P56" s="17"/>
      <c r="Q56" s="9" t="e">
        <f t="shared" si="23"/>
        <v>#DIV/0!</v>
      </c>
      <c r="R56" s="17"/>
      <c r="S56" s="17"/>
      <c r="T56" s="17"/>
      <c r="U56" s="17"/>
      <c r="V56" s="17"/>
      <c r="W56" s="9" t="e">
        <f t="shared" si="7"/>
        <v>#DIV/0!</v>
      </c>
      <c r="X56" s="233"/>
      <c r="Y56" s="234"/>
      <c r="Z56" s="9" t="str">
        <f t="shared" si="8"/>
        <v>0</v>
      </c>
      <c r="AA56" s="7" t="e">
        <f t="shared" si="0"/>
        <v>#DIV/0!</v>
      </c>
      <c r="AB56" s="365"/>
      <c r="AC56" s="17"/>
      <c r="AD56" s="17"/>
      <c r="AE56" s="17"/>
      <c r="AF56" s="17"/>
      <c r="AG56" s="17"/>
      <c r="AH56" s="9" t="e">
        <f t="shared" si="9"/>
        <v>#DIV/0!</v>
      </c>
      <c r="AI56" s="17"/>
      <c r="AJ56" s="17"/>
      <c r="AK56" s="17"/>
      <c r="AL56" s="17"/>
      <c r="AM56" s="17"/>
      <c r="AN56" s="9" t="e">
        <f t="shared" si="10"/>
        <v>#DIV/0!</v>
      </c>
      <c r="AO56" s="17"/>
      <c r="AP56" s="17"/>
      <c r="AQ56" s="17"/>
      <c r="AR56" s="17"/>
      <c r="AS56" s="17"/>
      <c r="AT56" s="9" t="e">
        <f t="shared" si="11"/>
        <v>#DIV/0!</v>
      </c>
      <c r="AU56" s="208"/>
      <c r="AV56" s="209"/>
      <c r="AW56" s="9" t="str">
        <f t="shared" si="12"/>
        <v>0</v>
      </c>
      <c r="AX56" s="7" t="e">
        <f t="shared" si="1"/>
        <v>#DIV/0!</v>
      </c>
      <c r="AY56" s="18" t="e">
        <f t="shared" si="1"/>
        <v>#DIV/0!</v>
      </c>
      <c r="AZ56" s="232"/>
      <c r="BA56" s="4" t="e">
        <f t="shared" si="2"/>
        <v>#DIV/0!</v>
      </c>
      <c r="BB56" s="4" t="e">
        <f t="shared" si="13"/>
        <v>#DIV/0!</v>
      </c>
      <c r="BC56" s="4" t="e">
        <f t="shared" si="14"/>
        <v>#DIV/0!</v>
      </c>
      <c r="BD56" s="4">
        <f t="shared" si="15"/>
        <v>0</v>
      </c>
      <c r="BE56" s="12" t="e">
        <f t="shared" si="3"/>
        <v>#DIV/0!</v>
      </c>
      <c r="BF56" s="4" t="e">
        <f t="shared" si="16"/>
        <v>#DIV/0!</v>
      </c>
      <c r="BG56" s="4" t="e">
        <f t="shared" si="17"/>
        <v>#DIV/0!</v>
      </c>
      <c r="BH56" s="4" t="e">
        <f t="shared" si="18"/>
        <v>#DIV/0!</v>
      </c>
      <c r="BI56" s="4">
        <f t="shared" si="19"/>
        <v>0</v>
      </c>
      <c r="BJ56" s="12" t="e">
        <f t="shared" si="4"/>
        <v>#DIV/0!</v>
      </c>
      <c r="BK56" s="12" t="e">
        <f t="shared" si="5"/>
        <v>#DIV/0!</v>
      </c>
      <c r="BL56" s="12"/>
      <c r="BM56" s="10"/>
      <c r="BN56" s="176"/>
      <c r="BO56" s="12" t="e">
        <f t="shared" si="20"/>
        <v>#DIV/0!</v>
      </c>
      <c r="BP56" s="11"/>
      <c r="BQ56" s="6"/>
      <c r="BR56" s="6"/>
    </row>
    <row r="57" spans="1:70" ht="20.25" customHeight="1">
      <c r="A57" s="326">
        <v>23</v>
      </c>
      <c r="B57" s="353"/>
      <c r="C57" s="353"/>
      <c r="D57" s="355"/>
      <c r="E57" s="24">
        <v>1</v>
      </c>
      <c r="F57" s="17"/>
      <c r="G57" s="17"/>
      <c r="H57" s="17"/>
      <c r="I57" s="17"/>
      <c r="J57" s="17"/>
      <c r="K57" s="8" t="e">
        <f t="shared" si="6"/>
        <v>#DIV/0!</v>
      </c>
      <c r="L57" s="17"/>
      <c r="M57" s="17"/>
      <c r="N57" s="17"/>
      <c r="O57" s="17"/>
      <c r="P57" s="17"/>
      <c r="Q57" s="9" t="e">
        <f t="shared" si="23"/>
        <v>#DIV/0!</v>
      </c>
      <c r="R57" s="17"/>
      <c r="S57" s="17"/>
      <c r="T57" s="17"/>
      <c r="U57" s="17"/>
      <c r="V57" s="17"/>
      <c r="W57" s="9" t="e">
        <f t="shared" si="7"/>
        <v>#DIV/0!</v>
      </c>
      <c r="X57" s="233"/>
      <c r="Y57" s="234"/>
      <c r="Z57" s="9" t="str">
        <f t="shared" si="8"/>
        <v>0</v>
      </c>
      <c r="AA57" s="7" t="e">
        <f t="shared" si="0"/>
        <v>#DIV/0!</v>
      </c>
      <c r="AB57" s="365"/>
      <c r="AC57" s="17"/>
      <c r="AD57" s="17"/>
      <c r="AE57" s="17"/>
      <c r="AF57" s="17"/>
      <c r="AG57" s="17"/>
      <c r="AH57" s="9" t="e">
        <f t="shared" si="9"/>
        <v>#DIV/0!</v>
      </c>
      <c r="AI57" s="17"/>
      <c r="AJ57" s="17"/>
      <c r="AK57" s="17"/>
      <c r="AL57" s="17"/>
      <c r="AM57" s="17"/>
      <c r="AN57" s="9" t="e">
        <f t="shared" si="10"/>
        <v>#DIV/0!</v>
      </c>
      <c r="AO57" s="17"/>
      <c r="AP57" s="17"/>
      <c r="AQ57" s="17"/>
      <c r="AR57" s="17"/>
      <c r="AS57" s="17"/>
      <c r="AT57" s="9" t="e">
        <f t="shared" si="11"/>
        <v>#DIV/0!</v>
      </c>
      <c r="AU57" s="208"/>
      <c r="AV57" s="209"/>
      <c r="AW57" s="9" t="str">
        <f t="shared" si="12"/>
        <v>0</v>
      </c>
      <c r="AX57" s="7" t="e">
        <f t="shared" si="1"/>
        <v>#DIV/0!</v>
      </c>
      <c r="AY57" s="18" t="e">
        <f t="shared" si="1"/>
        <v>#DIV/0!</v>
      </c>
      <c r="AZ57" s="231" t="e">
        <f t="shared" ref="AZ57" si="54">IF(BP57&gt;=4.5, " 5 ", IF(BP57&gt;=3.5," 4 ",IF(BP57&gt;=2.5," 3  ",IF(BP57&gt;=1.5," 2 ",IF(BP57&gt;=1,"1 ",IF(BP57&gt;=0,"0"))))))</f>
        <v>#DIV/0!</v>
      </c>
      <c r="BA57" s="4" t="e">
        <f t="shared" si="2"/>
        <v>#DIV/0!</v>
      </c>
      <c r="BB57" s="4" t="e">
        <f t="shared" si="13"/>
        <v>#DIV/0!</v>
      </c>
      <c r="BC57" s="4" t="e">
        <f t="shared" si="14"/>
        <v>#DIV/0!</v>
      </c>
      <c r="BD57" s="4">
        <f t="shared" si="15"/>
        <v>0</v>
      </c>
      <c r="BE57" s="12" t="e">
        <f t="shared" si="3"/>
        <v>#DIV/0!</v>
      </c>
      <c r="BF57" s="4" t="e">
        <f t="shared" si="16"/>
        <v>#DIV/0!</v>
      </c>
      <c r="BG57" s="4" t="e">
        <f t="shared" si="17"/>
        <v>#DIV/0!</v>
      </c>
      <c r="BH57" s="4" t="e">
        <f t="shared" si="18"/>
        <v>#DIV/0!</v>
      </c>
      <c r="BI57" s="4">
        <f t="shared" si="19"/>
        <v>0</v>
      </c>
      <c r="BJ57" s="12" t="e">
        <f t="shared" si="4"/>
        <v>#DIV/0!</v>
      </c>
      <c r="BK57" s="12" t="e">
        <f t="shared" si="5"/>
        <v>#DIV/0!</v>
      </c>
      <c r="BL57" s="12" t="e">
        <f>(BE57+BJ57)/2</f>
        <v>#DIV/0!</v>
      </c>
      <c r="BM57" s="10" t="e">
        <f t="shared" si="21"/>
        <v>#DIV/0!</v>
      </c>
      <c r="BN57" s="176" t="e">
        <f t="shared" si="33"/>
        <v>#DIV/0!</v>
      </c>
      <c r="BO57" s="12"/>
      <c r="BP57" s="11" t="e">
        <f t="shared" si="25"/>
        <v>#DIV/0!</v>
      </c>
      <c r="BQ57" s="6"/>
      <c r="BR57" s="6"/>
    </row>
    <row r="58" spans="1:70" ht="20.25" customHeight="1" thickBot="1">
      <c r="A58" s="327"/>
      <c r="B58" s="353"/>
      <c r="C58" s="353"/>
      <c r="D58" s="355"/>
      <c r="E58" s="25">
        <v>2</v>
      </c>
      <c r="F58" s="17"/>
      <c r="G58" s="17"/>
      <c r="H58" s="17"/>
      <c r="I58" s="17"/>
      <c r="J58" s="17"/>
      <c r="K58" s="8" t="e">
        <f t="shared" si="6"/>
        <v>#DIV/0!</v>
      </c>
      <c r="L58" s="17"/>
      <c r="M58" s="17"/>
      <c r="N58" s="17"/>
      <c r="O58" s="17"/>
      <c r="P58" s="17"/>
      <c r="Q58" s="9" t="e">
        <f t="shared" si="23"/>
        <v>#DIV/0!</v>
      </c>
      <c r="R58" s="17"/>
      <c r="S58" s="17"/>
      <c r="T58" s="17"/>
      <c r="U58" s="17"/>
      <c r="V58" s="17"/>
      <c r="W58" s="9" t="e">
        <f t="shared" si="7"/>
        <v>#DIV/0!</v>
      </c>
      <c r="X58" s="233"/>
      <c r="Y58" s="234"/>
      <c r="Z58" s="9" t="str">
        <f t="shared" si="8"/>
        <v>0</v>
      </c>
      <c r="AA58" s="7" t="e">
        <f t="shared" si="0"/>
        <v>#DIV/0!</v>
      </c>
      <c r="AB58" s="365"/>
      <c r="AC58" s="17"/>
      <c r="AD58" s="17"/>
      <c r="AE58" s="17"/>
      <c r="AF58" s="17"/>
      <c r="AG58" s="17"/>
      <c r="AH58" s="9" t="e">
        <f t="shared" si="9"/>
        <v>#DIV/0!</v>
      </c>
      <c r="AI58" s="17"/>
      <c r="AJ58" s="17"/>
      <c r="AK58" s="17"/>
      <c r="AL58" s="17"/>
      <c r="AM58" s="17"/>
      <c r="AN58" s="9" t="e">
        <f t="shared" si="10"/>
        <v>#DIV/0!</v>
      </c>
      <c r="AO58" s="17"/>
      <c r="AP58" s="17"/>
      <c r="AQ58" s="17"/>
      <c r="AR58" s="17"/>
      <c r="AS58" s="17"/>
      <c r="AT58" s="9" t="e">
        <f t="shared" si="11"/>
        <v>#DIV/0!</v>
      </c>
      <c r="AU58" s="208"/>
      <c r="AV58" s="209"/>
      <c r="AW58" s="9" t="str">
        <f t="shared" si="12"/>
        <v>0</v>
      </c>
      <c r="AX58" s="7" t="e">
        <f t="shared" si="1"/>
        <v>#DIV/0!</v>
      </c>
      <c r="AY58" s="18" t="e">
        <f t="shared" si="1"/>
        <v>#DIV/0!</v>
      </c>
      <c r="AZ58" s="232"/>
      <c r="BA58" s="4" t="e">
        <f t="shared" si="2"/>
        <v>#DIV/0!</v>
      </c>
      <c r="BB58" s="4" t="e">
        <f t="shared" si="13"/>
        <v>#DIV/0!</v>
      </c>
      <c r="BC58" s="4" t="e">
        <f t="shared" si="14"/>
        <v>#DIV/0!</v>
      </c>
      <c r="BD58" s="4">
        <f t="shared" si="15"/>
        <v>0</v>
      </c>
      <c r="BE58" s="12" t="e">
        <f t="shared" si="3"/>
        <v>#DIV/0!</v>
      </c>
      <c r="BF58" s="4" t="e">
        <f t="shared" si="16"/>
        <v>#DIV/0!</v>
      </c>
      <c r="BG58" s="4" t="e">
        <f t="shared" si="17"/>
        <v>#DIV/0!</v>
      </c>
      <c r="BH58" s="4" t="e">
        <f t="shared" si="18"/>
        <v>#DIV/0!</v>
      </c>
      <c r="BI58" s="4">
        <f t="shared" si="19"/>
        <v>0</v>
      </c>
      <c r="BJ58" s="12" t="e">
        <f t="shared" si="4"/>
        <v>#DIV/0!</v>
      </c>
      <c r="BK58" s="12" t="e">
        <f t="shared" si="5"/>
        <v>#DIV/0!</v>
      </c>
      <c r="BL58" s="12"/>
      <c r="BM58" s="10"/>
      <c r="BN58" s="176"/>
      <c r="BO58" s="12" t="e">
        <f t="shared" si="20"/>
        <v>#DIV/0!</v>
      </c>
      <c r="BP58" s="11"/>
      <c r="BQ58" s="6"/>
      <c r="BR58" s="6"/>
    </row>
    <row r="59" spans="1:70" ht="20.25" customHeight="1">
      <c r="A59" s="326">
        <v>24</v>
      </c>
      <c r="B59" s="377"/>
      <c r="C59" s="377"/>
      <c r="D59" s="225"/>
      <c r="E59" s="24">
        <v>1</v>
      </c>
      <c r="F59" s="17"/>
      <c r="G59" s="17"/>
      <c r="H59" s="17"/>
      <c r="I59" s="17"/>
      <c r="J59" s="17"/>
      <c r="K59" s="8" t="e">
        <f t="shared" si="6"/>
        <v>#DIV/0!</v>
      </c>
      <c r="L59" s="17"/>
      <c r="M59" s="17"/>
      <c r="N59" s="17"/>
      <c r="O59" s="17"/>
      <c r="P59" s="17"/>
      <c r="Q59" s="9" t="e">
        <f t="shared" si="23"/>
        <v>#DIV/0!</v>
      </c>
      <c r="R59" s="17"/>
      <c r="S59" s="17"/>
      <c r="T59" s="17"/>
      <c r="U59" s="17"/>
      <c r="V59" s="17"/>
      <c r="W59" s="9" t="e">
        <f t="shared" si="7"/>
        <v>#DIV/0!</v>
      </c>
      <c r="X59" s="233"/>
      <c r="Y59" s="234"/>
      <c r="Z59" s="9" t="str">
        <f t="shared" si="8"/>
        <v>0</v>
      </c>
      <c r="AA59" s="7" t="e">
        <f t="shared" si="0"/>
        <v>#DIV/0!</v>
      </c>
      <c r="AB59" s="365"/>
      <c r="AC59" s="17"/>
      <c r="AD59" s="17"/>
      <c r="AE59" s="17"/>
      <c r="AF59" s="17"/>
      <c r="AG59" s="17"/>
      <c r="AH59" s="9" t="e">
        <f t="shared" si="9"/>
        <v>#DIV/0!</v>
      </c>
      <c r="AI59" s="17"/>
      <c r="AJ59" s="17"/>
      <c r="AK59" s="17"/>
      <c r="AL59" s="17"/>
      <c r="AM59" s="17"/>
      <c r="AN59" s="9" t="e">
        <f t="shared" si="10"/>
        <v>#DIV/0!</v>
      </c>
      <c r="AO59" s="17"/>
      <c r="AP59" s="17"/>
      <c r="AQ59" s="17"/>
      <c r="AR59" s="17"/>
      <c r="AS59" s="17"/>
      <c r="AT59" s="9" t="e">
        <f t="shared" si="11"/>
        <v>#DIV/0!</v>
      </c>
      <c r="AU59" s="208"/>
      <c r="AV59" s="209"/>
      <c r="AW59" s="9" t="str">
        <f t="shared" si="12"/>
        <v>0</v>
      </c>
      <c r="AX59" s="7" t="e">
        <f t="shared" si="1"/>
        <v>#DIV/0!</v>
      </c>
      <c r="AY59" s="18" t="e">
        <f t="shared" si="1"/>
        <v>#DIV/0!</v>
      </c>
      <c r="AZ59" s="231" t="e">
        <f t="shared" ref="AZ59" si="55">IF(BP59&gt;=4.5, " 5 ", IF(BP59&gt;=3.5," 4 ",IF(BP59&gt;=2.5," 3  ",IF(BP59&gt;=1.5," 2 ",IF(BP59&gt;=1,"1 ",IF(BP59&gt;=0,"0"))))))</f>
        <v>#DIV/0!</v>
      </c>
      <c r="BA59" s="4" t="e">
        <f t="shared" si="2"/>
        <v>#DIV/0!</v>
      </c>
      <c r="BB59" s="4" t="e">
        <f t="shared" si="13"/>
        <v>#DIV/0!</v>
      </c>
      <c r="BC59" s="4" t="e">
        <f t="shared" si="14"/>
        <v>#DIV/0!</v>
      </c>
      <c r="BD59" s="4">
        <f t="shared" si="15"/>
        <v>0</v>
      </c>
      <c r="BE59" s="12" t="e">
        <f t="shared" si="3"/>
        <v>#DIV/0!</v>
      </c>
      <c r="BF59" s="4" t="e">
        <f t="shared" si="16"/>
        <v>#DIV/0!</v>
      </c>
      <c r="BG59" s="4" t="e">
        <f t="shared" si="17"/>
        <v>#DIV/0!</v>
      </c>
      <c r="BH59" s="4" t="e">
        <f t="shared" si="18"/>
        <v>#DIV/0!</v>
      </c>
      <c r="BI59" s="4">
        <f t="shared" si="19"/>
        <v>0</v>
      </c>
      <c r="BJ59" s="12" t="e">
        <f t="shared" si="4"/>
        <v>#DIV/0!</v>
      </c>
      <c r="BK59" s="12" t="e">
        <f t="shared" si="5"/>
        <v>#DIV/0!</v>
      </c>
      <c r="BL59" s="12" t="e">
        <f>(BE59+BJ59)/2</f>
        <v>#DIV/0!</v>
      </c>
      <c r="BM59" s="10" t="e">
        <f t="shared" si="21"/>
        <v>#DIV/0!</v>
      </c>
      <c r="BN59" s="176" t="e">
        <f t="shared" si="35"/>
        <v>#DIV/0!</v>
      </c>
      <c r="BO59" s="12"/>
      <c r="BP59" s="11" t="e">
        <f t="shared" si="25"/>
        <v>#DIV/0!</v>
      </c>
      <c r="BQ59" s="6"/>
      <c r="BR59" s="6"/>
    </row>
    <row r="60" spans="1:70" ht="20.25" customHeight="1" thickBot="1">
      <c r="A60" s="327"/>
      <c r="B60" s="377"/>
      <c r="C60" s="377"/>
      <c r="D60" s="225"/>
      <c r="E60" s="25">
        <v>2</v>
      </c>
      <c r="F60" s="17"/>
      <c r="G60" s="17"/>
      <c r="H60" s="17"/>
      <c r="I60" s="17"/>
      <c r="J60" s="17"/>
      <c r="K60" s="8" t="e">
        <f t="shared" si="6"/>
        <v>#DIV/0!</v>
      </c>
      <c r="L60" s="17"/>
      <c r="M60" s="17"/>
      <c r="N60" s="17"/>
      <c r="O60" s="17"/>
      <c r="P60" s="17"/>
      <c r="Q60" s="9" t="e">
        <f t="shared" si="23"/>
        <v>#DIV/0!</v>
      </c>
      <c r="R60" s="17"/>
      <c r="S60" s="17"/>
      <c r="T60" s="17"/>
      <c r="U60" s="17"/>
      <c r="V60" s="17"/>
      <c r="W60" s="9" t="e">
        <f t="shared" si="7"/>
        <v>#DIV/0!</v>
      </c>
      <c r="X60" s="233"/>
      <c r="Y60" s="234"/>
      <c r="Z60" s="9" t="str">
        <f t="shared" si="8"/>
        <v>0</v>
      </c>
      <c r="AA60" s="7" t="e">
        <f t="shared" si="0"/>
        <v>#DIV/0!</v>
      </c>
      <c r="AB60" s="365"/>
      <c r="AC60" s="17"/>
      <c r="AD60" s="17"/>
      <c r="AE60" s="17"/>
      <c r="AF60" s="17"/>
      <c r="AG60" s="17"/>
      <c r="AH60" s="9" t="e">
        <f t="shared" si="9"/>
        <v>#DIV/0!</v>
      </c>
      <c r="AI60" s="17"/>
      <c r="AJ60" s="17"/>
      <c r="AK60" s="17"/>
      <c r="AL60" s="17"/>
      <c r="AM60" s="17"/>
      <c r="AN60" s="9" t="e">
        <f t="shared" si="10"/>
        <v>#DIV/0!</v>
      </c>
      <c r="AO60" s="17"/>
      <c r="AP60" s="17"/>
      <c r="AQ60" s="17"/>
      <c r="AR60" s="17"/>
      <c r="AS60" s="17"/>
      <c r="AT60" s="9" t="e">
        <f t="shared" si="11"/>
        <v>#DIV/0!</v>
      </c>
      <c r="AU60" s="208"/>
      <c r="AV60" s="209"/>
      <c r="AW60" s="9" t="str">
        <f t="shared" si="12"/>
        <v>0</v>
      </c>
      <c r="AX60" s="7" t="e">
        <f t="shared" si="1"/>
        <v>#DIV/0!</v>
      </c>
      <c r="AY60" s="18" t="e">
        <f t="shared" si="1"/>
        <v>#DIV/0!</v>
      </c>
      <c r="AZ60" s="232"/>
      <c r="BA60" s="4" t="e">
        <f t="shared" si="2"/>
        <v>#DIV/0!</v>
      </c>
      <c r="BB60" s="4" t="e">
        <f t="shared" si="13"/>
        <v>#DIV/0!</v>
      </c>
      <c r="BC60" s="4" t="e">
        <f t="shared" si="14"/>
        <v>#DIV/0!</v>
      </c>
      <c r="BD60" s="4">
        <f t="shared" si="15"/>
        <v>0</v>
      </c>
      <c r="BE60" s="12" t="e">
        <f t="shared" si="3"/>
        <v>#DIV/0!</v>
      </c>
      <c r="BF60" s="4" t="e">
        <f t="shared" si="16"/>
        <v>#DIV/0!</v>
      </c>
      <c r="BG60" s="4" t="e">
        <f t="shared" si="17"/>
        <v>#DIV/0!</v>
      </c>
      <c r="BH60" s="4" t="e">
        <f t="shared" si="18"/>
        <v>#DIV/0!</v>
      </c>
      <c r="BI60" s="4">
        <f t="shared" si="19"/>
        <v>0</v>
      </c>
      <c r="BJ60" s="12" t="e">
        <f t="shared" si="4"/>
        <v>#DIV/0!</v>
      </c>
      <c r="BK60" s="12" t="e">
        <f t="shared" si="5"/>
        <v>#DIV/0!</v>
      </c>
      <c r="BL60" s="12"/>
      <c r="BM60" s="10"/>
      <c r="BN60" s="176"/>
      <c r="BO60" s="12" t="e">
        <f t="shared" si="20"/>
        <v>#DIV/0!</v>
      </c>
      <c r="BP60" s="11"/>
      <c r="BQ60" s="6"/>
      <c r="BR60" s="6"/>
    </row>
    <row r="61" spans="1:70" ht="20.25" customHeight="1">
      <c r="A61" s="326">
        <v>25</v>
      </c>
      <c r="B61" s="377"/>
      <c r="C61" s="377"/>
      <c r="D61" s="225"/>
      <c r="E61" s="24">
        <v>1</v>
      </c>
      <c r="F61" s="17"/>
      <c r="G61" s="17"/>
      <c r="H61" s="17"/>
      <c r="I61" s="17"/>
      <c r="J61" s="17"/>
      <c r="K61" s="8" t="e">
        <f t="shared" si="6"/>
        <v>#DIV/0!</v>
      </c>
      <c r="L61" s="17"/>
      <c r="M61" s="17"/>
      <c r="N61" s="17"/>
      <c r="O61" s="17"/>
      <c r="P61" s="17"/>
      <c r="Q61" s="9" t="e">
        <f t="shared" si="23"/>
        <v>#DIV/0!</v>
      </c>
      <c r="R61" s="17"/>
      <c r="S61" s="17"/>
      <c r="T61" s="17"/>
      <c r="U61" s="17"/>
      <c r="V61" s="17"/>
      <c r="W61" s="9" t="e">
        <f t="shared" si="7"/>
        <v>#DIV/0!</v>
      </c>
      <c r="X61" s="233"/>
      <c r="Y61" s="234"/>
      <c r="Z61" s="9" t="str">
        <f t="shared" si="8"/>
        <v>0</v>
      </c>
      <c r="AA61" s="7" t="e">
        <f t="shared" si="0"/>
        <v>#DIV/0!</v>
      </c>
      <c r="AB61" s="365"/>
      <c r="AC61" s="17"/>
      <c r="AD61" s="17"/>
      <c r="AE61" s="17"/>
      <c r="AF61" s="17"/>
      <c r="AG61" s="17"/>
      <c r="AH61" s="9" t="e">
        <f t="shared" si="9"/>
        <v>#DIV/0!</v>
      </c>
      <c r="AI61" s="17"/>
      <c r="AJ61" s="17"/>
      <c r="AK61" s="17"/>
      <c r="AL61" s="17"/>
      <c r="AM61" s="17"/>
      <c r="AN61" s="9" t="e">
        <f t="shared" si="10"/>
        <v>#DIV/0!</v>
      </c>
      <c r="AO61" s="17"/>
      <c r="AP61" s="17"/>
      <c r="AQ61" s="17"/>
      <c r="AR61" s="17"/>
      <c r="AS61" s="17"/>
      <c r="AT61" s="9" t="e">
        <f t="shared" si="11"/>
        <v>#DIV/0!</v>
      </c>
      <c r="AU61" s="208"/>
      <c r="AV61" s="209"/>
      <c r="AW61" s="9" t="str">
        <f t="shared" si="12"/>
        <v>0</v>
      </c>
      <c r="AX61" s="7" t="e">
        <f t="shared" si="1"/>
        <v>#DIV/0!</v>
      </c>
      <c r="AY61" s="18" t="e">
        <f t="shared" si="1"/>
        <v>#DIV/0!</v>
      </c>
      <c r="AZ61" s="231" t="e">
        <f t="shared" ref="AZ61" si="56">IF(BP61&gt;=4.5, " 5 ", IF(BP61&gt;=3.5," 4 ",IF(BP61&gt;=2.5," 3  ",IF(BP61&gt;=1.5," 2 ",IF(BP61&gt;=1,"1 ",IF(BP61&gt;=0,"0"))))))</f>
        <v>#DIV/0!</v>
      </c>
      <c r="BA61" s="4" t="e">
        <f t="shared" si="2"/>
        <v>#DIV/0!</v>
      </c>
      <c r="BB61" s="4" t="e">
        <f t="shared" si="13"/>
        <v>#DIV/0!</v>
      </c>
      <c r="BC61" s="4" t="e">
        <f t="shared" si="14"/>
        <v>#DIV/0!</v>
      </c>
      <c r="BD61" s="4">
        <f t="shared" si="15"/>
        <v>0</v>
      </c>
      <c r="BE61" s="12" t="e">
        <f t="shared" si="3"/>
        <v>#DIV/0!</v>
      </c>
      <c r="BF61" s="4" t="e">
        <f t="shared" si="16"/>
        <v>#DIV/0!</v>
      </c>
      <c r="BG61" s="4" t="e">
        <f t="shared" si="17"/>
        <v>#DIV/0!</v>
      </c>
      <c r="BH61" s="4" t="e">
        <f t="shared" si="18"/>
        <v>#DIV/0!</v>
      </c>
      <c r="BI61" s="4">
        <f t="shared" si="19"/>
        <v>0</v>
      </c>
      <c r="BJ61" s="12" t="e">
        <f t="shared" si="4"/>
        <v>#DIV/0!</v>
      </c>
      <c r="BK61" s="12" t="e">
        <f t="shared" si="5"/>
        <v>#DIV/0!</v>
      </c>
      <c r="BL61" s="12" t="e">
        <f>(BE61+BJ61)/2</f>
        <v>#DIV/0!</v>
      </c>
      <c r="BM61" s="10" t="e">
        <f t="shared" si="21"/>
        <v>#DIV/0!</v>
      </c>
      <c r="BN61" s="176" t="e">
        <f t="shared" ref="BN61" si="57">ROUND(BO62,)</f>
        <v>#DIV/0!</v>
      </c>
      <c r="BO61" s="12"/>
      <c r="BP61" s="11" t="e">
        <f t="shared" si="25"/>
        <v>#DIV/0!</v>
      </c>
      <c r="BQ61" s="6"/>
      <c r="BR61" s="6"/>
    </row>
    <row r="62" spans="1:70" ht="17.25" customHeight="1" thickBot="1">
      <c r="A62" s="327"/>
      <c r="B62" s="377"/>
      <c r="C62" s="377"/>
      <c r="D62" s="225"/>
      <c r="E62" s="25">
        <v>2</v>
      </c>
      <c r="F62" s="17"/>
      <c r="G62" s="17"/>
      <c r="H62" s="17"/>
      <c r="I62" s="17"/>
      <c r="J62" s="17"/>
      <c r="K62" s="8" t="e">
        <f t="shared" si="6"/>
        <v>#DIV/0!</v>
      </c>
      <c r="L62" s="17"/>
      <c r="M62" s="17"/>
      <c r="N62" s="17"/>
      <c r="O62" s="17"/>
      <c r="P62" s="17"/>
      <c r="Q62" s="9" t="e">
        <f t="shared" si="23"/>
        <v>#DIV/0!</v>
      </c>
      <c r="R62" s="17"/>
      <c r="S62" s="17"/>
      <c r="T62" s="17"/>
      <c r="U62" s="17"/>
      <c r="V62" s="17"/>
      <c r="W62" s="9" t="e">
        <f t="shared" si="7"/>
        <v>#DIV/0!</v>
      </c>
      <c r="X62" s="233"/>
      <c r="Y62" s="234"/>
      <c r="Z62" s="9" t="str">
        <f t="shared" si="8"/>
        <v>0</v>
      </c>
      <c r="AA62" s="7" t="e">
        <f t="shared" si="0"/>
        <v>#DIV/0!</v>
      </c>
      <c r="AB62" s="365"/>
      <c r="AC62" s="17"/>
      <c r="AD62" s="17"/>
      <c r="AE62" s="17"/>
      <c r="AF62" s="17"/>
      <c r="AG62" s="17"/>
      <c r="AH62" s="9" t="e">
        <f t="shared" si="9"/>
        <v>#DIV/0!</v>
      </c>
      <c r="AI62" s="17"/>
      <c r="AJ62" s="17"/>
      <c r="AK62" s="17"/>
      <c r="AL62" s="17"/>
      <c r="AM62" s="17"/>
      <c r="AN62" s="9" t="e">
        <f t="shared" si="10"/>
        <v>#DIV/0!</v>
      </c>
      <c r="AO62" s="17"/>
      <c r="AP62" s="17"/>
      <c r="AQ62" s="17"/>
      <c r="AR62" s="17"/>
      <c r="AS62" s="17"/>
      <c r="AT62" s="9" t="e">
        <f t="shared" si="11"/>
        <v>#DIV/0!</v>
      </c>
      <c r="AU62" s="208"/>
      <c r="AV62" s="209"/>
      <c r="AW62" s="9" t="str">
        <f t="shared" si="12"/>
        <v>0</v>
      </c>
      <c r="AX62" s="7" t="e">
        <f t="shared" si="1"/>
        <v>#DIV/0!</v>
      </c>
      <c r="AY62" s="18" t="e">
        <f t="shared" si="1"/>
        <v>#DIV/0!</v>
      </c>
      <c r="AZ62" s="232"/>
      <c r="BA62" s="4" t="e">
        <f t="shared" si="2"/>
        <v>#DIV/0!</v>
      </c>
      <c r="BB62" s="4" t="e">
        <f t="shared" si="13"/>
        <v>#DIV/0!</v>
      </c>
      <c r="BC62" s="4" t="e">
        <f t="shared" si="14"/>
        <v>#DIV/0!</v>
      </c>
      <c r="BD62" s="4">
        <f t="shared" si="15"/>
        <v>0</v>
      </c>
      <c r="BE62" s="12" t="e">
        <f t="shared" si="3"/>
        <v>#DIV/0!</v>
      </c>
      <c r="BF62" s="4" t="e">
        <f t="shared" si="16"/>
        <v>#DIV/0!</v>
      </c>
      <c r="BG62" s="4" t="e">
        <f t="shared" si="17"/>
        <v>#DIV/0!</v>
      </c>
      <c r="BH62" s="4" t="e">
        <f t="shared" si="18"/>
        <v>#DIV/0!</v>
      </c>
      <c r="BI62" s="4">
        <f t="shared" si="19"/>
        <v>0</v>
      </c>
      <c r="BJ62" s="12" t="e">
        <f t="shared" si="4"/>
        <v>#DIV/0!</v>
      </c>
      <c r="BK62" s="12" t="e">
        <f t="shared" si="5"/>
        <v>#DIV/0!</v>
      </c>
      <c r="BL62" s="12"/>
      <c r="BM62" s="10"/>
      <c r="BN62" s="176"/>
      <c r="BO62" s="12" t="e">
        <f t="shared" si="20"/>
        <v>#DIV/0!</v>
      </c>
      <c r="BP62" s="11"/>
      <c r="BQ62" s="6"/>
      <c r="BR62" s="6"/>
    </row>
    <row r="63" spans="1:70" ht="21" customHeight="1">
      <c r="A63" s="326">
        <v>26</v>
      </c>
      <c r="B63" s="377"/>
      <c r="C63" s="377"/>
      <c r="D63" s="225"/>
      <c r="E63" s="24">
        <v>1</v>
      </c>
      <c r="F63" s="17"/>
      <c r="G63" s="17"/>
      <c r="H63" s="17"/>
      <c r="I63" s="17"/>
      <c r="J63" s="17"/>
      <c r="K63" s="8" t="e">
        <f t="shared" si="6"/>
        <v>#DIV/0!</v>
      </c>
      <c r="L63" s="17"/>
      <c r="M63" s="17"/>
      <c r="N63" s="17"/>
      <c r="O63" s="17"/>
      <c r="P63" s="17"/>
      <c r="Q63" s="9" t="e">
        <f t="shared" si="23"/>
        <v>#DIV/0!</v>
      </c>
      <c r="R63" s="17"/>
      <c r="S63" s="17"/>
      <c r="T63" s="17"/>
      <c r="U63" s="17"/>
      <c r="V63" s="17"/>
      <c r="W63" s="9" t="e">
        <f t="shared" si="7"/>
        <v>#DIV/0!</v>
      </c>
      <c r="X63" s="233"/>
      <c r="Y63" s="234"/>
      <c r="Z63" s="9" t="str">
        <f t="shared" si="8"/>
        <v>0</v>
      </c>
      <c r="AA63" s="7" t="e">
        <f t="shared" si="0"/>
        <v>#DIV/0!</v>
      </c>
      <c r="AB63" s="365"/>
      <c r="AC63" s="17"/>
      <c r="AD63" s="17"/>
      <c r="AE63" s="17"/>
      <c r="AF63" s="17"/>
      <c r="AG63" s="17"/>
      <c r="AH63" s="9" t="e">
        <f t="shared" si="9"/>
        <v>#DIV/0!</v>
      </c>
      <c r="AI63" s="17"/>
      <c r="AJ63" s="17"/>
      <c r="AK63" s="17"/>
      <c r="AL63" s="17"/>
      <c r="AM63" s="17"/>
      <c r="AN63" s="9" t="e">
        <f t="shared" si="10"/>
        <v>#DIV/0!</v>
      </c>
      <c r="AO63" s="17"/>
      <c r="AP63" s="17"/>
      <c r="AQ63" s="17"/>
      <c r="AR63" s="17"/>
      <c r="AS63" s="17"/>
      <c r="AT63" s="9" t="e">
        <f t="shared" si="11"/>
        <v>#DIV/0!</v>
      </c>
      <c r="AU63" s="208"/>
      <c r="AV63" s="209"/>
      <c r="AW63" s="9" t="str">
        <f t="shared" si="12"/>
        <v>0</v>
      </c>
      <c r="AX63" s="7" t="e">
        <f t="shared" si="1"/>
        <v>#DIV/0!</v>
      </c>
      <c r="AY63" s="18" t="e">
        <f t="shared" si="1"/>
        <v>#DIV/0!</v>
      </c>
      <c r="AZ63" s="231" t="e">
        <f t="shared" ref="AZ63" si="58">IF(BP63&gt;=4.5, " 5 ", IF(BP63&gt;=3.5," 4 ",IF(BP63&gt;=2.5," 3  ",IF(BP63&gt;=1.5," 2 ",IF(BP63&gt;=1,"1 ",IF(BP63&gt;=0,"0"))))))</f>
        <v>#DIV/0!</v>
      </c>
      <c r="BA63" s="4" t="e">
        <f t="shared" si="2"/>
        <v>#DIV/0!</v>
      </c>
      <c r="BB63" s="4" t="e">
        <f t="shared" si="13"/>
        <v>#DIV/0!</v>
      </c>
      <c r="BC63" s="4" t="e">
        <f t="shared" si="14"/>
        <v>#DIV/0!</v>
      </c>
      <c r="BD63" s="4">
        <f t="shared" si="15"/>
        <v>0</v>
      </c>
      <c r="BE63" s="12" t="e">
        <f t="shared" si="3"/>
        <v>#DIV/0!</v>
      </c>
      <c r="BF63" s="4" t="e">
        <f t="shared" si="16"/>
        <v>#DIV/0!</v>
      </c>
      <c r="BG63" s="4" t="e">
        <f t="shared" si="17"/>
        <v>#DIV/0!</v>
      </c>
      <c r="BH63" s="4" t="e">
        <f t="shared" si="18"/>
        <v>#DIV/0!</v>
      </c>
      <c r="BI63" s="4">
        <f t="shared" si="19"/>
        <v>0</v>
      </c>
      <c r="BJ63" s="12" t="e">
        <f t="shared" si="4"/>
        <v>#DIV/0!</v>
      </c>
      <c r="BK63" s="12" t="e">
        <f t="shared" si="5"/>
        <v>#DIV/0!</v>
      </c>
      <c r="BL63" s="12" t="e">
        <f>(BE63+BJ63)/2</f>
        <v>#DIV/0!</v>
      </c>
      <c r="BM63" s="10" t="e">
        <f t="shared" si="21"/>
        <v>#DIV/0!</v>
      </c>
      <c r="BN63" s="176" t="e">
        <f t="shared" si="31"/>
        <v>#DIV/0!</v>
      </c>
      <c r="BO63" s="12"/>
      <c r="BP63" s="11" t="e">
        <f t="shared" si="25"/>
        <v>#DIV/0!</v>
      </c>
      <c r="BQ63" s="6"/>
      <c r="BR63" s="6"/>
    </row>
    <row r="64" spans="1:70" ht="18" customHeight="1" thickBot="1">
      <c r="A64" s="327"/>
      <c r="B64" s="377"/>
      <c r="C64" s="377"/>
      <c r="D64" s="225"/>
      <c r="E64" s="25">
        <v>2</v>
      </c>
      <c r="F64" s="17"/>
      <c r="G64" s="17"/>
      <c r="H64" s="17"/>
      <c r="I64" s="17"/>
      <c r="J64" s="17"/>
      <c r="K64" s="8" t="e">
        <f t="shared" si="6"/>
        <v>#DIV/0!</v>
      </c>
      <c r="L64" s="17"/>
      <c r="M64" s="17"/>
      <c r="N64" s="17"/>
      <c r="O64" s="17"/>
      <c r="P64" s="17"/>
      <c r="Q64" s="9" t="e">
        <f t="shared" si="23"/>
        <v>#DIV/0!</v>
      </c>
      <c r="R64" s="17"/>
      <c r="S64" s="17"/>
      <c r="T64" s="17"/>
      <c r="U64" s="17"/>
      <c r="V64" s="17"/>
      <c r="W64" s="9" t="e">
        <f t="shared" si="7"/>
        <v>#DIV/0!</v>
      </c>
      <c r="X64" s="233"/>
      <c r="Y64" s="234"/>
      <c r="Z64" s="9" t="str">
        <f t="shared" si="8"/>
        <v>0</v>
      </c>
      <c r="AA64" s="7" t="e">
        <f t="shared" si="0"/>
        <v>#DIV/0!</v>
      </c>
      <c r="AB64" s="365"/>
      <c r="AC64" s="17"/>
      <c r="AD64" s="17"/>
      <c r="AE64" s="17"/>
      <c r="AF64" s="17"/>
      <c r="AG64" s="17"/>
      <c r="AH64" s="9" t="e">
        <f t="shared" si="9"/>
        <v>#DIV/0!</v>
      </c>
      <c r="AI64" s="17"/>
      <c r="AJ64" s="17"/>
      <c r="AK64" s="17"/>
      <c r="AL64" s="17"/>
      <c r="AM64" s="17"/>
      <c r="AN64" s="9" t="e">
        <f t="shared" si="10"/>
        <v>#DIV/0!</v>
      </c>
      <c r="AO64" s="17"/>
      <c r="AP64" s="17"/>
      <c r="AQ64" s="17"/>
      <c r="AR64" s="17"/>
      <c r="AS64" s="17"/>
      <c r="AT64" s="9" t="e">
        <f t="shared" si="11"/>
        <v>#DIV/0!</v>
      </c>
      <c r="AU64" s="208"/>
      <c r="AV64" s="209"/>
      <c r="AW64" s="9" t="str">
        <f t="shared" si="12"/>
        <v>0</v>
      </c>
      <c r="AX64" s="7" t="e">
        <f t="shared" si="1"/>
        <v>#DIV/0!</v>
      </c>
      <c r="AY64" s="18" t="e">
        <f t="shared" si="1"/>
        <v>#DIV/0!</v>
      </c>
      <c r="AZ64" s="232"/>
      <c r="BA64" s="4" t="e">
        <f t="shared" si="2"/>
        <v>#DIV/0!</v>
      </c>
      <c r="BB64" s="4" t="e">
        <f t="shared" si="13"/>
        <v>#DIV/0!</v>
      </c>
      <c r="BC64" s="4" t="e">
        <f t="shared" si="14"/>
        <v>#DIV/0!</v>
      </c>
      <c r="BD64" s="4">
        <f t="shared" si="15"/>
        <v>0</v>
      </c>
      <c r="BE64" s="12" t="e">
        <f t="shared" si="3"/>
        <v>#DIV/0!</v>
      </c>
      <c r="BF64" s="4" t="e">
        <f t="shared" si="16"/>
        <v>#DIV/0!</v>
      </c>
      <c r="BG64" s="4" t="e">
        <f t="shared" si="17"/>
        <v>#DIV/0!</v>
      </c>
      <c r="BH64" s="4" t="e">
        <f t="shared" si="18"/>
        <v>#DIV/0!</v>
      </c>
      <c r="BI64" s="4">
        <f t="shared" si="19"/>
        <v>0</v>
      </c>
      <c r="BJ64" s="12" t="e">
        <f t="shared" si="4"/>
        <v>#DIV/0!</v>
      </c>
      <c r="BK64" s="12" t="e">
        <f t="shared" si="5"/>
        <v>#DIV/0!</v>
      </c>
      <c r="BL64" s="12"/>
      <c r="BM64" s="10"/>
      <c r="BN64" s="176"/>
      <c r="BO64" s="12" t="e">
        <f t="shared" si="20"/>
        <v>#DIV/0!</v>
      </c>
      <c r="BP64" s="11"/>
      <c r="BQ64" s="6"/>
      <c r="BR64" s="6"/>
    </row>
    <row r="65" spans="1:70" ht="18" customHeight="1">
      <c r="A65" s="326">
        <v>27</v>
      </c>
      <c r="B65" s="328"/>
      <c r="C65" s="329"/>
      <c r="D65" s="225"/>
      <c r="E65" s="24">
        <v>1</v>
      </c>
      <c r="F65" s="17"/>
      <c r="G65" s="17"/>
      <c r="H65" s="17"/>
      <c r="I65" s="17"/>
      <c r="J65" s="17"/>
      <c r="K65" s="8" t="e">
        <f t="shared" si="6"/>
        <v>#DIV/0!</v>
      </c>
      <c r="L65" s="17"/>
      <c r="M65" s="17"/>
      <c r="N65" s="17"/>
      <c r="O65" s="17"/>
      <c r="P65" s="17"/>
      <c r="Q65" s="9" t="e">
        <f t="shared" si="23"/>
        <v>#DIV/0!</v>
      </c>
      <c r="R65" s="17"/>
      <c r="S65" s="17"/>
      <c r="T65" s="17"/>
      <c r="U65" s="17"/>
      <c r="V65" s="17"/>
      <c r="W65" s="9" t="e">
        <f t="shared" si="7"/>
        <v>#DIV/0!</v>
      </c>
      <c r="X65" s="233"/>
      <c r="Y65" s="234"/>
      <c r="Z65" s="9" t="str">
        <f t="shared" si="8"/>
        <v>0</v>
      </c>
      <c r="AA65" s="7" t="e">
        <f t="shared" si="0"/>
        <v>#DIV/0!</v>
      </c>
      <c r="AB65" s="365"/>
      <c r="AC65" s="17"/>
      <c r="AD65" s="17"/>
      <c r="AE65" s="17"/>
      <c r="AF65" s="17"/>
      <c r="AG65" s="17"/>
      <c r="AH65" s="9" t="e">
        <f t="shared" si="9"/>
        <v>#DIV/0!</v>
      </c>
      <c r="AI65" s="17"/>
      <c r="AJ65" s="17"/>
      <c r="AK65" s="17"/>
      <c r="AL65" s="17"/>
      <c r="AM65" s="17"/>
      <c r="AN65" s="9" t="e">
        <f t="shared" si="10"/>
        <v>#DIV/0!</v>
      </c>
      <c r="AO65" s="17"/>
      <c r="AP65" s="17"/>
      <c r="AQ65" s="17"/>
      <c r="AR65" s="17"/>
      <c r="AS65" s="17"/>
      <c r="AT65" s="9" t="e">
        <f t="shared" si="11"/>
        <v>#DIV/0!</v>
      </c>
      <c r="AU65" s="208"/>
      <c r="AV65" s="209"/>
      <c r="AW65" s="9" t="str">
        <f t="shared" si="12"/>
        <v>0</v>
      </c>
      <c r="AX65" s="7" t="e">
        <f t="shared" si="1"/>
        <v>#DIV/0!</v>
      </c>
      <c r="AY65" s="18" t="e">
        <f t="shared" si="1"/>
        <v>#DIV/0!</v>
      </c>
      <c r="AZ65" s="231" t="e">
        <f t="shared" ref="AZ65" si="59">IF(BP65&gt;=4.5, " 5 ", IF(BP65&gt;=3.5," 4 ",IF(BP65&gt;=2.5," 3  ",IF(BP65&gt;=1.5," 2 ",IF(BP65&gt;=1,"1 ",IF(BP65&gt;=0,"0"))))))</f>
        <v>#DIV/0!</v>
      </c>
      <c r="BA65" s="4" t="e">
        <f t="shared" si="2"/>
        <v>#DIV/0!</v>
      </c>
      <c r="BB65" s="4" t="e">
        <f t="shared" si="13"/>
        <v>#DIV/0!</v>
      </c>
      <c r="BC65" s="4" t="e">
        <f t="shared" si="14"/>
        <v>#DIV/0!</v>
      </c>
      <c r="BD65" s="4">
        <f t="shared" si="15"/>
        <v>0</v>
      </c>
      <c r="BE65" s="12" t="e">
        <f t="shared" si="3"/>
        <v>#DIV/0!</v>
      </c>
      <c r="BF65" s="4" t="e">
        <f t="shared" si="16"/>
        <v>#DIV/0!</v>
      </c>
      <c r="BG65" s="4" t="e">
        <f t="shared" si="17"/>
        <v>#DIV/0!</v>
      </c>
      <c r="BH65" s="4" t="e">
        <f t="shared" si="18"/>
        <v>#DIV/0!</v>
      </c>
      <c r="BI65" s="4">
        <f t="shared" si="19"/>
        <v>0</v>
      </c>
      <c r="BJ65" s="12" t="e">
        <f t="shared" si="4"/>
        <v>#DIV/0!</v>
      </c>
      <c r="BK65" s="12" t="e">
        <f t="shared" si="5"/>
        <v>#DIV/0!</v>
      </c>
      <c r="BL65" s="12" t="e">
        <f>(BE65+BJ65)/2</f>
        <v>#DIV/0!</v>
      </c>
      <c r="BM65" s="10" t="e">
        <f t="shared" si="21"/>
        <v>#DIV/0!</v>
      </c>
      <c r="BN65" s="176" t="e">
        <f t="shared" si="33"/>
        <v>#DIV/0!</v>
      </c>
      <c r="BO65" s="12"/>
      <c r="BP65" s="11" t="e">
        <f t="shared" si="25"/>
        <v>#DIV/0!</v>
      </c>
      <c r="BQ65" s="6"/>
      <c r="BR65" s="6"/>
    </row>
    <row r="66" spans="1:70" ht="18" customHeight="1" thickBot="1">
      <c r="A66" s="327"/>
      <c r="B66" s="330"/>
      <c r="C66" s="331"/>
      <c r="D66" s="225"/>
      <c r="E66" s="26">
        <v>2</v>
      </c>
      <c r="F66" s="17"/>
      <c r="G66" s="17"/>
      <c r="H66" s="17"/>
      <c r="I66" s="17"/>
      <c r="J66" s="17"/>
      <c r="K66" s="8" t="e">
        <f t="shared" si="6"/>
        <v>#DIV/0!</v>
      </c>
      <c r="L66" s="17"/>
      <c r="M66" s="17"/>
      <c r="N66" s="17"/>
      <c r="O66" s="17"/>
      <c r="P66" s="17"/>
      <c r="Q66" s="9" t="e">
        <f t="shared" si="23"/>
        <v>#DIV/0!</v>
      </c>
      <c r="R66" s="17"/>
      <c r="S66" s="17"/>
      <c r="T66" s="17"/>
      <c r="U66" s="17"/>
      <c r="V66" s="17"/>
      <c r="W66" s="9" t="e">
        <f t="shared" si="7"/>
        <v>#DIV/0!</v>
      </c>
      <c r="X66" s="233"/>
      <c r="Y66" s="234"/>
      <c r="Z66" s="9" t="str">
        <f t="shared" si="8"/>
        <v>0</v>
      </c>
      <c r="AA66" s="7" t="e">
        <f t="shared" si="0"/>
        <v>#DIV/0!</v>
      </c>
      <c r="AB66" s="365"/>
      <c r="AC66" s="17"/>
      <c r="AD66" s="17"/>
      <c r="AE66" s="17"/>
      <c r="AF66" s="17"/>
      <c r="AG66" s="17"/>
      <c r="AH66" s="9" t="e">
        <f t="shared" si="9"/>
        <v>#DIV/0!</v>
      </c>
      <c r="AI66" s="17"/>
      <c r="AJ66" s="17"/>
      <c r="AK66" s="17"/>
      <c r="AL66" s="17"/>
      <c r="AM66" s="17"/>
      <c r="AN66" s="9" t="e">
        <f t="shared" si="10"/>
        <v>#DIV/0!</v>
      </c>
      <c r="AO66" s="17"/>
      <c r="AP66" s="17"/>
      <c r="AQ66" s="17"/>
      <c r="AR66" s="17"/>
      <c r="AS66" s="17"/>
      <c r="AT66" s="9" t="e">
        <f t="shared" si="11"/>
        <v>#DIV/0!</v>
      </c>
      <c r="AU66" s="208"/>
      <c r="AV66" s="209"/>
      <c r="AW66" s="9" t="str">
        <f t="shared" si="12"/>
        <v>0</v>
      </c>
      <c r="AX66" s="7" t="e">
        <f t="shared" si="1"/>
        <v>#DIV/0!</v>
      </c>
      <c r="AY66" s="18" t="e">
        <f t="shared" si="1"/>
        <v>#DIV/0!</v>
      </c>
      <c r="AZ66" s="232"/>
      <c r="BA66" s="4" t="e">
        <f t="shared" si="2"/>
        <v>#DIV/0!</v>
      </c>
      <c r="BB66" s="4" t="e">
        <f t="shared" si="13"/>
        <v>#DIV/0!</v>
      </c>
      <c r="BC66" s="4" t="e">
        <f t="shared" si="14"/>
        <v>#DIV/0!</v>
      </c>
      <c r="BD66" s="4">
        <f t="shared" si="15"/>
        <v>0</v>
      </c>
      <c r="BE66" s="12" t="e">
        <f t="shared" si="3"/>
        <v>#DIV/0!</v>
      </c>
      <c r="BF66" s="4" t="e">
        <f t="shared" si="16"/>
        <v>#DIV/0!</v>
      </c>
      <c r="BG66" s="4" t="e">
        <f t="shared" si="17"/>
        <v>#DIV/0!</v>
      </c>
      <c r="BH66" s="4" t="e">
        <f t="shared" si="18"/>
        <v>#DIV/0!</v>
      </c>
      <c r="BI66" s="4">
        <f t="shared" si="19"/>
        <v>0</v>
      </c>
      <c r="BJ66" s="12" t="e">
        <f t="shared" si="4"/>
        <v>#DIV/0!</v>
      </c>
      <c r="BK66" s="12" t="e">
        <f t="shared" si="5"/>
        <v>#DIV/0!</v>
      </c>
      <c r="BL66" s="12"/>
      <c r="BM66" s="10"/>
      <c r="BN66" s="176"/>
      <c r="BO66" s="12" t="e">
        <f t="shared" si="20"/>
        <v>#DIV/0!</v>
      </c>
      <c r="BP66" s="11"/>
      <c r="BQ66" s="6"/>
      <c r="BR66" s="6"/>
    </row>
    <row r="67" spans="1:70" ht="18.75" customHeight="1">
      <c r="A67" s="326">
        <v>28</v>
      </c>
      <c r="B67" s="328"/>
      <c r="C67" s="329"/>
      <c r="D67" s="225"/>
      <c r="E67" s="27">
        <v>1</v>
      </c>
      <c r="F67" s="17"/>
      <c r="G67" s="17"/>
      <c r="H67" s="17"/>
      <c r="I67" s="17"/>
      <c r="J67" s="17"/>
      <c r="K67" s="8" t="e">
        <f t="shared" si="6"/>
        <v>#DIV/0!</v>
      </c>
      <c r="L67" s="17"/>
      <c r="M67" s="17"/>
      <c r="N67" s="17"/>
      <c r="O67" s="17"/>
      <c r="P67" s="17"/>
      <c r="Q67" s="9" t="e">
        <f t="shared" si="23"/>
        <v>#DIV/0!</v>
      </c>
      <c r="R67" s="17"/>
      <c r="S67" s="17"/>
      <c r="T67" s="17"/>
      <c r="U67" s="17"/>
      <c r="V67" s="17"/>
      <c r="W67" s="9" t="e">
        <f t="shared" si="7"/>
        <v>#DIV/0!</v>
      </c>
      <c r="X67" s="233"/>
      <c r="Y67" s="234"/>
      <c r="Z67" s="9" t="str">
        <f t="shared" si="8"/>
        <v>0</v>
      </c>
      <c r="AA67" s="7" t="e">
        <f t="shared" si="0"/>
        <v>#DIV/0!</v>
      </c>
      <c r="AB67" s="365"/>
      <c r="AC67" s="17"/>
      <c r="AD67" s="17"/>
      <c r="AE67" s="17"/>
      <c r="AF67" s="17"/>
      <c r="AG67" s="17"/>
      <c r="AH67" s="9" t="e">
        <f t="shared" si="9"/>
        <v>#DIV/0!</v>
      </c>
      <c r="AI67" s="17"/>
      <c r="AJ67" s="17"/>
      <c r="AK67" s="17"/>
      <c r="AL67" s="17"/>
      <c r="AM67" s="17"/>
      <c r="AN67" s="9" t="e">
        <f t="shared" si="10"/>
        <v>#DIV/0!</v>
      </c>
      <c r="AO67" s="17"/>
      <c r="AP67" s="17"/>
      <c r="AQ67" s="17"/>
      <c r="AR67" s="17"/>
      <c r="AS67" s="17"/>
      <c r="AT67" s="9" t="e">
        <f t="shared" si="11"/>
        <v>#DIV/0!</v>
      </c>
      <c r="AU67" s="208"/>
      <c r="AV67" s="209"/>
      <c r="AW67" s="9" t="str">
        <f t="shared" si="12"/>
        <v>0</v>
      </c>
      <c r="AX67" s="7" t="e">
        <f t="shared" si="1"/>
        <v>#DIV/0!</v>
      </c>
      <c r="AY67" s="18" t="e">
        <f t="shared" si="1"/>
        <v>#DIV/0!</v>
      </c>
      <c r="AZ67" s="231" t="e">
        <f t="shared" ref="AZ67" si="60">IF(BP67&gt;=4.5, " 5 ", IF(BP67&gt;=3.5," 4 ",IF(BP67&gt;=2.5," 3  ",IF(BP67&gt;=1.5," 2 ",IF(BP67&gt;=1,"1 ",IF(BP67&gt;=0,"0"))))))</f>
        <v>#DIV/0!</v>
      </c>
      <c r="BA67" s="4" t="e">
        <f t="shared" si="2"/>
        <v>#DIV/0!</v>
      </c>
      <c r="BB67" s="4" t="e">
        <f t="shared" si="13"/>
        <v>#DIV/0!</v>
      </c>
      <c r="BC67" s="4" t="e">
        <f t="shared" si="14"/>
        <v>#DIV/0!</v>
      </c>
      <c r="BD67" s="4">
        <f t="shared" si="15"/>
        <v>0</v>
      </c>
      <c r="BE67" s="12" t="e">
        <f t="shared" si="3"/>
        <v>#DIV/0!</v>
      </c>
      <c r="BF67" s="4" t="e">
        <f t="shared" si="16"/>
        <v>#DIV/0!</v>
      </c>
      <c r="BG67" s="4" t="e">
        <f t="shared" si="17"/>
        <v>#DIV/0!</v>
      </c>
      <c r="BH67" s="4" t="e">
        <f t="shared" si="18"/>
        <v>#DIV/0!</v>
      </c>
      <c r="BI67" s="4">
        <f t="shared" si="19"/>
        <v>0</v>
      </c>
      <c r="BJ67" s="12" t="e">
        <f t="shared" si="4"/>
        <v>#DIV/0!</v>
      </c>
      <c r="BK67" s="12" t="e">
        <f t="shared" si="5"/>
        <v>#DIV/0!</v>
      </c>
      <c r="BL67" s="12" t="e">
        <f>(BE67+BJ67)/2</f>
        <v>#DIV/0!</v>
      </c>
      <c r="BM67" s="10" t="e">
        <f t="shared" si="21"/>
        <v>#DIV/0!</v>
      </c>
      <c r="BN67" s="176" t="e">
        <f t="shared" si="35"/>
        <v>#DIV/0!</v>
      </c>
      <c r="BO67" s="12"/>
      <c r="BP67" s="11" t="e">
        <f t="shared" si="25"/>
        <v>#DIV/0!</v>
      </c>
      <c r="BQ67" s="6"/>
      <c r="BR67" s="6"/>
    </row>
    <row r="68" spans="1:70" ht="19.5" customHeight="1" thickBot="1">
      <c r="A68" s="327"/>
      <c r="B68" s="330"/>
      <c r="C68" s="331"/>
      <c r="D68" s="225"/>
      <c r="E68" s="28">
        <v>2</v>
      </c>
      <c r="F68" s="17"/>
      <c r="G68" s="17"/>
      <c r="H68" s="17"/>
      <c r="I68" s="17"/>
      <c r="J68" s="17"/>
      <c r="K68" s="8" t="e">
        <f t="shared" si="6"/>
        <v>#DIV/0!</v>
      </c>
      <c r="L68" s="17"/>
      <c r="M68" s="17"/>
      <c r="N68" s="17"/>
      <c r="O68" s="17"/>
      <c r="P68" s="17"/>
      <c r="Q68" s="9" t="e">
        <f t="shared" si="23"/>
        <v>#DIV/0!</v>
      </c>
      <c r="R68" s="17"/>
      <c r="S68" s="17"/>
      <c r="T68" s="17"/>
      <c r="U68" s="17"/>
      <c r="V68" s="17"/>
      <c r="W68" s="9" t="e">
        <f t="shared" si="7"/>
        <v>#DIV/0!</v>
      </c>
      <c r="X68" s="233"/>
      <c r="Y68" s="234"/>
      <c r="Z68" s="9" t="str">
        <f t="shared" si="8"/>
        <v>0</v>
      </c>
      <c r="AA68" s="7" t="e">
        <f t="shared" si="0"/>
        <v>#DIV/0!</v>
      </c>
      <c r="AB68" s="365"/>
      <c r="AC68" s="17"/>
      <c r="AD68" s="17"/>
      <c r="AE68" s="17"/>
      <c r="AF68" s="17"/>
      <c r="AG68" s="17"/>
      <c r="AH68" s="9" t="e">
        <f t="shared" si="9"/>
        <v>#DIV/0!</v>
      </c>
      <c r="AI68" s="17"/>
      <c r="AJ68" s="17"/>
      <c r="AK68" s="17"/>
      <c r="AL68" s="17"/>
      <c r="AM68" s="17"/>
      <c r="AN68" s="9" t="e">
        <f t="shared" si="10"/>
        <v>#DIV/0!</v>
      </c>
      <c r="AO68" s="17"/>
      <c r="AP68" s="17"/>
      <c r="AQ68" s="17"/>
      <c r="AR68" s="17"/>
      <c r="AS68" s="17"/>
      <c r="AT68" s="9" t="e">
        <f t="shared" si="11"/>
        <v>#DIV/0!</v>
      </c>
      <c r="AU68" s="208"/>
      <c r="AV68" s="209"/>
      <c r="AW68" s="9" t="str">
        <f t="shared" si="12"/>
        <v>0</v>
      </c>
      <c r="AX68" s="7" t="e">
        <f t="shared" si="1"/>
        <v>#DIV/0!</v>
      </c>
      <c r="AY68" s="18" t="e">
        <f t="shared" si="1"/>
        <v>#DIV/0!</v>
      </c>
      <c r="AZ68" s="232"/>
      <c r="BA68" s="4" t="e">
        <f t="shared" si="2"/>
        <v>#DIV/0!</v>
      </c>
      <c r="BB68" s="4" t="e">
        <f t="shared" si="13"/>
        <v>#DIV/0!</v>
      </c>
      <c r="BC68" s="4" t="e">
        <f t="shared" si="14"/>
        <v>#DIV/0!</v>
      </c>
      <c r="BD68" s="4">
        <f t="shared" si="15"/>
        <v>0</v>
      </c>
      <c r="BE68" s="12" t="e">
        <f t="shared" si="3"/>
        <v>#DIV/0!</v>
      </c>
      <c r="BF68" s="4" t="e">
        <f t="shared" si="16"/>
        <v>#DIV/0!</v>
      </c>
      <c r="BG68" s="4" t="e">
        <f t="shared" si="17"/>
        <v>#DIV/0!</v>
      </c>
      <c r="BH68" s="4" t="e">
        <f t="shared" si="18"/>
        <v>#DIV/0!</v>
      </c>
      <c r="BI68" s="4">
        <f t="shared" si="19"/>
        <v>0</v>
      </c>
      <c r="BJ68" s="12" t="e">
        <f t="shared" si="4"/>
        <v>#DIV/0!</v>
      </c>
      <c r="BK68" s="12" t="e">
        <f t="shared" si="5"/>
        <v>#DIV/0!</v>
      </c>
      <c r="BL68" s="12"/>
      <c r="BM68" s="10"/>
      <c r="BN68" s="176"/>
      <c r="BO68" s="12" t="e">
        <f t="shared" si="20"/>
        <v>#DIV/0!</v>
      </c>
      <c r="BP68" s="11"/>
      <c r="BQ68" s="6"/>
      <c r="BR68" s="6"/>
    </row>
    <row r="69" spans="1:70" ht="18.75" customHeight="1">
      <c r="A69" s="326">
        <v>29</v>
      </c>
      <c r="B69" s="328"/>
      <c r="C69" s="329"/>
      <c r="D69" s="225"/>
      <c r="E69" s="27">
        <v>1</v>
      </c>
      <c r="F69" s="17"/>
      <c r="G69" s="17"/>
      <c r="H69" s="17"/>
      <c r="I69" s="17"/>
      <c r="J69" s="17"/>
      <c r="K69" s="8" t="e">
        <f t="shared" si="6"/>
        <v>#DIV/0!</v>
      </c>
      <c r="L69" s="17"/>
      <c r="M69" s="17"/>
      <c r="N69" s="17"/>
      <c r="O69" s="17"/>
      <c r="P69" s="17"/>
      <c r="Q69" s="9" t="e">
        <f t="shared" si="23"/>
        <v>#DIV/0!</v>
      </c>
      <c r="R69" s="17"/>
      <c r="S69" s="17"/>
      <c r="T69" s="17"/>
      <c r="U69" s="17"/>
      <c r="V69" s="17"/>
      <c r="W69" s="9" t="e">
        <f t="shared" si="7"/>
        <v>#DIV/0!</v>
      </c>
      <c r="X69" s="233"/>
      <c r="Y69" s="234"/>
      <c r="Z69" s="9" t="str">
        <f t="shared" si="8"/>
        <v>0</v>
      </c>
      <c r="AA69" s="7" t="e">
        <f t="shared" si="0"/>
        <v>#DIV/0!</v>
      </c>
      <c r="AB69" s="365"/>
      <c r="AC69" s="17"/>
      <c r="AD69" s="17"/>
      <c r="AE69" s="17"/>
      <c r="AF69" s="17"/>
      <c r="AG69" s="17"/>
      <c r="AH69" s="9" t="e">
        <f t="shared" si="9"/>
        <v>#DIV/0!</v>
      </c>
      <c r="AI69" s="17"/>
      <c r="AJ69" s="17"/>
      <c r="AK69" s="17"/>
      <c r="AL69" s="17"/>
      <c r="AM69" s="17"/>
      <c r="AN69" s="9" t="e">
        <f t="shared" si="10"/>
        <v>#DIV/0!</v>
      </c>
      <c r="AO69" s="17"/>
      <c r="AP69" s="17"/>
      <c r="AQ69" s="17"/>
      <c r="AR69" s="17"/>
      <c r="AS69" s="17"/>
      <c r="AT69" s="9" t="e">
        <f t="shared" si="11"/>
        <v>#DIV/0!</v>
      </c>
      <c r="AU69" s="208"/>
      <c r="AV69" s="209"/>
      <c r="AW69" s="9" t="str">
        <f t="shared" si="12"/>
        <v>0</v>
      </c>
      <c r="AX69" s="7" t="e">
        <f t="shared" si="1"/>
        <v>#DIV/0!</v>
      </c>
      <c r="AY69" s="18" t="e">
        <f t="shared" si="1"/>
        <v>#DIV/0!</v>
      </c>
      <c r="AZ69" s="231" t="e">
        <f t="shared" ref="AZ69" si="61">IF(BP69&gt;=4.5, " 5 ", IF(BP69&gt;=3.5," 4 ",IF(BP69&gt;=2.5," 3  ",IF(BP69&gt;=1.5," 2 ",IF(BP69&gt;=1,"1 ",IF(BP69&gt;=0,"0"))))))</f>
        <v>#DIV/0!</v>
      </c>
      <c r="BA69" s="4" t="e">
        <f t="shared" si="2"/>
        <v>#DIV/0!</v>
      </c>
      <c r="BB69" s="4" t="e">
        <f t="shared" si="13"/>
        <v>#DIV/0!</v>
      </c>
      <c r="BC69" s="4" t="e">
        <f t="shared" si="14"/>
        <v>#DIV/0!</v>
      </c>
      <c r="BD69" s="4">
        <f t="shared" si="15"/>
        <v>0</v>
      </c>
      <c r="BE69" s="12" t="e">
        <f t="shared" si="3"/>
        <v>#DIV/0!</v>
      </c>
      <c r="BF69" s="4" t="e">
        <f t="shared" si="16"/>
        <v>#DIV/0!</v>
      </c>
      <c r="BG69" s="4" t="e">
        <f t="shared" si="17"/>
        <v>#DIV/0!</v>
      </c>
      <c r="BH69" s="4" t="e">
        <f t="shared" si="18"/>
        <v>#DIV/0!</v>
      </c>
      <c r="BI69" s="4">
        <f t="shared" si="19"/>
        <v>0</v>
      </c>
      <c r="BJ69" s="12" t="e">
        <f t="shared" si="4"/>
        <v>#DIV/0!</v>
      </c>
      <c r="BK69" s="12" t="e">
        <f t="shared" si="5"/>
        <v>#DIV/0!</v>
      </c>
      <c r="BL69" s="12" t="e">
        <f>(BE69+BJ69)/2</f>
        <v>#DIV/0!</v>
      </c>
      <c r="BM69" s="10" t="e">
        <f t="shared" si="21"/>
        <v>#DIV/0!</v>
      </c>
      <c r="BN69" s="176" t="e">
        <f t="shared" ref="BN69" si="62">ROUND(BO70,)</f>
        <v>#DIV/0!</v>
      </c>
      <c r="BO69" s="12"/>
      <c r="BP69" s="11" t="e">
        <f t="shared" si="25"/>
        <v>#DIV/0!</v>
      </c>
      <c r="BQ69" s="6"/>
      <c r="BR69" s="6"/>
    </row>
    <row r="70" spans="1:70" ht="17.25" customHeight="1" thickBot="1">
      <c r="A70" s="327"/>
      <c r="B70" s="330"/>
      <c r="C70" s="331"/>
      <c r="D70" s="225"/>
      <c r="E70" s="29">
        <v>2</v>
      </c>
      <c r="F70" s="17"/>
      <c r="G70" s="17"/>
      <c r="H70" s="17"/>
      <c r="I70" s="17"/>
      <c r="J70" s="17"/>
      <c r="K70" s="8" t="e">
        <f t="shared" si="6"/>
        <v>#DIV/0!</v>
      </c>
      <c r="L70" s="17"/>
      <c r="M70" s="17"/>
      <c r="N70" s="17"/>
      <c r="O70" s="17"/>
      <c r="P70" s="17"/>
      <c r="Q70" s="9" t="e">
        <f t="shared" si="23"/>
        <v>#DIV/0!</v>
      </c>
      <c r="R70" s="17"/>
      <c r="S70" s="17"/>
      <c r="T70" s="17"/>
      <c r="U70" s="17"/>
      <c r="V70" s="17"/>
      <c r="W70" s="9" t="e">
        <f t="shared" si="7"/>
        <v>#DIV/0!</v>
      </c>
      <c r="X70" s="233"/>
      <c r="Y70" s="234"/>
      <c r="Z70" s="9" t="str">
        <f t="shared" si="8"/>
        <v>0</v>
      </c>
      <c r="AA70" s="7" t="e">
        <f t="shared" si="0"/>
        <v>#DIV/0!</v>
      </c>
      <c r="AB70" s="365"/>
      <c r="AC70" s="17"/>
      <c r="AD70" s="17"/>
      <c r="AE70" s="17"/>
      <c r="AF70" s="17"/>
      <c r="AG70" s="17"/>
      <c r="AH70" s="9" t="e">
        <f t="shared" si="9"/>
        <v>#DIV/0!</v>
      </c>
      <c r="AI70" s="17"/>
      <c r="AJ70" s="17"/>
      <c r="AK70" s="17"/>
      <c r="AL70" s="17"/>
      <c r="AM70" s="17"/>
      <c r="AN70" s="9" t="e">
        <f t="shared" si="10"/>
        <v>#DIV/0!</v>
      </c>
      <c r="AO70" s="17"/>
      <c r="AP70" s="17"/>
      <c r="AQ70" s="17"/>
      <c r="AR70" s="17"/>
      <c r="AS70" s="17"/>
      <c r="AT70" s="9" t="e">
        <f t="shared" si="11"/>
        <v>#DIV/0!</v>
      </c>
      <c r="AU70" s="208"/>
      <c r="AV70" s="209"/>
      <c r="AW70" s="9" t="str">
        <f t="shared" si="12"/>
        <v>0</v>
      </c>
      <c r="AX70" s="7" t="e">
        <f t="shared" si="1"/>
        <v>#DIV/0!</v>
      </c>
      <c r="AY70" s="18" t="e">
        <f t="shared" si="1"/>
        <v>#DIV/0!</v>
      </c>
      <c r="AZ70" s="232"/>
      <c r="BA70" s="4" t="e">
        <f t="shared" si="2"/>
        <v>#DIV/0!</v>
      </c>
      <c r="BB70" s="4" t="e">
        <f t="shared" si="13"/>
        <v>#DIV/0!</v>
      </c>
      <c r="BC70" s="4" t="e">
        <f t="shared" si="14"/>
        <v>#DIV/0!</v>
      </c>
      <c r="BD70" s="4">
        <f t="shared" si="15"/>
        <v>0</v>
      </c>
      <c r="BE70" s="12" t="e">
        <f t="shared" si="3"/>
        <v>#DIV/0!</v>
      </c>
      <c r="BF70" s="4" t="e">
        <f t="shared" si="16"/>
        <v>#DIV/0!</v>
      </c>
      <c r="BG70" s="4" t="e">
        <f t="shared" si="17"/>
        <v>#DIV/0!</v>
      </c>
      <c r="BH70" s="4" t="e">
        <f t="shared" si="18"/>
        <v>#DIV/0!</v>
      </c>
      <c r="BI70" s="4">
        <f t="shared" si="19"/>
        <v>0</v>
      </c>
      <c r="BJ70" s="12" t="e">
        <f t="shared" si="4"/>
        <v>#DIV/0!</v>
      </c>
      <c r="BK70" s="12" t="e">
        <f t="shared" si="5"/>
        <v>#DIV/0!</v>
      </c>
      <c r="BL70" s="12"/>
      <c r="BM70" s="10"/>
      <c r="BN70" s="176"/>
      <c r="BO70" s="12" t="e">
        <f t="shared" si="20"/>
        <v>#DIV/0!</v>
      </c>
      <c r="BP70" s="11"/>
      <c r="BQ70" s="6"/>
      <c r="BR70" s="6"/>
    </row>
    <row r="71" spans="1:70" ht="17.25" customHeight="1">
      <c r="A71" s="326">
        <v>30</v>
      </c>
      <c r="B71" s="328"/>
      <c r="C71" s="329"/>
      <c r="D71" s="225"/>
      <c r="E71" s="24">
        <v>1</v>
      </c>
      <c r="F71" s="17"/>
      <c r="G71" s="17"/>
      <c r="H71" s="17"/>
      <c r="I71" s="17"/>
      <c r="J71" s="17"/>
      <c r="K71" s="8" t="e">
        <f t="shared" si="6"/>
        <v>#DIV/0!</v>
      </c>
      <c r="L71" s="17"/>
      <c r="M71" s="17"/>
      <c r="N71" s="17"/>
      <c r="O71" s="17"/>
      <c r="P71" s="17"/>
      <c r="Q71" s="9" t="e">
        <f t="shared" si="23"/>
        <v>#DIV/0!</v>
      </c>
      <c r="R71" s="17"/>
      <c r="S71" s="17"/>
      <c r="T71" s="17"/>
      <c r="U71" s="17"/>
      <c r="V71" s="17"/>
      <c r="W71" s="9" t="e">
        <f t="shared" si="7"/>
        <v>#DIV/0!</v>
      </c>
      <c r="X71" s="233"/>
      <c r="Y71" s="234"/>
      <c r="Z71" s="9" t="str">
        <f t="shared" si="8"/>
        <v>0</v>
      </c>
      <c r="AA71" s="7" t="e">
        <f t="shared" si="0"/>
        <v>#DIV/0!</v>
      </c>
      <c r="AB71" s="365"/>
      <c r="AC71" s="17"/>
      <c r="AD71" s="17"/>
      <c r="AE71" s="17"/>
      <c r="AF71" s="17"/>
      <c r="AG71" s="17"/>
      <c r="AH71" s="9" t="e">
        <f t="shared" si="9"/>
        <v>#DIV/0!</v>
      </c>
      <c r="AI71" s="17"/>
      <c r="AJ71" s="17"/>
      <c r="AK71" s="17"/>
      <c r="AL71" s="17"/>
      <c r="AM71" s="17"/>
      <c r="AN71" s="9" t="e">
        <f t="shared" si="10"/>
        <v>#DIV/0!</v>
      </c>
      <c r="AO71" s="17"/>
      <c r="AP71" s="17"/>
      <c r="AQ71" s="17"/>
      <c r="AR71" s="17"/>
      <c r="AS71" s="17"/>
      <c r="AT71" s="9" t="e">
        <f t="shared" si="11"/>
        <v>#DIV/0!</v>
      </c>
      <c r="AU71" s="208"/>
      <c r="AV71" s="209"/>
      <c r="AW71" s="9" t="str">
        <f t="shared" si="12"/>
        <v>0</v>
      </c>
      <c r="AX71" s="7" t="e">
        <f t="shared" si="1"/>
        <v>#DIV/0!</v>
      </c>
      <c r="AY71" s="18" t="e">
        <f t="shared" si="1"/>
        <v>#DIV/0!</v>
      </c>
      <c r="AZ71" s="231" t="e">
        <f t="shared" ref="AZ71" si="63">IF(BP71&gt;=4.5, " 5 ", IF(BP71&gt;=3.5," 4 ",IF(BP71&gt;=2.5," 3  ",IF(BP71&gt;=1.5," 2 ",IF(BP71&gt;=1,"1 ",IF(BP71&gt;=0,"0"))))))</f>
        <v>#DIV/0!</v>
      </c>
      <c r="BA71" s="4" t="e">
        <f t="shared" si="2"/>
        <v>#DIV/0!</v>
      </c>
      <c r="BB71" s="4" t="e">
        <f t="shared" si="13"/>
        <v>#DIV/0!</v>
      </c>
      <c r="BC71" s="4" t="e">
        <f t="shared" si="14"/>
        <v>#DIV/0!</v>
      </c>
      <c r="BD71" s="4">
        <f t="shared" si="15"/>
        <v>0</v>
      </c>
      <c r="BE71" s="12" t="e">
        <f t="shared" si="3"/>
        <v>#DIV/0!</v>
      </c>
      <c r="BF71" s="4" t="e">
        <f t="shared" si="16"/>
        <v>#DIV/0!</v>
      </c>
      <c r="BG71" s="4" t="e">
        <f t="shared" si="17"/>
        <v>#DIV/0!</v>
      </c>
      <c r="BH71" s="4" t="e">
        <f t="shared" si="18"/>
        <v>#DIV/0!</v>
      </c>
      <c r="BI71" s="4">
        <f t="shared" si="19"/>
        <v>0</v>
      </c>
      <c r="BJ71" s="12" t="e">
        <f t="shared" si="4"/>
        <v>#DIV/0!</v>
      </c>
      <c r="BK71" s="12" t="e">
        <f t="shared" si="5"/>
        <v>#DIV/0!</v>
      </c>
      <c r="BL71" s="12" t="e">
        <f>(BE71+BJ71)/2</f>
        <v>#DIV/0!</v>
      </c>
      <c r="BM71" s="10" t="e">
        <f t="shared" si="21"/>
        <v>#DIV/0!</v>
      </c>
      <c r="BN71" s="176" t="e">
        <f t="shared" si="31"/>
        <v>#DIV/0!</v>
      </c>
      <c r="BO71" s="12"/>
      <c r="BP71" s="11" t="e">
        <f t="shared" si="25"/>
        <v>#DIV/0!</v>
      </c>
      <c r="BQ71" s="6"/>
      <c r="BR71" s="6"/>
    </row>
    <row r="72" spans="1:70" ht="17.25" customHeight="1" thickBot="1">
      <c r="A72" s="327"/>
      <c r="B72" s="330"/>
      <c r="C72" s="331"/>
      <c r="D72" s="225"/>
      <c r="E72" s="25">
        <v>2</v>
      </c>
      <c r="F72" s="17"/>
      <c r="G72" s="17"/>
      <c r="H72" s="17"/>
      <c r="I72" s="17"/>
      <c r="J72" s="17"/>
      <c r="K72" s="8" t="e">
        <f t="shared" si="6"/>
        <v>#DIV/0!</v>
      </c>
      <c r="L72" s="17"/>
      <c r="M72" s="17"/>
      <c r="N72" s="17"/>
      <c r="O72" s="17"/>
      <c r="P72" s="17"/>
      <c r="Q72" s="9" t="e">
        <f t="shared" si="23"/>
        <v>#DIV/0!</v>
      </c>
      <c r="R72" s="17"/>
      <c r="S72" s="17"/>
      <c r="T72" s="17"/>
      <c r="U72" s="17"/>
      <c r="V72" s="17"/>
      <c r="W72" s="9" t="e">
        <f>AVERAGE(R72:V72)</f>
        <v>#DIV/0!</v>
      </c>
      <c r="X72" s="233"/>
      <c r="Y72" s="234"/>
      <c r="Z72" s="9" t="str">
        <f t="shared" si="8"/>
        <v>0</v>
      </c>
      <c r="AA72" s="7" t="e">
        <f t="shared" si="0"/>
        <v>#DIV/0!</v>
      </c>
      <c r="AB72" s="366"/>
      <c r="AC72" s="17"/>
      <c r="AD72" s="17"/>
      <c r="AE72" s="17"/>
      <c r="AF72" s="17"/>
      <c r="AG72" s="17"/>
      <c r="AH72" s="9" t="e">
        <f t="shared" si="9"/>
        <v>#DIV/0!</v>
      </c>
      <c r="AI72" s="17"/>
      <c r="AJ72" s="17"/>
      <c r="AK72" s="17"/>
      <c r="AL72" s="17"/>
      <c r="AM72" s="17"/>
      <c r="AN72" s="9" t="e">
        <f t="shared" si="10"/>
        <v>#DIV/0!</v>
      </c>
      <c r="AO72" s="17"/>
      <c r="AP72" s="17"/>
      <c r="AQ72" s="17"/>
      <c r="AR72" s="17"/>
      <c r="AS72" s="17"/>
      <c r="AT72" s="9" t="e">
        <f t="shared" si="11"/>
        <v>#DIV/0!</v>
      </c>
      <c r="AU72" s="208"/>
      <c r="AV72" s="209"/>
      <c r="AW72" s="9" t="str">
        <f t="shared" si="12"/>
        <v>0</v>
      </c>
      <c r="AX72" s="7" t="e">
        <f t="shared" si="1"/>
        <v>#DIV/0!</v>
      </c>
      <c r="AY72" s="18" t="e">
        <f t="shared" si="1"/>
        <v>#DIV/0!</v>
      </c>
      <c r="AZ72" s="232"/>
      <c r="BA72" s="4" t="e">
        <f t="shared" si="2"/>
        <v>#DIV/0!</v>
      </c>
      <c r="BB72" s="4" t="e">
        <f t="shared" si="13"/>
        <v>#DIV/0!</v>
      </c>
      <c r="BC72" s="4" t="e">
        <f t="shared" si="14"/>
        <v>#DIV/0!</v>
      </c>
      <c r="BD72" s="4">
        <f t="shared" si="15"/>
        <v>0</v>
      </c>
      <c r="BE72" s="12" t="e">
        <f t="shared" si="3"/>
        <v>#DIV/0!</v>
      </c>
      <c r="BF72" s="4" t="e">
        <f t="shared" si="16"/>
        <v>#DIV/0!</v>
      </c>
      <c r="BG72" s="4" t="e">
        <f t="shared" si="17"/>
        <v>#DIV/0!</v>
      </c>
      <c r="BH72" s="4" t="e">
        <f t="shared" si="18"/>
        <v>#DIV/0!</v>
      </c>
      <c r="BI72" s="4">
        <f t="shared" si="19"/>
        <v>0</v>
      </c>
      <c r="BJ72" s="12" t="e">
        <f t="shared" si="4"/>
        <v>#DIV/0!</v>
      </c>
      <c r="BK72" s="12" t="e">
        <f t="shared" si="5"/>
        <v>#DIV/0!</v>
      </c>
      <c r="BL72" s="12"/>
      <c r="BM72" s="10"/>
      <c r="BN72" s="176"/>
      <c r="BO72" s="12" t="e">
        <f t="shared" si="20"/>
        <v>#DIV/0!</v>
      </c>
      <c r="BP72" s="11"/>
      <c r="BQ72" s="6"/>
      <c r="BR72" s="6"/>
    </row>
  </sheetData>
  <sheetProtection sheet="1" selectLockedCells="1"/>
  <mergeCells count="414">
    <mergeCell ref="A69:A70"/>
    <mergeCell ref="B69:C70"/>
    <mergeCell ref="D69:D70"/>
    <mergeCell ref="X69:Y69"/>
    <mergeCell ref="AU69:AV69"/>
    <mergeCell ref="AZ69:AZ70"/>
    <mergeCell ref="BN69:BN70"/>
    <mergeCell ref="AZ71:AZ72"/>
    <mergeCell ref="BN71:BN72"/>
    <mergeCell ref="X72:Y72"/>
    <mergeCell ref="AU72:AV72"/>
    <mergeCell ref="X70:Y70"/>
    <mergeCell ref="AU70:AV70"/>
    <mergeCell ref="A71:A72"/>
    <mergeCell ref="B71:C72"/>
    <mergeCell ref="D71:D72"/>
    <mergeCell ref="X71:Y71"/>
    <mergeCell ref="AU71:AV71"/>
    <mergeCell ref="BN65:BN66"/>
    <mergeCell ref="X66:Y66"/>
    <mergeCell ref="AU66:AV66"/>
    <mergeCell ref="A67:A68"/>
    <mergeCell ref="B67:C68"/>
    <mergeCell ref="D67:D68"/>
    <mergeCell ref="X67:Y67"/>
    <mergeCell ref="AU67:AV67"/>
    <mergeCell ref="AZ67:AZ68"/>
    <mergeCell ref="BN67:BN68"/>
    <mergeCell ref="X68:Y68"/>
    <mergeCell ref="AU68:AV68"/>
    <mergeCell ref="A65:A66"/>
    <mergeCell ref="B65:C66"/>
    <mergeCell ref="D65:D66"/>
    <mergeCell ref="X65:Y65"/>
    <mergeCell ref="AU65:AV65"/>
    <mergeCell ref="AZ65:AZ66"/>
    <mergeCell ref="BN61:BN62"/>
    <mergeCell ref="X62:Y62"/>
    <mergeCell ref="AU62:AV62"/>
    <mergeCell ref="A63:A64"/>
    <mergeCell ref="B63:C64"/>
    <mergeCell ref="D63:D64"/>
    <mergeCell ref="X63:Y63"/>
    <mergeCell ref="AU63:AV63"/>
    <mergeCell ref="AZ63:AZ64"/>
    <mergeCell ref="BN63:BN64"/>
    <mergeCell ref="A61:A62"/>
    <mergeCell ref="B61:C62"/>
    <mergeCell ref="D61:D62"/>
    <mergeCell ref="X61:Y61"/>
    <mergeCell ref="AU61:AV61"/>
    <mergeCell ref="AZ61:AZ62"/>
    <mergeCell ref="X64:Y64"/>
    <mergeCell ref="AU64:AV64"/>
    <mergeCell ref="X58:Y58"/>
    <mergeCell ref="AU58:AV58"/>
    <mergeCell ref="A59:A60"/>
    <mergeCell ref="B59:C60"/>
    <mergeCell ref="D59:D60"/>
    <mergeCell ref="X59:Y59"/>
    <mergeCell ref="AU59:AV59"/>
    <mergeCell ref="BN55:BN56"/>
    <mergeCell ref="X56:Y56"/>
    <mergeCell ref="AU56:AV56"/>
    <mergeCell ref="A57:A58"/>
    <mergeCell ref="B57:C58"/>
    <mergeCell ref="D57:D58"/>
    <mergeCell ref="X57:Y57"/>
    <mergeCell ref="AU57:AV57"/>
    <mergeCell ref="AZ57:AZ58"/>
    <mergeCell ref="BN57:BN58"/>
    <mergeCell ref="AZ59:AZ60"/>
    <mergeCell ref="BN59:BN60"/>
    <mergeCell ref="X60:Y60"/>
    <mergeCell ref="AU60:AV60"/>
    <mergeCell ref="BN53:BN54"/>
    <mergeCell ref="X54:Y54"/>
    <mergeCell ref="AU54:AV54"/>
    <mergeCell ref="A55:A56"/>
    <mergeCell ref="B55:C56"/>
    <mergeCell ref="D55:D56"/>
    <mergeCell ref="X55:Y55"/>
    <mergeCell ref="AU55:AV55"/>
    <mergeCell ref="AZ55:AZ56"/>
    <mergeCell ref="A53:A54"/>
    <mergeCell ref="B53:C54"/>
    <mergeCell ref="D53:D54"/>
    <mergeCell ref="X53:Y53"/>
    <mergeCell ref="AU53:AV53"/>
    <mergeCell ref="AZ53:AZ54"/>
    <mergeCell ref="BN49:BN50"/>
    <mergeCell ref="X50:Y50"/>
    <mergeCell ref="AU50:AV50"/>
    <mergeCell ref="A51:A52"/>
    <mergeCell ref="B51:C52"/>
    <mergeCell ref="D51:D52"/>
    <mergeCell ref="X51:Y51"/>
    <mergeCell ref="AU51:AV51"/>
    <mergeCell ref="AZ51:AZ52"/>
    <mergeCell ref="BN51:BN52"/>
    <mergeCell ref="A49:A50"/>
    <mergeCell ref="B49:C50"/>
    <mergeCell ref="D49:D50"/>
    <mergeCell ref="X49:Y49"/>
    <mergeCell ref="AU49:AV49"/>
    <mergeCell ref="AZ49:AZ50"/>
    <mergeCell ref="X52:Y52"/>
    <mergeCell ref="AU52:AV52"/>
    <mergeCell ref="X46:Y46"/>
    <mergeCell ref="AU46:AV46"/>
    <mergeCell ref="A47:A48"/>
    <mergeCell ref="B47:C48"/>
    <mergeCell ref="D47:D48"/>
    <mergeCell ref="X47:Y47"/>
    <mergeCell ref="AU47:AV47"/>
    <mergeCell ref="BN43:BN44"/>
    <mergeCell ref="X44:Y44"/>
    <mergeCell ref="AU44:AV44"/>
    <mergeCell ref="A45:A46"/>
    <mergeCell ref="B45:C46"/>
    <mergeCell ref="D45:D46"/>
    <mergeCell ref="X45:Y45"/>
    <mergeCell ref="AU45:AV45"/>
    <mergeCell ref="AZ45:AZ46"/>
    <mergeCell ref="BN45:BN46"/>
    <mergeCell ref="AZ47:AZ48"/>
    <mergeCell ref="BN47:BN48"/>
    <mergeCell ref="X48:Y48"/>
    <mergeCell ref="AU48:AV48"/>
    <mergeCell ref="BN41:BN42"/>
    <mergeCell ref="X42:Y42"/>
    <mergeCell ref="AU42:AV42"/>
    <mergeCell ref="A43:A44"/>
    <mergeCell ref="B43:C44"/>
    <mergeCell ref="D43:D44"/>
    <mergeCell ref="X43:Y43"/>
    <mergeCell ref="AU43:AV43"/>
    <mergeCell ref="AZ43:AZ44"/>
    <mergeCell ref="A41:A42"/>
    <mergeCell ref="B41:C42"/>
    <mergeCell ref="D41:D42"/>
    <mergeCell ref="X41:Y41"/>
    <mergeCell ref="AU41:AV41"/>
    <mergeCell ref="AZ41:AZ42"/>
    <mergeCell ref="BN37:BN38"/>
    <mergeCell ref="X38:Y38"/>
    <mergeCell ref="AU38:AV38"/>
    <mergeCell ref="A39:A40"/>
    <mergeCell ref="B39:C40"/>
    <mergeCell ref="D39:D40"/>
    <mergeCell ref="X39:Y39"/>
    <mergeCell ref="AU39:AV39"/>
    <mergeCell ref="AZ39:AZ40"/>
    <mergeCell ref="BN39:BN40"/>
    <mergeCell ref="A37:A38"/>
    <mergeCell ref="B37:C38"/>
    <mergeCell ref="D37:D38"/>
    <mergeCell ref="X37:Y37"/>
    <mergeCell ref="AU37:AV37"/>
    <mergeCell ref="AZ37:AZ38"/>
    <mergeCell ref="X40:Y40"/>
    <mergeCell ref="AU40:AV40"/>
    <mergeCell ref="X34:Y34"/>
    <mergeCell ref="AU34:AV34"/>
    <mergeCell ref="A35:A36"/>
    <mergeCell ref="B35:C36"/>
    <mergeCell ref="D35:D36"/>
    <mergeCell ref="X35:Y35"/>
    <mergeCell ref="AU35:AV35"/>
    <mergeCell ref="BN31:BN32"/>
    <mergeCell ref="X32:Y32"/>
    <mergeCell ref="AU32:AV32"/>
    <mergeCell ref="A33:A34"/>
    <mergeCell ref="B33:C34"/>
    <mergeCell ref="D33:D34"/>
    <mergeCell ref="X33:Y33"/>
    <mergeCell ref="AU33:AV33"/>
    <mergeCell ref="AZ33:AZ34"/>
    <mergeCell ref="BN33:BN34"/>
    <mergeCell ref="AZ35:AZ36"/>
    <mergeCell ref="BN35:BN36"/>
    <mergeCell ref="X36:Y36"/>
    <mergeCell ref="AU36:AV36"/>
    <mergeCell ref="BN29:BN30"/>
    <mergeCell ref="X30:Y30"/>
    <mergeCell ref="AU30:AV30"/>
    <mergeCell ref="A31:A32"/>
    <mergeCell ref="B31:C32"/>
    <mergeCell ref="D31:D32"/>
    <mergeCell ref="X31:Y31"/>
    <mergeCell ref="AU31:AV31"/>
    <mergeCell ref="AZ31:AZ32"/>
    <mergeCell ref="A29:A30"/>
    <mergeCell ref="B29:C30"/>
    <mergeCell ref="D29:D30"/>
    <mergeCell ref="X29:Y29"/>
    <mergeCell ref="AU29:AV29"/>
    <mergeCell ref="AZ29:AZ30"/>
    <mergeCell ref="BN25:BN26"/>
    <mergeCell ref="X26:Y26"/>
    <mergeCell ref="AU26:AV26"/>
    <mergeCell ref="A27:A28"/>
    <mergeCell ref="B27:C28"/>
    <mergeCell ref="D27:D28"/>
    <mergeCell ref="X27:Y27"/>
    <mergeCell ref="AU27:AV27"/>
    <mergeCell ref="AZ27:AZ28"/>
    <mergeCell ref="BN27:BN28"/>
    <mergeCell ref="A25:A26"/>
    <mergeCell ref="B25:C26"/>
    <mergeCell ref="D25:D26"/>
    <mergeCell ref="X25:Y25"/>
    <mergeCell ref="AU25:AV25"/>
    <mergeCell ref="AZ25:AZ26"/>
    <mergeCell ref="X28:Y28"/>
    <mergeCell ref="AU28:AV28"/>
    <mergeCell ref="X22:Y22"/>
    <mergeCell ref="AU22:AV22"/>
    <mergeCell ref="A23:A24"/>
    <mergeCell ref="B23:C24"/>
    <mergeCell ref="D23:D24"/>
    <mergeCell ref="X23:Y23"/>
    <mergeCell ref="AU23:AV23"/>
    <mergeCell ref="BN19:BN20"/>
    <mergeCell ref="X20:Y20"/>
    <mergeCell ref="AU20:AV20"/>
    <mergeCell ref="A21:A22"/>
    <mergeCell ref="B21:C22"/>
    <mergeCell ref="D21:D22"/>
    <mergeCell ref="X21:Y21"/>
    <mergeCell ref="AU21:AV21"/>
    <mergeCell ref="AZ21:AZ22"/>
    <mergeCell ref="BN21:BN22"/>
    <mergeCell ref="AZ23:AZ24"/>
    <mergeCell ref="BN23:BN24"/>
    <mergeCell ref="X24:Y24"/>
    <mergeCell ref="AU24:AV24"/>
    <mergeCell ref="BN17:BN18"/>
    <mergeCell ref="X18:Y18"/>
    <mergeCell ref="AU18:AV18"/>
    <mergeCell ref="A19:A20"/>
    <mergeCell ref="B19:C20"/>
    <mergeCell ref="D19:D20"/>
    <mergeCell ref="X19:Y19"/>
    <mergeCell ref="AU19:AV19"/>
    <mergeCell ref="AZ19:AZ20"/>
    <mergeCell ref="X16:Y16"/>
    <mergeCell ref="AU16:AV16"/>
    <mergeCell ref="A17:A18"/>
    <mergeCell ref="B17:C18"/>
    <mergeCell ref="D17:D18"/>
    <mergeCell ref="X17:Y17"/>
    <mergeCell ref="AU17:AV17"/>
    <mergeCell ref="BN13:BN14"/>
    <mergeCell ref="X14:Y14"/>
    <mergeCell ref="AU14:AV14"/>
    <mergeCell ref="A15:A16"/>
    <mergeCell ref="B15:C16"/>
    <mergeCell ref="D15:D16"/>
    <mergeCell ref="X15:Y15"/>
    <mergeCell ref="AU15:AV15"/>
    <mergeCell ref="AZ15:AZ16"/>
    <mergeCell ref="BN15:BN16"/>
    <mergeCell ref="A13:A14"/>
    <mergeCell ref="B13:C14"/>
    <mergeCell ref="D13:D14"/>
    <mergeCell ref="X13:Y13"/>
    <mergeCell ref="AU13:AV13"/>
    <mergeCell ref="AZ13:AZ14"/>
    <mergeCell ref="AZ17:AZ18"/>
    <mergeCell ref="AT9:AT12"/>
    <mergeCell ref="AU9:AV11"/>
    <mergeCell ref="AW9:AW12"/>
    <mergeCell ref="AX9:AX11"/>
    <mergeCell ref="AY9:AY12"/>
    <mergeCell ref="AZ9:AZ12"/>
    <mergeCell ref="AU12:AV12"/>
    <mergeCell ref="AB9:AB72"/>
    <mergeCell ref="AC9:AG11"/>
    <mergeCell ref="AH9:AH12"/>
    <mergeCell ref="AI9:AM11"/>
    <mergeCell ref="AN9:AN12"/>
    <mergeCell ref="AO9:AS11"/>
    <mergeCell ref="AC12:AG12"/>
    <mergeCell ref="AI12:AM12"/>
    <mergeCell ref="AO12:AS12"/>
    <mergeCell ref="Q9:Q12"/>
    <mergeCell ref="R9:V11"/>
    <mergeCell ref="W9:W12"/>
    <mergeCell ref="X9:Y11"/>
    <mergeCell ref="Z9:Z12"/>
    <mergeCell ref="AA9:AA11"/>
    <mergeCell ref="R12:V12"/>
    <mergeCell ref="X12:Y12"/>
    <mergeCell ref="A9:C10"/>
    <mergeCell ref="D9:D12"/>
    <mergeCell ref="E9:E12"/>
    <mergeCell ref="F9:J11"/>
    <mergeCell ref="K9:K12"/>
    <mergeCell ref="L9:P11"/>
    <mergeCell ref="A11:A12"/>
    <mergeCell ref="B11:C12"/>
    <mergeCell ref="F12:J12"/>
    <mergeCell ref="L12:P12"/>
    <mergeCell ref="A8:C8"/>
    <mergeCell ref="D8:R8"/>
    <mergeCell ref="S8:AC8"/>
    <mergeCell ref="AD8:AF8"/>
    <mergeCell ref="AG8:AN8"/>
    <mergeCell ref="AO8:AQ8"/>
    <mergeCell ref="AM7:AN7"/>
    <mergeCell ref="AO7:AQ7"/>
    <mergeCell ref="AR7:AS7"/>
    <mergeCell ref="A6:C7"/>
    <mergeCell ref="D6:R7"/>
    <mergeCell ref="AT7:AU7"/>
    <mergeCell ref="AW7:AX7"/>
    <mergeCell ref="AY7:AZ7"/>
    <mergeCell ref="AT6:AU6"/>
    <mergeCell ref="AW6:AX6"/>
    <mergeCell ref="AY6:AZ6"/>
    <mergeCell ref="S7:W7"/>
    <mergeCell ref="X7:Y7"/>
    <mergeCell ref="Z7:AA7"/>
    <mergeCell ref="AD7:AF7"/>
    <mergeCell ref="AG7:AH7"/>
    <mergeCell ref="AI7:AJ7"/>
    <mergeCell ref="AK7:AL7"/>
    <mergeCell ref="AG6:AH6"/>
    <mergeCell ref="AI6:AJ6"/>
    <mergeCell ref="AK6:AL6"/>
    <mergeCell ref="AM6:AN6"/>
    <mergeCell ref="AO6:AQ6"/>
    <mergeCell ref="AR6:AS6"/>
    <mergeCell ref="S6:W6"/>
    <mergeCell ref="X6:Y6"/>
    <mergeCell ref="Z6:AA6"/>
    <mergeCell ref="AD6:AF6"/>
    <mergeCell ref="AT5:AU5"/>
    <mergeCell ref="AW5:AX5"/>
    <mergeCell ref="AT4:AU4"/>
    <mergeCell ref="AW4:AX4"/>
    <mergeCell ref="AY4:AZ4"/>
    <mergeCell ref="AK4:AL4"/>
    <mergeCell ref="AM4:AN4"/>
    <mergeCell ref="AO4:AQ4"/>
    <mergeCell ref="AR4:AS4"/>
    <mergeCell ref="A4:C5"/>
    <mergeCell ref="D4:R4"/>
    <mergeCell ref="S4:W4"/>
    <mergeCell ref="X4:Y4"/>
    <mergeCell ref="Z4:AA4"/>
    <mergeCell ref="AD4:AF4"/>
    <mergeCell ref="AK3:AL3"/>
    <mergeCell ref="AM3:AN3"/>
    <mergeCell ref="AO3:AQ3"/>
    <mergeCell ref="A1:A3"/>
    <mergeCell ref="B1:R1"/>
    <mergeCell ref="S1:X1"/>
    <mergeCell ref="Y1:AF1"/>
    <mergeCell ref="AG1:AQ1"/>
    <mergeCell ref="D5:R5"/>
    <mergeCell ref="S5:W5"/>
    <mergeCell ref="X5:Y5"/>
    <mergeCell ref="Z5:AA5"/>
    <mergeCell ref="AD5:AF5"/>
    <mergeCell ref="AG5:AH5"/>
    <mergeCell ref="AI5:AJ5"/>
    <mergeCell ref="AG4:AH4"/>
    <mergeCell ref="AI4:AJ4"/>
    <mergeCell ref="AK5:AL5"/>
    <mergeCell ref="BM2:BM12"/>
    <mergeCell ref="BN2:BN12"/>
    <mergeCell ref="BO2:BO12"/>
    <mergeCell ref="BP2:BP12"/>
    <mergeCell ref="S3:W3"/>
    <mergeCell ref="X3:Y3"/>
    <mergeCell ref="Z3:AA3"/>
    <mergeCell ref="AD3:AF3"/>
    <mergeCell ref="AG3:AH3"/>
    <mergeCell ref="AI3:AJ3"/>
    <mergeCell ref="AW2:AX2"/>
    <mergeCell ref="AY2:AZ2"/>
    <mergeCell ref="BE2:BE12"/>
    <mergeCell ref="BJ2:BJ12"/>
    <mergeCell ref="BK2:BK12"/>
    <mergeCell ref="BL2:BL12"/>
    <mergeCell ref="AY3:AZ3"/>
    <mergeCell ref="AY5:AZ5"/>
    <mergeCell ref="AR8:AX8"/>
    <mergeCell ref="AY8:AZ8"/>
    <mergeCell ref="AI2:AJ2"/>
    <mergeCell ref="AM5:AN5"/>
    <mergeCell ref="AO5:AQ5"/>
    <mergeCell ref="AR5:AS5"/>
    <mergeCell ref="AR1:AZ1"/>
    <mergeCell ref="B2:C3"/>
    <mergeCell ref="D2:H3"/>
    <mergeCell ref="I2:L3"/>
    <mergeCell ref="M2:O3"/>
    <mergeCell ref="AK2:AL2"/>
    <mergeCell ref="AM2:AN2"/>
    <mergeCell ref="AO2:AQ2"/>
    <mergeCell ref="AR2:AS2"/>
    <mergeCell ref="AT2:AU2"/>
    <mergeCell ref="P2:R3"/>
    <mergeCell ref="S2:W2"/>
    <mergeCell ref="X2:Y2"/>
    <mergeCell ref="Z2:AA2"/>
    <mergeCell ref="AD2:AF2"/>
    <mergeCell ref="AG2:AH2"/>
    <mergeCell ref="AR3:AS3"/>
    <mergeCell ref="AT3:AU3"/>
    <mergeCell ref="AW3:AX3"/>
  </mergeCells>
  <pageMargins left="0.21030092592592592" right="4.5717592592592594E-2" top="0.37037037037037035" bottom="0.25" header="7.9166666666666673E-3" footer="0"/>
  <pageSetup scale="80" fitToWidth="0" fitToHeight="0" orientation="landscape" r:id="rId1"/>
  <headerFooter>
    <oddHeader>&amp;L                                                                                                                         &amp;18     DITARI PERSONAL I MËSIMDHËNËSIT-ES</oddHeader>
  </headerFooter>
  <rowBreaks count="1" manualBreakCount="1">
    <brk id="36" max="5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BC39-E966-4416-AC9A-1B7417D95D1B}">
  <sheetPr>
    <tabColor rgb="FFFFC000"/>
  </sheetPr>
  <dimension ref="A1:BR72"/>
  <sheetViews>
    <sheetView view="pageLayout" zoomScale="90" zoomScaleNormal="80" zoomScalePageLayoutView="90" workbookViewId="0">
      <selection activeCell="D5" sqref="D5:R5"/>
    </sheetView>
  </sheetViews>
  <sheetFormatPr defaultColWidth="3" defaultRowHeight="20.25" customHeight="1"/>
  <cols>
    <col min="1" max="1" width="4.5" customWidth="1"/>
    <col min="2" max="2" width="1.1640625" hidden="1" customWidth="1"/>
    <col min="3" max="3" width="22.1640625" customWidth="1"/>
    <col min="4" max="4" width="3.6640625" style="11" customWidth="1"/>
    <col min="5" max="5" width="3" customWidth="1"/>
    <col min="11" max="11" width="3.5" bestFit="1" customWidth="1"/>
    <col min="17" max="17" width="3.5" bestFit="1" customWidth="1"/>
    <col min="25" max="25" width="3.6640625" customWidth="1"/>
    <col min="27" max="27" width="4.83203125" customWidth="1"/>
    <col min="28" max="29" width="4" customWidth="1"/>
    <col min="37" max="37" width="2.33203125" customWidth="1"/>
    <col min="48" max="48" width="4.6640625" customWidth="1"/>
    <col min="49" max="49" width="3" customWidth="1"/>
    <col min="50" max="50" width="5.1640625" customWidth="1"/>
    <col min="51" max="51" width="4.33203125" customWidth="1"/>
    <col min="52" max="52" width="7.1640625" customWidth="1"/>
    <col min="53" max="53" width="7.1640625" style="4" hidden="1" customWidth="1"/>
    <col min="54" max="54" width="6.83203125" style="4" hidden="1" customWidth="1"/>
    <col min="55" max="56" width="5.6640625" style="4" hidden="1" customWidth="1"/>
    <col min="57" max="57" width="8.1640625" style="10" hidden="1" customWidth="1"/>
    <col min="58" max="58" width="6.1640625" style="4" hidden="1" customWidth="1"/>
    <col min="59" max="59" width="9.1640625" style="4" hidden="1" customWidth="1"/>
    <col min="60" max="60" width="6.33203125" style="4" hidden="1" customWidth="1"/>
    <col min="61" max="61" width="5.6640625" style="4" hidden="1" customWidth="1"/>
    <col min="62" max="62" width="6.5" style="11" hidden="1" customWidth="1"/>
    <col min="63" max="63" width="8.33203125" hidden="1" customWidth="1"/>
    <col min="64" max="64" width="8.6640625" hidden="1" customWidth="1"/>
    <col min="65" max="65" width="6.5" hidden="1" customWidth="1"/>
    <col min="66" max="66" width="5.1640625" hidden="1" customWidth="1"/>
    <col min="67" max="67" width="6.6640625" hidden="1" customWidth="1"/>
    <col min="68" max="68" width="6.1640625" hidden="1" customWidth="1"/>
    <col min="70" max="70" width="7" customWidth="1"/>
  </cols>
  <sheetData>
    <row r="1" spans="1:70" ht="20.25" customHeight="1">
      <c r="A1" s="248" t="s">
        <v>30</v>
      </c>
      <c r="B1" s="268" t="s">
        <v>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210" t="s">
        <v>7</v>
      </c>
      <c r="T1" s="211"/>
      <c r="U1" s="211"/>
      <c r="V1" s="211"/>
      <c r="W1" s="211"/>
      <c r="X1" s="212"/>
      <c r="Y1" s="177" t="s">
        <v>46</v>
      </c>
      <c r="Z1" s="177"/>
      <c r="AA1" s="177"/>
      <c r="AB1" s="177"/>
      <c r="AC1" s="177"/>
      <c r="AD1" s="177"/>
      <c r="AE1" s="177"/>
      <c r="AF1" s="178"/>
      <c r="AG1" s="179" t="s">
        <v>47</v>
      </c>
      <c r="AH1" s="180"/>
      <c r="AI1" s="180"/>
      <c r="AJ1" s="180"/>
      <c r="AK1" s="180"/>
      <c r="AL1" s="180"/>
      <c r="AM1" s="180"/>
      <c r="AN1" s="180"/>
      <c r="AO1" s="180"/>
      <c r="AP1" s="180"/>
      <c r="AQ1" s="181"/>
      <c r="AR1" s="182" t="s">
        <v>23</v>
      </c>
      <c r="AS1" s="183"/>
      <c r="AT1" s="183"/>
      <c r="AU1" s="183"/>
      <c r="AV1" s="183"/>
      <c r="AW1" s="183"/>
      <c r="AX1" s="183"/>
      <c r="AY1" s="183"/>
      <c r="AZ1" s="184"/>
    </row>
    <row r="2" spans="1:70" ht="20.25" customHeight="1">
      <c r="A2" s="248"/>
      <c r="B2" s="250"/>
      <c r="C2" s="250"/>
      <c r="D2" s="271" t="s">
        <v>9</v>
      </c>
      <c r="E2" s="272"/>
      <c r="F2" s="272"/>
      <c r="G2" s="272"/>
      <c r="H2" s="273"/>
      <c r="I2" s="225" t="s">
        <v>51</v>
      </c>
      <c r="J2" s="225"/>
      <c r="K2" s="225"/>
      <c r="L2" s="225"/>
      <c r="M2" s="267" t="s">
        <v>6</v>
      </c>
      <c r="N2" s="267"/>
      <c r="O2" s="267"/>
      <c r="P2" s="268" t="s">
        <v>138</v>
      </c>
      <c r="Q2" s="268"/>
      <c r="R2" s="269"/>
      <c r="S2" s="291" t="s">
        <v>43</v>
      </c>
      <c r="T2" s="292"/>
      <c r="U2" s="292"/>
      <c r="V2" s="292"/>
      <c r="W2" s="293"/>
      <c r="X2" s="264" t="s">
        <v>44</v>
      </c>
      <c r="Y2" s="254"/>
      <c r="Z2" s="254" t="s">
        <v>45</v>
      </c>
      <c r="AA2" s="254"/>
      <c r="AB2" s="30" t="s">
        <v>53</v>
      </c>
      <c r="AC2" s="30" t="s">
        <v>52</v>
      </c>
      <c r="AD2" s="285" t="s">
        <v>15</v>
      </c>
      <c r="AE2" s="285"/>
      <c r="AF2" s="286"/>
      <c r="AG2" s="295" t="s">
        <v>44</v>
      </c>
      <c r="AH2" s="296"/>
      <c r="AI2" s="296" t="s">
        <v>45</v>
      </c>
      <c r="AJ2" s="296"/>
      <c r="AK2" s="221" t="s">
        <v>53</v>
      </c>
      <c r="AL2" s="221"/>
      <c r="AM2" s="221" t="s">
        <v>52</v>
      </c>
      <c r="AN2" s="221"/>
      <c r="AO2" s="222" t="s">
        <v>15</v>
      </c>
      <c r="AP2" s="222"/>
      <c r="AQ2" s="223"/>
      <c r="AR2" s="229" t="s">
        <v>44</v>
      </c>
      <c r="AS2" s="230"/>
      <c r="AT2" s="312" t="s">
        <v>45</v>
      </c>
      <c r="AU2" s="312"/>
      <c r="AV2" s="31" t="s">
        <v>53</v>
      </c>
      <c r="AW2" s="206" t="s">
        <v>52</v>
      </c>
      <c r="AX2" s="206"/>
      <c r="AY2" s="196" t="s">
        <v>57</v>
      </c>
      <c r="AZ2" s="197"/>
      <c r="BA2" s="13"/>
      <c r="BE2" s="240" t="s">
        <v>40</v>
      </c>
      <c r="BJ2" s="240" t="s">
        <v>39</v>
      </c>
      <c r="BK2" s="240" t="s">
        <v>38</v>
      </c>
      <c r="BL2" s="240" t="s">
        <v>41</v>
      </c>
      <c r="BM2" s="240" t="s">
        <v>41</v>
      </c>
      <c r="BN2" s="240" t="s">
        <v>42</v>
      </c>
      <c r="BO2" s="240" t="s">
        <v>42</v>
      </c>
      <c r="BP2" s="240" t="s">
        <v>50</v>
      </c>
    </row>
    <row r="3" spans="1:70" ht="20.25" customHeight="1">
      <c r="A3" s="248"/>
      <c r="B3" s="250"/>
      <c r="C3" s="250"/>
      <c r="D3" s="274"/>
      <c r="E3" s="275"/>
      <c r="F3" s="275"/>
      <c r="G3" s="275"/>
      <c r="H3" s="276"/>
      <c r="I3" s="225"/>
      <c r="J3" s="225"/>
      <c r="K3" s="225"/>
      <c r="L3" s="225"/>
      <c r="M3" s="267"/>
      <c r="N3" s="267"/>
      <c r="O3" s="267"/>
      <c r="P3" s="268"/>
      <c r="Q3" s="268"/>
      <c r="R3" s="269"/>
      <c r="S3" s="258" t="s">
        <v>11</v>
      </c>
      <c r="T3" s="259"/>
      <c r="U3" s="259"/>
      <c r="V3" s="259"/>
      <c r="W3" s="260"/>
      <c r="X3" s="265">
        <f>COUNTIF($BM$13:$BM$72,"5")</f>
        <v>0</v>
      </c>
      <c r="Y3" s="266"/>
      <c r="Z3" s="255" t="e">
        <f>X3/$AD$3</f>
        <v>#DIV/0!</v>
      </c>
      <c r="AA3" s="255"/>
      <c r="AB3" s="30">
        <f>COUNTIFS($BM$13:$BM$72,"5",$D$13:$D$72,"M")</f>
        <v>0</v>
      </c>
      <c r="AC3" s="30">
        <f>COUNTIFS($BM$13:$BM$72,"5",$D$13:$D$72,"F")</f>
        <v>0</v>
      </c>
      <c r="AD3" s="287">
        <f>SUM(X3:Y7)</f>
        <v>0</v>
      </c>
      <c r="AE3" s="287"/>
      <c r="AF3" s="288"/>
      <c r="AG3" s="370">
        <f>COUNTIF($BN$13:$BN$71,"5")</f>
        <v>0</v>
      </c>
      <c r="AH3" s="371"/>
      <c r="AI3" s="305" t="e">
        <f>AG3/$AO$3</f>
        <v>#DIV/0!</v>
      </c>
      <c r="AJ3" s="305"/>
      <c r="AK3" s="221">
        <f>COUNTIFS($BN$13:$BN$72,"5",$D$13:$D$72,"M")</f>
        <v>0</v>
      </c>
      <c r="AL3" s="221"/>
      <c r="AM3" s="221">
        <f>COUNTIFS($BN$13:$BN$72,"5",$D$13:$D$72,"F")</f>
        <v>0</v>
      </c>
      <c r="AN3" s="221"/>
      <c r="AO3" s="213">
        <f>SUM(AG3:AH7)</f>
        <v>0</v>
      </c>
      <c r="AP3" s="213"/>
      <c r="AQ3" s="214"/>
      <c r="AR3" s="367">
        <f>COUNTIF($AZ$13:$AZ$72,"5")</f>
        <v>0</v>
      </c>
      <c r="AS3" s="368"/>
      <c r="AT3" s="313" t="e">
        <f>AR3/$AY$3</f>
        <v>#DIV/0!</v>
      </c>
      <c r="AU3" s="313"/>
      <c r="AV3" s="35">
        <f>COUNTIFS($AZ$13:$AZ$72,"5",$D$13:$D$72,"M")</f>
        <v>0</v>
      </c>
      <c r="AW3" s="369">
        <f>COUNTIFS($AZ$13:$AZ$72,"5",$D$13:$D$72,"f")</f>
        <v>0</v>
      </c>
      <c r="AX3" s="369"/>
      <c r="AY3" s="198">
        <f>SUM(AR3:AS7)</f>
        <v>0</v>
      </c>
      <c r="AZ3" s="199"/>
      <c r="BA3" s="16"/>
      <c r="BE3" s="240"/>
      <c r="BJ3" s="240"/>
      <c r="BK3" s="240"/>
      <c r="BL3" s="240"/>
      <c r="BM3" s="240"/>
      <c r="BN3" s="240"/>
      <c r="BO3" s="240"/>
      <c r="BP3" s="240"/>
    </row>
    <row r="4" spans="1:70" ht="18" customHeight="1">
      <c r="A4" s="248"/>
      <c r="B4" s="248"/>
      <c r="C4" s="248"/>
      <c r="D4" s="277" t="s">
        <v>29</v>
      </c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9"/>
      <c r="S4" s="258" t="s">
        <v>12</v>
      </c>
      <c r="T4" s="259"/>
      <c r="U4" s="259"/>
      <c r="V4" s="259"/>
      <c r="W4" s="260"/>
      <c r="X4" s="265">
        <f>COUNTIF($BM$13:$BM$72,"4")</f>
        <v>0</v>
      </c>
      <c r="Y4" s="266"/>
      <c r="Z4" s="256" t="e">
        <f>X4/$AD$3</f>
        <v>#DIV/0!</v>
      </c>
      <c r="AA4" s="256"/>
      <c r="AB4" s="30">
        <f>COUNTIFS($BM$13:$BM$72,"4",$D$13:$D$72,"M")</f>
        <v>0</v>
      </c>
      <c r="AC4" s="30">
        <f>COUNTIFS($BM$13:$BM$72,"4",$D$13:$D$72,"F")</f>
        <v>0</v>
      </c>
      <c r="AD4" s="289" t="s">
        <v>48</v>
      </c>
      <c r="AE4" s="289"/>
      <c r="AF4" s="290"/>
      <c r="AG4" s="370">
        <f>COUNTIF($BN$13:$BN$71,"4")</f>
        <v>0</v>
      </c>
      <c r="AH4" s="371"/>
      <c r="AI4" s="305" t="e">
        <f>AG4/$AO$3</f>
        <v>#DIV/0!</v>
      </c>
      <c r="AJ4" s="305"/>
      <c r="AK4" s="221">
        <f>COUNTIFS($BN$13:$BN$72,"4",$D$13:$D$72,"M")</f>
        <v>0</v>
      </c>
      <c r="AL4" s="221"/>
      <c r="AM4" s="221">
        <f>COUNTIFS($BN$13:$BN$72,"4",$D$13:$D$72,"F")</f>
        <v>0</v>
      </c>
      <c r="AN4" s="221"/>
      <c r="AO4" s="215" t="s">
        <v>48</v>
      </c>
      <c r="AP4" s="215"/>
      <c r="AQ4" s="216"/>
      <c r="AR4" s="367">
        <f>COUNTIF($AZ$13:$AZ$72,"4")</f>
        <v>0</v>
      </c>
      <c r="AS4" s="368"/>
      <c r="AT4" s="313" t="e">
        <f>AR4/$AY$3</f>
        <v>#DIV/0!</v>
      </c>
      <c r="AU4" s="313"/>
      <c r="AV4" s="35">
        <f>COUNTIFS($AZ$13:$AZ$72,"4",$D$13:$D$72,"M")</f>
        <v>0</v>
      </c>
      <c r="AW4" s="369">
        <f>COUNTIFS($AZ$13:$AZ$72,"4",$D$13:$D$72,"F")</f>
        <v>0</v>
      </c>
      <c r="AX4" s="369"/>
      <c r="AY4" s="200" t="s">
        <v>48</v>
      </c>
      <c r="AZ4" s="201"/>
      <c r="BA4" s="15"/>
      <c r="BE4" s="240"/>
      <c r="BJ4" s="240"/>
      <c r="BK4" s="240"/>
      <c r="BL4" s="240"/>
      <c r="BM4" s="240"/>
      <c r="BN4" s="240"/>
      <c r="BO4" s="240"/>
      <c r="BP4" s="240"/>
    </row>
    <row r="5" spans="1:70" ht="19.5" customHeight="1">
      <c r="A5" s="248"/>
      <c r="B5" s="248"/>
      <c r="C5" s="248"/>
      <c r="D5" s="280" t="s">
        <v>2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2"/>
      <c r="S5" s="258" t="s">
        <v>13</v>
      </c>
      <c r="T5" s="259"/>
      <c r="U5" s="259"/>
      <c r="V5" s="259"/>
      <c r="W5" s="260"/>
      <c r="X5" s="265">
        <f>COUNTIF($BM$13:$BM$72,"3")</f>
        <v>0</v>
      </c>
      <c r="Y5" s="266"/>
      <c r="Z5" s="256" t="e">
        <f>X5/$AD$3</f>
        <v>#DIV/0!</v>
      </c>
      <c r="AA5" s="256"/>
      <c r="AB5" s="30">
        <f>COUNTIFS($BM$13:$BM$72,"3",$D$13:$D$72,"M")</f>
        <v>0</v>
      </c>
      <c r="AC5" s="30">
        <f>COUNTIFS($BM$13:$BM$72,"3",$D$13:$D$72,"F")</f>
        <v>0</v>
      </c>
      <c r="AD5" s="319">
        <f>SUM(X3:Y6)</f>
        <v>0</v>
      </c>
      <c r="AE5" s="319"/>
      <c r="AF5" s="320"/>
      <c r="AG5" s="370">
        <f>COUNTIF($BN$13:$BN$71,"3")</f>
        <v>0</v>
      </c>
      <c r="AH5" s="371"/>
      <c r="AI5" s="305" t="e">
        <f>AG5/$AO$3</f>
        <v>#DIV/0!</v>
      </c>
      <c r="AJ5" s="305"/>
      <c r="AK5" s="221">
        <f>COUNTIFS($BN$13:$BN$72,"3",$D$13:$D$72,"M")</f>
        <v>0</v>
      </c>
      <c r="AL5" s="221"/>
      <c r="AM5" s="221">
        <f>COUNTIFS($BN$13:$BN$72,"3",$D$13:$D$72,"F")</f>
        <v>0</v>
      </c>
      <c r="AN5" s="221"/>
      <c r="AO5" s="217">
        <f>SUM(AG3:AH6)</f>
        <v>0</v>
      </c>
      <c r="AP5" s="217"/>
      <c r="AQ5" s="218"/>
      <c r="AR5" s="367">
        <f>COUNTIF($AZ$13:$AZ$72,"3")</f>
        <v>0</v>
      </c>
      <c r="AS5" s="368"/>
      <c r="AT5" s="313" t="e">
        <f>AR5/$AY$3</f>
        <v>#DIV/0!</v>
      </c>
      <c r="AU5" s="313"/>
      <c r="AV5" s="35">
        <f>COUNTIFS($AZ$13:$AZ$72,"3",$D$13:$D$72,"M")</f>
        <v>0</v>
      </c>
      <c r="AW5" s="369">
        <f>COUNTIFS($AZ$13:$AZ$72,"3",$D$13:$D$72,"F")</f>
        <v>0</v>
      </c>
      <c r="AX5" s="369"/>
      <c r="AY5" s="202">
        <f>SUM(AQ3:AR6)</f>
        <v>0</v>
      </c>
      <c r="AZ5" s="203"/>
      <c r="BA5" s="14"/>
      <c r="BE5" s="240"/>
      <c r="BJ5" s="240"/>
      <c r="BK5" s="240"/>
      <c r="BL5" s="240"/>
      <c r="BM5" s="240"/>
      <c r="BN5" s="240"/>
      <c r="BO5" s="240"/>
      <c r="BP5" s="240"/>
    </row>
    <row r="6" spans="1:70" ht="17.25" customHeight="1">
      <c r="A6" s="241" t="s">
        <v>3</v>
      </c>
      <c r="B6" s="241"/>
      <c r="C6" s="241"/>
      <c r="D6" s="242" t="s">
        <v>4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58" t="s">
        <v>14</v>
      </c>
      <c r="T6" s="259"/>
      <c r="U6" s="259"/>
      <c r="V6" s="259"/>
      <c r="W6" s="260"/>
      <c r="X6" s="265">
        <f>COUNTIF($BM$13:$BM$72,"2")</f>
        <v>0</v>
      </c>
      <c r="Y6" s="266"/>
      <c r="Z6" s="255" t="e">
        <f>X6/$AD$3</f>
        <v>#DIV/0!</v>
      </c>
      <c r="AA6" s="255"/>
      <c r="AB6" s="30">
        <f>COUNTIFS($BM$13:$BM$72,"2",$D$13:$D$72,"M")</f>
        <v>0</v>
      </c>
      <c r="AC6" s="30">
        <f>COUNTIFS($BM$13:$BM$72,"2",$D$13:$D$72,"F")</f>
        <v>0</v>
      </c>
      <c r="AD6" s="289" t="s">
        <v>49</v>
      </c>
      <c r="AE6" s="289"/>
      <c r="AF6" s="290"/>
      <c r="AG6" s="370">
        <f>COUNTIF($BN$13:$BN$71,"2")</f>
        <v>0</v>
      </c>
      <c r="AH6" s="371"/>
      <c r="AI6" s="305" t="e">
        <f>AG6/$AO$3</f>
        <v>#DIV/0!</v>
      </c>
      <c r="AJ6" s="305"/>
      <c r="AK6" s="221">
        <f>COUNTIFS($BN$13:$BN$72,"2",$D$13:$D$72,"M")</f>
        <v>0</v>
      </c>
      <c r="AL6" s="221"/>
      <c r="AM6" s="221">
        <f>COUNTIFS($BN$13:$BN$72,"2",$D$13:$D$72,"F")</f>
        <v>0</v>
      </c>
      <c r="AN6" s="221"/>
      <c r="AO6" s="215" t="s">
        <v>49</v>
      </c>
      <c r="AP6" s="215"/>
      <c r="AQ6" s="216"/>
      <c r="AR6" s="367">
        <f>COUNTIF($AZ$13:$AZ$72,"2")</f>
        <v>0</v>
      </c>
      <c r="AS6" s="368"/>
      <c r="AT6" s="313" t="e">
        <f>AR6/$AY$3</f>
        <v>#DIV/0!</v>
      </c>
      <c r="AU6" s="313"/>
      <c r="AV6" s="35">
        <f>COUNTIFS($AZ$13:$AZ$72,"2",$D$13:$D$72,"M")</f>
        <v>0</v>
      </c>
      <c r="AW6" s="369">
        <f>COUNTIFS($AZ$13:$AZ$72,"2",$D$13:$D$72,"F")</f>
        <v>0</v>
      </c>
      <c r="AX6" s="369"/>
      <c r="AY6" s="200" t="s">
        <v>49</v>
      </c>
      <c r="AZ6" s="201"/>
      <c r="BA6" s="15"/>
      <c r="BE6" s="240"/>
      <c r="BJ6" s="240"/>
      <c r="BK6" s="240"/>
      <c r="BL6" s="240"/>
      <c r="BM6" s="240"/>
      <c r="BN6" s="240"/>
      <c r="BO6" s="240"/>
      <c r="BP6" s="240"/>
    </row>
    <row r="7" spans="1:70" ht="16.5" customHeight="1" thickBot="1">
      <c r="A7" s="241"/>
      <c r="B7" s="241"/>
      <c r="C7" s="241"/>
      <c r="D7" s="245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  <c r="S7" s="261" t="s">
        <v>21</v>
      </c>
      <c r="T7" s="262"/>
      <c r="U7" s="262"/>
      <c r="V7" s="262"/>
      <c r="W7" s="263"/>
      <c r="X7" s="283">
        <f>COUNTIF($BM$13:$BM$72,"1")</f>
        <v>0</v>
      </c>
      <c r="Y7" s="284"/>
      <c r="Z7" s="257" t="e">
        <f>X7/$AD$3</f>
        <v>#DIV/0!</v>
      </c>
      <c r="AA7" s="257"/>
      <c r="AB7" s="30">
        <f>COUNTIFS($BM$13:$BM$72,"1",$D$13:$D$72,"M")</f>
        <v>0</v>
      </c>
      <c r="AC7" s="30">
        <f>COUNTIFS($BM$13:$BM$72,"1",$D$13:$D$72,"F")</f>
        <v>0</v>
      </c>
      <c r="AD7" s="317">
        <f>X7</f>
        <v>0</v>
      </c>
      <c r="AE7" s="317"/>
      <c r="AF7" s="318"/>
      <c r="AG7" s="373">
        <f>COUNTIF($BN$13:$BN$71,"1")</f>
        <v>0</v>
      </c>
      <c r="AH7" s="374"/>
      <c r="AI7" s="294" t="e">
        <f>AG7/$AO$3</f>
        <v>#DIV/0!</v>
      </c>
      <c r="AJ7" s="294"/>
      <c r="AK7" s="270">
        <f>COUNTIFS($BN$13:$BN$72,"1",$D$13:$D$72,"M")</f>
        <v>0</v>
      </c>
      <c r="AL7" s="270"/>
      <c r="AM7" s="270">
        <f>COUNTIFS($BN$13:$BN$72,"1",$D$13:$D$72,"F")</f>
        <v>0</v>
      </c>
      <c r="AN7" s="270"/>
      <c r="AO7" s="219">
        <f>AG7</f>
        <v>0</v>
      </c>
      <c r="AP7" s="219"/>
      <c r="AQ7" s="220"/>
      <c r="AR7" s="375">
        <f>COUNTIF($AZ$13:$AZ$72,"1")</f>
        <v>0</v>
      </c>
      <c r="AS7" s="376"/>
      <c r="AT7" s="314" t="e">
        <f>AR7/$AY$3</f>
        <v>#DIV/0!</v>
      </c>
      <c r="AU7" s="314"/>
      <c r="AV7" s="36">
        <f>COUNTIFS($AZ$13:$AZ$72,"1",$D$13:$D$72,"M")</f>
        <v>0</v>
      </c>
      <c r="AW7" s="372">
        <f>COUNTIFS($AZ$13:$AZ$72,"1",$D$13:$D$72,"F")</f>
        <v>0</v>
      </c>
      <c r="AX7" s="372"/>
      <c r="AY7" s="204">
        <f>AR7</f>
        <v>0</v>
      </c>
      <c r="AZ7" s="205"/>
      <c r="BA7" s="14"/>
      <c r="BE7" s="240"/>
      <c r="BJ7" s="240"/>
      <c r="BK7" s="240"/>
      <c r="BL7" s="240"/>
      <c r="BM7" s="240"/>
      <c r="BN7" s="240"/>
      <c r="BO7" s="240"/>
      <c r="BP7" s="240"/>
    </row>
    <row r="8" spans="1:70" ht="17.25" customHeight="1" thickBot="1">
      <c r="A8" s="249" t="s">
        <v>22</v>
      </c>
      <c r="B8" s="249"/>
      <c r="C8" s="249"/>
      <c r="D8" s="237" t="s">
        <v>5</v>
      </c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185" t="s">
        <v>55</v>
      </c>
      <c r="T8" s="186"/>
      <c r="U8" s="186"/>
      <c r="V8" s="186"/>
      <c r="W8" s="186"/>
      <c r="X8" s="186"/>
      <c r="Y8" s="186"/>
      <c r="Z8" s="186"/>
      <c r="AA8" s="186"/>
      <c r="AB8" s="186"/>
      <c r="AC8" s="187"/>
      <c r="AD8" s="251" t="e">
        <f>AVERAGEIF(BL13:BL72,"&gt;=1")</f>
        <v>#DIV/0!</v>
      </c>
      <c r="AE8" s="252"/>
      <c r="AF8" s="253"/>
      <c r="AG8" s="188" t="s">
        <v>54</v>
      </c>
      <c r="AH8" s="189"/>
      <c r="AI8" s="189"/>
      <c r="AJ8" s="189"/>
      <c r="AK8" s="189"/>
      <c r="AL8" s="189"/>
      <c r="AM8" s="189"/>
      <c r="AN8" s="190"/>
      <c r="AO8" s="226" t="e">
        <f>AVERAGEIF(BN13:BN72,"&gt;=1")</f>
        <v>#DIV/0!</v>
      </c>
      <c r="AP8" s="227"/>
      <c r="AQ8" s="228"/>
      <c r="AR8" s="193" t="s">
        <v>24</v>
      </c>
      <c r="AS8" s="194"/>
      <c r="AT8" s="194"/>
      <c r="AU8" s="194"/>
      <c r="AV8" s="194"/>
      <c r="AW8" s="194"/>
      <c r="AX8" s="195"/>
      <c r="AY8" s="191" t="e">
        <f>AVERAGEIF(BK13:BK72,"&gt;=1")</f>
        <v>#DIV/0!</v>
      </c>
      <c r="AZ8" s="192"/>
      <c r="BA8" s="14"/>
      <c r="BE8" s="240"/>
      <c r="BJ8" s="240"/>
      <c r="BK8" s="240"/>
      <c r="BL8" s="240"/>
      <c r="BM8" s="240"/>
      <c r="BN8" s="240"/>
      <c r="BO8" s="240"/>
      <c r="BP8" s="240"/>
    </row>
    <row r="9" spans="1:70" ht="15.75" customHeight="1">
      <c r="A9" s="347" t="s">
        <v>28</v>
      </c>
      <c r="B9" s="347"/>
      <c r="C9" s="348"/>
      <c r="D9" s="378" t="s">
        <v>56</v>
      </c>
      <c r="E9" s="235" t="s">
        <v>7</v>
      </c>
      <c r="F9" s="301" t="s">
        <v>27</v>
      </c>
      <c r="G9" s="301"/>
      <c r="H9" s="301"/>
      <c r="I9" s="301"/>
      <c r="J9" s="301"/>
      <c r="K9" s="352" t="s">
        <v>1</v>
      </c>
      <c r="L9" s="340" t="s">
        <v>26</v>
      </c>
      <c r="M9" s="341"/>
      <c r="N9" s="341"/>
      <c r="O9" s="341"/>
      <c r="P9" s="342"/>
      <c r="Q9" s="352" t="s">
        <v>1</v>
      </c>
      <c r="R9" s="224" t="s">
        <v>25</v>
      </c>
      <c r="S9" s="224"/>
      <c r="T9" s="224"/>
      <c r="U9" s="224"/>
      <c r="V9" s="224"/>
      <c r="W9" s="352" t="s">
        <v>1</v>
      </c>
      <c r="X9" s="224" t="s">
        <v>10</v>
      </c>
      <c r="Y9" s="224"/>
      <c r="Z9" s="352" t="s">
        <v>1</v>
      </c>
      <c r="AA9" s="306" t="s">
        <v>34</v>
      </c>
      <c r="AB9" s="365" t="s">
        <v>37</v>
      </c>
      <c r="AC9" s="301" t="s">
        <v>27</v>
      </c>
      <c r="AD9" s="301"/>
      <c r="AE9" s="301"/>
      <c r="AF9" s="301"/>
      <c r="AG9" s="301"/>
      <c r="AH9" s="299" t="s">
        <v>1</v>
      </c>
      <c r="AI9" s="301" t="s">
        <v>26</v>
      </c>
      <c r="AJ9" s="301"/>
      <c r="AK9" s="301"/>
      <c r="AL9" s="301"/>
      <c r="AM9" s="301"/>
      <c r="AN9" s="299" t="s">
        <v>1</v>
      </c>
      <c r="AO9" s="224" t="s">
        <v>25</v>
      </c>
      <c r="AP9" s="224"/>
      <c r="AQ9" s="224"/>
      <c r="AR9" s="224"/>
      <c r="AS9" s="224"/>
      <c r="AT9" s="299" t="s">
        <v>1</v>
      </c>
      <c r="AU9" s="224" t="s">
        <v>10</v>
      </c>
      <c r="AV9" s="224"/>
      <c r="AW9" s="299" t="s">
        <v>1</v>
      </c>
      <c r="AX9" s="306" t="s">
        <v>33</v>
      </c>
      <c r="AY9" s="308" t="s">
        <v>32</v>
      </c>
      <c r="AZ9" s="363" t="s">
        <v>36</v>
      </c>
      <c r="BE9" s="240"/>
      <c r="BJ9" s="240"/>
      <c r="BK9" s="240"/>
      <c r="BL9" s="240"/>
      <c r="BM9" s="240"/>
      <c r="BN9" s="240"/>
      <c r="BO9" s="240"/>
      <c r="BP9" s="240"/>
    </row>
    <row r="10" spans="1:70" ht="18" customHeight="1">
      <c r="A10" s="349"/>
      <c r="B10" s="349"/>
      <c r="C10" s="350"/>
      <c r="D10" s="379"/>
      <c r="E10" s="235"/>
      <c r="F10" s="302"/>
      <c r="G10" s="302"/>
      <c r="H10" s="302"/>
      <c r="I10" s="302"/>
      <c r="J10" s="302"/>
      <c r="K10" s="352"/>
      <c r="L10" s="340"/>
      <c r="M10" s="341"/>
      <c r="N10" s="341"/>
      <c r="O10" s="341"/>
      <c r="P10" s="342"/>
      <c r="Q10" s="352"/>
      <c r="R10" s="225"/>
      <c r="S10" s="225"/>
      <c r="T10" s="225"/>
      <c r="U10" s="225"/>
      <c r="V10" s="225"/>
      <c r="W10" s="352"/>
      <c r="X10" s="225"/>
      <c r="Y10" s="225"/>
      <c r="Z10" s="352"/>
      <c r="AA10" s="307"/>
      <c r="AB10" s="365"/>
      <c r="AC10" s="302"/>
      <c r="AD10" s="302"/>
      <c r="AE10" s="302"/>
      <c r="AF10" s="302"/>
      <c r="AG10" s="302"/>
      <c r="AH10" s="300"/>
      <c r="AI10" s="302"/>
      <c r="AJ10" s="302"/>
      <c r="AK10" s="302"/>
      <c r="AL10" s="302"/>
      <c r="AM10" s="302"/>
      <c r="AN10" s="300"/>
      <c r="AO10" s="225"/>
      <c r="AP10" s="225"/>
      <c r="AQ10" s="225"/>
      <c r="AR10" s="225"/>
      <c r="AS10" s="225"/>
      <c r="AT10" s="300"/>
      <c r="AU10" s="225"/>
      <c r="AV10" s="225"/>
      <c r="AW10" s="300"/>
      <c r="AX10" s="307"/>
      <c r="AY10" s="309"/>
      <c r="AZ10" s="363"/>
      <c r="BE10" s="240"/>
      <c r="BJ10" s="240"/>
      <c r="BK10" s="240"/>
      <c r="BL10" s="240"/>
      <c r="BM10" s="240"/>
      <c r="BN10" s="240"/>
      <c r="BO10" s="240"/>
      <c r="BP10" s="240"/>
    </row>
    <row r="11" spans="1:70" ht="18" customHeight="1">
      <c r="A11" s="334" t="s">
        <v>8</v>
      </c>
      <c r="B11" s="359" t="s">
        <v>35</v>
      </c>
      <c r="C11" s="360"/>
      <c r="D11" s="379"/>
      <c r="E11" s="235"/>
      <c r="F11" s="302"/>
      <c r="G11" s="302"/>
      <c r="H11" s="302"/>
      <c r="I11" s="302"/>
      <c r="J11" s="302"/>
      <c r="K11" s="352"/>
      <c r="L11" s="343"/>
      <c r="M11" s="344"/>
      <c r="N11" s="344"/>
      <c r="O11" s="344"/>
      <c r="P11" s="345"/>
      <c r="Q11" s="352"/>
      <c r="R11" s="225"/>
      <c r="S11" s="225"/>
      <c r="T11" s="225"/>
      <c r="U11" s="225"/>
      <c r="V11" s="225"/>
      <c r="W11" s="352"/>
      <c r="X11" s="225"/>
      <c r="Y11" s="225"/>
      <c r="Z11" s="352"/>
      <c r="AA11" s="307"/>
      <c r="AB11" s="365"/>
      <c r="AC11" s="302"/>
      <c r="AD11" s="302"/>
      <c r="AE11" s="302"/>
      <c r="AF11" s="302"/>
      <c r="AG11" s="302"/>
      <c r="AH11" s="300"/>
      <c r="AI11" s="302"/>
      <c r="AJ11" s="302"/>
      <c r="AK11" s="302"/>
      <c r="AL11" s="302"/>
      <c r="AM11" s="302"/>
      <c r="AN11" s="300"/>
      <c r="AO11" s="225"/>
      <c r="AP11" s="225"/>
      <c r="AQ11" s="225"/>
      <c r="AR11" s="225"/>
      <c r="AS11" s="225"/>
      <c r="AT11" s="300"/>
      <c r="AU11" s="225"/>
      <c r="AV11" s="225"/>
      <c r="AW11" s="300"/>
      <c r="AX11" s="307"/>
      <c r="AY11" s="309"/>
      <c r="AZ11" s="363"/>
      <c r="BE11" s="240"/>
      <c r="BJ11" s="240"/>
      <c r="BK11" s="240"/>
      <c r="BL11" s="240"/>
      <c r="BM11" s="240"/>
      <c r="BN11" s="240"/>
      <c r="BO11" s="240"/>
      <c r="BP11" s="240"/>
    </row>
    <row r="12" spans="1:70" ht="24.75" customHeight="1">
      <c r="A12" s="335"/>
      <c r="B12" s="361"/>
      <c r="C12" s="362"/>
      <c r="D12" s="380"/>
      <c r="E12" s="236"/>
      <c r="F12" s="346">
        <v>0.25</v>
      </c>
      <c r="G12" s="346"/>
      <c r="H12" s="346"/>
      <c r="I12" s="346"/>
      <c r="J12" s="346"/>
      <c r="K12" s="299"/>
      <c r="L12" s="346">
        <v>0.15</v>
      </c>
      <c r="M12" s="346"/>
      <c r="N12" s="346"/>
      <c r="O12" s="346"/>
      <c r="P12" s="346"/>
      <c r="Q12" s="299"/>
      <c r="R12" s="346">
        <v>0.3</v>
      </c>
      <c r="S12" s="346"/>
      <c r="T12" s="346"/>
      <c r="U12" s="346"/>
      <c r="V12" s="346"/>
      <c r="W12" s="299"/>
      <c r="X12" s="351">
        <v>0.3</v>
      </c>
      <c r="Y12" s="351"/>
      <c r="Z12" s="299"/>
      <c r="AA12" s="32">
        <f>F12+L12+R12+X12</f>
        <v>1</v>
      </c>
      <c r="AB12" s="365"/>
      <c r="AC12" s="346">
        <v>0.25</v>
      </c>
      <c r="AD12" s="346"/>
      <c r="AE12" s="346"/>
      <c r="AF12" s="346"/>
      <c r="AG12" s="346"/>
      <c r="AH12" s="300"/>
      <c r="AI12" s="346">
        <v>0.15</v>
      </c>
      <c r="AJ12" s="346"/>
      <c r="AK12" s="346"/>
      <c r="AL12" s="346"/>
      <c r="AM12" s="346"/>
      <c r="AN12" s="300"/>
      <c r="AO12" s="346">
        <v>0.3</v>
      </c>
      <c r="AP12" s="346"/>
      <c r="AQ12" s="346"/>
      <c r="AR12" s="346"/>
      <c r="AS12" s="346"/>
      <c r="AT12" s="300"/>
      <c r="AU12" s="351">
        <v>0.3</v>
      </c>
      <c r="AV12" s="351"/>
      <c r="AW12" s="300"/>
      <c r="AX12" s="34">
        <f>AC12+AI12+AO12+AU12</f>
        <v>1</v>
      </c>
      <c r="AY12" s="309"/>
      <c r="AZ12" s="364"/>
      <c r="BE12" s="240"/>
      <c r="BJ12" s="240"/>
      <c r="BK12" s="240"/>
      <c r="BL12" s="240"/>
      <c r="BM12" s="240"/>
      <c r="BN12" s="240"/>
      <c r="BO12" s="240"/>
      <c r="BP12" s="240"/>
    </row>
    <row r="13" spans="1:70" ht="18.75" customHeight="1">
      <c r="A13" s="336">
        <v>1</v>
      </c>
      <c r="B13" s="338"/>
      <c r="C13" s="338"/>
      <c r="D13" s="225"/>
      <c r="E13" s="19">
        <v>1</v>
      </c>
      <c r="F13" s="17"/>
      <c r="G13" s="17"/>
      <c r="H13" s="17"/>
      <c r="I13" s="17"/>
      <c r="J13" s="17"/>
      <c r="K13" s="8" t="e">
        <f>AVERAGE(F13:J13)</f>
        <v>#DIV/0!</v>
      </c>
      <c r="L13" s="17"/>
      <c r="M13" s="17"/>
      <c r="N13" s="17"/>
      <c r="O13" s="17"/>
      <c r="P13" s="17"/>
      <c r="Q13" s="9" t="e">
        <f>AVERAGE(L13:P13)</f>
        <v>#DIV/0!</v>
      </c>
      <c r="R13" s="17"/>
      <c r="S13" s="17"/>
      <c r="T13" s="17"/>
      <c r="U13" s="17"/>
      <c r="V13" s="17"/>
      <c r="W13" s="9" t="e">
        <f>AVERAGE(R13:V13)</f>
        <v>#DIV/0!</v>
      </c>
      <c r="X13" s="233"/>
      <c r="Y13" s="234"/>
      <c r="Z13" s="9" t="str">
        <f>IF(X13&gt;=85,"5",IF(X13&gt;=65,"4",IF(X13&gt;=55,"3",IF(X13&gt;=40,"2",IF(X13&gt;=1,"1",IF(X13&gt;="","0"))))))</f>
        <v>0</v>
      </c>
      <c r="AA13" s="7" t="e">
        <f t="shared" ref="AA13:AA72" si="0">IF(BE13&gt;=4.5, " 5 ", IF(BE13&gt;=3.5," 4 ",IF(BE13&gt;=2.5," 3  ",IF(BE13&gt;=1.5," 2 ",IF(BE13&gt;=1,"1 ",IF(BE13&gt;=0,"0"))))))</f>
        <v>#DIV/0!</v>
      </c>
      <c r="AB13" s="365"/>
      <c r="AC13" s="17"/>
      <c r="AD13" s="17"/>
      <c r="AE13" s="17"/>
      <c r="AF13" s="17"/>
      <c r="AG13" s="17"/>
      <c r="AH13" s="9" t="e">
        <f>AVERAGE(AC13:AG13)</f>
        <v>#DIV/0!</v>
      </c>
      <c r="AI13" s="17"/>
      <c r="AJ13" s="17"/>
      <c r="AK13" s="17"/>
      <c r="AL13" s="17"/>
      <c r="AM13" s="17"/>
      <c r="AN13" s="9" t="e">
        <f>AVERAGE(AI13:AM13)</f>
        <v>#DIV/0!</v>
      </c>
      <c r="AO13" s="17"/>
      <c r="AP13" s="17"/>
      <c r="AQ13" s="17"/>
      <c r="AR13" s="17"/>
      <c r="AS13" s="17"/>
      <c r="AT13" s="9" t="e">
        <f>AVERAGE(AO13:AS13)</f>
        <v>#DIV/0!</v>
      </c>
      <c r="AU13" s="208"/>
      <c r="AV13" s="209"/>
      <c r="AW13" s="9" t="str">
        <f>IF(AU13&gt;=85,"5",IF(AU13&gt;=65,"4",IF(AU13&gt;=55,"3",IF(AU13&gt;=40,"2",IF(AU13&gt;=1,"1",IF(AU13&gt;="","0"))))))</f>
        <v>0</v>
      </c>
      <c r="AX13" s="7" t="e">
        <f t="shared" ref="AX13:AY72" si="1">IF(BJ13&gt;=4.5, " 5 ", IF(BJ13&gt;=3.5," 4 ",IF(BJ13&gt;=2.5," 3  ",IF(BJ13&gt;=1.5," 2 ",IF(BJ13&gt;=1,"1 ",IF(BJ13&gt;=0,"0"))))))</f>
        <v>#DIV/0!</v>
      </c>
      <c r="AY13" s="18" t="e">
        <f>IF(BK13&gt;=4.5, " 5 ", IF(BK13&gt;=3.5," 4 ",IF(BK13&gt;=2.5," 3  ",IF(BK13&gt;=1.5," 2 ",IF(BK13&gt;=1,"1 ",IF(BK13&gt;=0,"0"))))))</f>
        <v>#DIV/0!</v>
      </c>
      <c r="AZ13" s="231" t="e">
        <f>IF(BP13&gt;=4.5, " 5 ", IF(BP13&gt;=3.5," 4 ",IF(BP13&gt;=2.5," 3  ",IF(BP13&gt;=1.5," 2 ",IF(BP13&gt;=1,"1 ",IF(BP13&gt;=0,"0"))))))</f>
        <v>#DIV/0!</v>
      </c>
      <c r="BA13" s="4" t="e">
        <f t="shared" ref="BA13:BA72" si="2">$K13*$F$12</f>
        <v>#DIV/0!</v>
      </c>
      <c r="BB13" s="4" t="e">
        <f>Q13*L12</f>
        <v>#DIV/0!</v>
      </c>
      <c r="BC13" s="4" t="e">
        <f>$W13*$R$12</f>
        <v>#DIV/0!</v>
      </c>
      <c r="BD13" s="4">
        <f>$Z13*$X$12</f>
        <v>0</v>
      </c>
      <c r="BE13" s="12" t="e">
        <f t="shared" ref="BE13:BE72" si="3">BA13+BB13+BC13+BD13</f>
        <v>#DIV/0!</v>
      </c>
      <c r="BF13" s="4" t="e">
        <f>$AH13*$AC$12</f>
        <v>#DIV/0!</v>
      </c>
      <c r="BG13" s="4" t="e">
        <f>$AN13*$AI$12</f>
        <v>#DIV/0!</v>
      </c>
      <c r="BH13" s="4" t="e">
        <f>$AT13*$AO$12</f>
        <v>#DIV/0!</v>
      </c>
      <c r="BI13" s="4">
        <f>$AW13*$AU$12</f>
        <v>0</v>
      </c>
      <c r="BJ13" s="12" t="e">
        <f t="shared" ref="BJ13:BJ72" si="4">(BF13+BG13+BH13+BI13)</f>
        <v>#DIV/0!</v>
      </c>
      <c r="BK13" s="12" t="e">
        <f t="shared" ref="BK13:BK72" si="5">(BE13+BJ13)/2</f>
        <v>#DIV/0!</v>
      </c>
      <c r="BL13" s="12" t="e">
        <f>(BE13+BJ13)/2</f>
        <v>#DIV/0!</v>
      </c>
      <c r="BM13" s="10" t="e">
        <f>ROUND(BL13,)</f>
        <v>#DIV/0!</v>
      </c>
      <c r="BN13" s="176" t="e">
        <f>ROUND(BO14,)</f>
        <v>#DIV/0!</v>
      </c>
      <c r="BO13" s="12"/>
      <c r="BP13" s="11" t="e">
        <f>(AY13+AY14)/2</f>
        <v>#DIV/0!</v>
      </c>
      <c r="BQ13" s="6"/>
      <c r="BR13" s="6"/>
    </row>
    <row r="14" spans="1:70" ht="17.25" customHeight="1" thickBot="1">
      <c r="A14" s="337"/>
      <c r="B14" s="321"/>
      <c r="C14" s="321"/>
      <c r="D14" s="225"/>
      <c r="E14" s="20">
        <v>2</v>
      </c>
      <c r="F14" s="17"/>
      <c r="G14" s="17"/>
      <c r="H14" s="17"/>
      <c r="I14" s="17"/>
      <c r="J14" s="17"/>
      <c r="K14" s="8" t="e">
        <f t="shared" ref="K14:K72" si="6">AVERAGE(F14:J14)</f>
        <v>#DIV/0!</v>
      </c>
      <c r="L14" s="17"/>
      <c r="M14" s="17"/>
      <c r="N14" s="17"/>
      <c r="O14" s="17"/>
      <c r="P14" s="17"/>
      <c r="Q14" s="9" t="e">
        <f>AVERAGE(L14:P14)</f>
        <v>#DIV/0!</v>
      </c>
      <c r="R14" s="17"/>
      <c r="S14" s="17"/>
      <c r="T14" s="17"/>
      <c r="U14" s="17"/>
      <c r="V14" s="17"/>
      <c r="W14" s="9" t="e">
        <f t="shared" ref="W14:W71" si="7">AVERAGE(R14:V14)</f>
        <v>#DIV/0!</v>
      </c>
      <c r="X14" s="233"/>
      <c r="Y14" s="234"/>
      <c r="Z14" s="9" t="str">
        <f t="shared" ref="Z14:Z72" si="8">IF(X14&gt;=85,"5",IF(X14&gt;=65,"4",IF(X14&gt;=55,"3",IF(X14&gt;=40,"2",IF(X14&gt;=1,"1",IF(X14&gt;="","0"))))))</f>
        <v>0</v>
      </c>
      <c r="AA14" s="7" t="e">
        <f t="shared" si="0"/>
        <v>#DIV/0!</v>
      </c>
      <c r="AB14" s="365"/>
      <c r="AC14" s="17"/>
      <c r="AD14" s="17"/>
      <c r="AE14" s="17"/>
      <c r="AF14" s="17"/>
      <c r="AG14" s="17"/>
      <c r="AH14" s="9" t="e">
        <f t="shared" ref="AH14:AH72" si="9">AVERAGE(AC14:AG14)</f>
        <v>#DIV/0!</v>
      </c>
      <c r="AI14" s="17"/>
      <c r="AJ14" s="17"/>
      <c r="AK14" s="17"/>
      <c r="AL14" s="17"/>
      <c r="AM14" s="17"/>
      <c r="AN14" s="9" t="e">
        <f t="shared" ref="AN14:AN72" si="10">AVERAGE(AI14:AM14)</f>
        <v>#DIV/0!</v>
      </c>
      <c r="AO14" s="17"/>
      <c r="AP14" s="17"/>
      <c r="AQ14" s="17"/>
      <c r="AR14" s="17"/>
      <c r="AS14" s="17"/>
      <c r="AT14" s="9" t="e">
        <f t="shared" ref="AT14:AT72" si="11">AVERAGE(AO14:AS14)</f>
        <v>#DIV/0!</v>
      </c>
      <c r="AU14" s="208"/>
      <c r="AV14" s="209"/>
      <c r="AW14" s="9" t="str">
        <f t="shared" ref="AW14:AW72" si="12">IF(AU14&gt;=85,"5",IF(AU14&gt;=65,"4",IF(AU14&gt;=55,"3",IF(AU14&gt;=40,"2",IF(AU14&gt;=1,"1",IF(AU14&gt;="","0"))))))</f>
        <v>0</v>
      </c>
      <c r="AX14" s="7" t="e">
        <f t="shared" si="1"/>
        <v>#DIV/0!</v>
      </c>
      <c r="AY14" s="18" t="e">
        <f>IF(BK14&gt;=4.5, " 5 ", IF(BK14&gt;=3.5," 4 ",IF(BK14&gt;=2.5," 3  ",IF(BK14&gt;=1.5," 2 ",IF(BK14&gt;=1,"1 ",IF(BK14&gt;=0,"0"))))))</f>
        <v>#DIV/0!</v>
      </c>
      <c r="AZ14" s="232"/>
      <c r="BA14" s="4" t="e">
        <f t="shared" si="2"/>
        <v>#DIV/0!</v>
      </c>
      <c r="BB14" s="4" t="e">
        <f t="shared" ref="BB14:BB72" si="13">$Q14*$L$12</f>
        <v>#DIV/0!</v>
      </c>
      <c r="BC14" s="4" t="e">
        <f t="shared" ref="BC14:BC72" si="14">$W14*$R$12</f>
        <v>#DIV/0!</v>
      </c>
      <c r="BD14" s="4">
        <f t="shared" ref="BD14:BD72" si="15">$Z14*$X$12</f>
        <v>0</v>
      </c>
      <c r="BE14" s="12" t="e">
        <f t="shared" si="3"/>
        <v>#DIV/0!</v>
      </c>
      <c r="BF14" s="4" t="e">
        <f t="shared" ref="BF14:BF72" si="16">$AH14*$AC$12</f>
        <v>#DIV/0!</v>
      </c>
      <c r="BG14" s="4" t="e">
        <f t="shared" ref="BG14:BG72" si="17">$AN14*$AI$12</f>
        <v>#DIV/0!</v>
      </c>
      <c r="BH14" s="4" t="e">
        <f t="shared" ref="BH14:BH72" si="18">$AT14*$AO$12</f>
        <v>#DIV/0!</v>
      </c>
      <c r="BI14" s="4">
        <f t="shared" ref="BI14:BI72" si="19">$AW14*$AU$12</f>
        <v>0</v>
      </c>
      <c r="BJ14" s="12" t="e">
        <f t="shared" si="4"/>
        <v>#DIV/0!</v>
      </c>
      <c r="BK14" s="12" t="e">
        <f t="shared" si="5"/>
        <v>#DIV/0!</v>
      </c>
      <c r="BL14" s="12"/>
      <c r="BM14" s="10"/>
      <c r="BN14" s="176"/>
      <c r="BO14" s="12" t="e">
        <f t="shared" ref="BO14:BO72" si="20">(BE14+BJ14)/2</f>
        <v>#DIV/0!</v>
      </c>
      <c r="BP14" s="11"/>
      <c r="BQ14" s="6"/>
      <c r="BR14" s="6"/>
    </row>
    <row r="15" spans="1:70" ht="20.25" customHeight="1">
      <c r="A15" s="332">
        <v>2</v>
      </c>
      <c r="B15" s="321"/>
      <c r="C15" s="321"/>
      <c r="D15" s="225"/>
      <c r="E15" s="21">
        <v>1</v>
      </c>
      <c r="F15" s="17"/>
      <c r="G15" s="17"/>
      <c r="H15" s="17"/>
      <c r="I15" s="17"/>
      <c r="J15" s="17"/>
      <c r="K15" s="8" t="e">
        <f t="shared" si="6"/>
        <v>#DIV/0!</v>
      </c>
      <c r="L15" s="17"/>
      <c r="M15" s="17"/>
      <c r="N15" s="17"/>
      <c r="O15" s="17"/>
      <c r="P15" s="17"/>
      <c r="Q15" s="9" t="e">
        <f>AVERAGE(L15:P15)</f>
        <v>#DIV/0!</v>
      </c>
      <c r="R15" s="17"/>
      <c r="S15" s="17"/>
      <c r="T15" s="17"/>
      <c r="U15" s="17"/>
      <c r="V15" s="17"/>
      <c r="W15" s="9" t="e">
        <f t="shared" si="7"/>
        <v>#DIV/0!</v>
      </c>
      <c r="X15" s="233"/>
      <c r="Y15" s="234"/>
      <c r="Z15" s="9" t="str">
        <f t="shared" si="8"/>
        <v>0</v>
      </c>
      <c r="AA15" s="7" t="e">
        <f t="shared" si="0"/>
        <v>#DIV/0!</v>
      </c>
      <c r="AB15" s="365"/>
      <c r="AC15" s="17"/>
      <c r="AD15" s="17"/>
      <c r="AE15" s="17"/>
      <c r="AF15" s="17"/>
      <c r="AG15" s="17"/>
      <c r="AH15" s="9" t="e">
        <f t="shared" si="9"/>
        <v>#DIV/0!</v>
      </c>
      <c r="AI15" s="17"/>
      <c r="AJ15" s="17"/>
      <c r="AK15" s="17"/>
      <c r="AL15" s="17"/>
      <c r="AM15" s="17"/>
      <c r="AN15" s="9" t="e">
        <f t="shared" si="10"/>
        <v>#DIV/0!</v>
      </c>
      <c r="AO15" s="17"/>
      <c r="AP15" s="17"/>
      <c r="AQ15" s="17"/>
      <c r="AR15" s="17"/>
      <c r="AS15" s="17"/>
      <c r="AT15" s="9" t="e">
        <f t="shared" si="11"/>
        <v>#DIV/0!</v>
      </c>
      <c r="AU15" s="208"/>
      <c r="AV15" s="209"/>
      <c r="AW15" s="9" t="str">
        <f t="shared" si="12"/>
        <v>0</v>
      </c>
      <c r="AX15" s="7" t="e">
        <f t="shared" si="1"/>
        <v>#DIV/0!</v>
      </c>
      <c r="AY15" s="18" t="e">
        <f>IF(BK15&gt;=4.5, " 5 ", IF(BK15&gt;=3.5," 4 ",IF(BK15&gt;=2.5," 3  ",IF(BK15&gt;=1.5," 2 ",IF(BK15&gt;=1,"1 ",IF(BK15&gt;=0,"0"))))))</f>
        <v>#DIV/0!</v>
      </c>
      <c r="AZ15" s="231" t="e">
        <f>IF(BP15&gt;=4.5, " 5 ", IF(BP15&gt;=3.5," 4 ",IF(BP15&gt;=2.5," 3  ",IF(BP15&gt;=1.5," 2 ",IF(BP15&gt;=1,"1 ",IF(BP15&gt;=0,"0"))))))</f>
        <v>#DIV/0!</v>
      </c>
      <c r="BA15" s="4" t="e">
        <f t="shared" si="2"/>
        <v>#DIV/0!</v>
      </c>
      <c r="BB15" s="4" t="e">
        <f t="shared" si="13"/>
        <v>#DIV/0!</v>
      </c>
      <c r="BC15" s="4" t="e">
        <f t="shared" si="14"/>
        <v>#DIV/0!</v>
      </c>
      <c r="BD15" s="4">
        <f t="shared" si="15"/>
        <v>0</v>
      </c>
      <c r="BE15" s="12" t="e">
        <f t="shared" si="3"/>
        <v>#DIV/0!</v>
      </c>
      <c r="BF15" s="4" t="e">
        <f t="shared" si="16"/>
        <v>#DIV/0!</v>
      </c>
      <c r="BG15" s="4" t="e">
        <f t="shared" si="17"/>
        <v>#DIV/0!</v>
      </c>
      <c r="BH15" s="4" t="e">
        <f t="shared" si="18"/>
        <v>#DIV/0!</v>
      </c>
      <c r="BI15" s="4">
        <f t="shared" si="19"/>
        <v>0</v>
      </c>
      <c r="BJ15" s="12" t="e">
        <f t="shared" si="4"/>
        <v>#DIV/0!</v>
      </c>
      <c r="BK15" s="12" t="e">
        <f t="shared" si="5"/>
        <v>#DIV/0!</v>
      </c>
      <c r="BL15" s="12" t="e">
        <f>(BE15+BJ15)/2</f>
        <v>#DIV/0!</v>
      </c>
      <c r="BM15" s="10" t="e">
        <f t="shared" ref="BM15:BM71" si="21">ROUND(BL15,)</f>
        <v>#DIV/0!</v>
      </c>
      <c r="BN15" s="176" t="e">
        <f t="shared" ref="BN15" si="22">ROUND(BO16,)</f>
        <v>#DIV/0!</v>
      </c>
      <c r="BO15" s="12"/>
      <c r="BP15" s="11" t="e">
        <f>(AY15+AY16)/2</f>
        <v>#DIV/0!</v>
      </c>
      <c r="BQ15" s="6"/>
      <c r="BR15" s="6"/>
    </row>
    <row r="16" spans="1:70" ht="20.25" customHeight="1" thickBot="1">
      <c r="A16" s="333"/>
      <c r="B16" s="321"/>
      <c r="C16" s="321"/>
      <c r="D16" s="225"/>
      <c r="E16" s="20">
        <v>2</v>
      </c>
      <c r="F16" s="17"/>
      <c r="G16" s="17"/>
      <c r="H16" s="17"/>
      <c r="I16" s="17"/>
      <c r="J16" s="17"/>
      <c r="K16" s="8" t="e">
        <f t="shared" si="6"/>
        <v>#DIV/0!</v>
      </c>
      <c r="L16" s="17"/>
      <c r="M16" s="17"/>
      <c r="N16" s="17"/>
      <c r="O16" s="17"/>
      <c r="P16" s="17"/>
      <c r="Q16" s="9" t="e">
        <f>AVERAGE(L16:P16)</f>
        <v>#DIV/0!</v>
      </c>
      <c r="R16" s="17"/>
      <c r="S16" s="17"/>
      <c r="T16" s="17"/>
      <c r="U16" s="17"/>
      <c r="V16" s="17"/>
      <c r="W16" s="9" t="e">
        <f t="shared" si="7"/>
        <v>#DIV/0!</v>
      </c>
      <c r="X16" s="233"/>
      <c r="Y16" s="234"/>
      <c r="Z16" s="9" t="str">
        <f t="shared" si="8"/>
        <v>0</v>
      </c>
      <c r="AA16" s="7" t="e">
        <f t="shared" si="0"/>
        <v>#DIV/0!</v>
      </c>
      <c r="AB16" s="365"/>
      <c r="AC16" s="17"/>
      <c r="AD16" s="17"/>
      <c r="AE16" s="17"/>
      <c r="AF16" s="17"/>
      <c r="AG16" s="17"/>
      <c r="AH16" s="9" t="e">
        <f t="shared" si="9"/>
        <v>#DIV/0!</v>
      </c>
      <c r="AI16" s="17"/>
      <c r="AJ16" s="17"/>
      <c r="AK16" s="17"/>
      <c r="AL16" s="17"/>
      <c r="AM16" s="17"/>
      <c r="AN16" s="9" t="e">
        <f t="shared" si="10"/>
        <v>#DIV/0!</v>
      </c>
      <c r="AO16" s="17"/>
      <c r="AP16" s="17"/>
      <c r="AQ16" s="17"/>
      <c r="AR16" s="17"/>
      <c r="AS16" s="17"/>
      <c r="AT16" s="9" t="e">
        <f t="shared" si="11"/>
        <v>#DIV/0!</v>
      </c>
      <c r="AU16" s="208"/>
      <c r="AV16" s="209"/>
      <c r="AW16" s="9" t="str">
        <f t="shared" si="12"/>
        <v>0</v>
      </c>
      <c r="AX16" s="7" t="e">
        <f t="shared" si="1"/>
        <v>#DIV/0!</v>
      </c>
      <c r="AY16" s="18" t="e">
        <f>IF(BK16&gt;=4.5, " 5 ", IF(BK16&gt;=3.5," 4 ",IF(BK16&gt;=2.5," 3  ",IF(BK16&gt;=1.5," 2 ",IF(BK16&gt;=1,"1 ",IF(BK16&gt;=0,"0"))))))</f>
        <v>#DIV/0!</v>
      </c>
      <c r="AZ16" s="232"/>
      <c r="BA16" s="4" t="e">
        <f t="shared" si="2"/>
        <v>#DIV/0!</v>
      </c>
      <c r="BB16" s="4" t="e">
        <f t="shared" si="13"/>
        <v>#DIV/0!</v>
      </c>
      <c r="BC16" s="4" t="e">
        <f t="shared" si="14"/>
        <v>#DIV/0!</v>
      </c>
      <c r="BD16" s="4">
        <f t="shared" si="15"/>
        <v>0</v>
      </c>
      <c r="BE16" s="12" t="e">
        <f t="shared" si="3"/>
        <v>#DIV/0!</v>
      </c>
      <c r="BF16" s="4" t="e">
        <f t="shared" si="16"/>
        <v>#DIV/0!</v>
      </c>
      <c r="BG16" s="4" t="e">
        <f t="shared" si="17"/>
        <v>#DIV/0!</v>
      </c>
      <c r="BH16" s="4" t="e">
        <f t="shared" si="18"/>
        <v>#DIV/0!</v>
      </c>
      <c r="BI16" s="4">
        <f t="shared" si="19"/>
        <v>0</v>
      </c>
      <c r="BJ16" s="12" t="e">
        <f t="shared" si="4"/>
        <v>#DIV/0!</v>
      </c>
      <c r="BK16" s="12" t="e">
        <f t="shared" si="5"/>
        <v>#DIV/0!</v>
      </c>
      <c r="BL16" s="12"/>
      <c r="BM16" s="10"/>
      <c r="BN16" s="176"/>
      <c r="BO16" s="12" t="e">
        <f t="shared" si="20"/>
        <v>#DIV/0!</v>
      </c>
      <c r="BP16" s="11"/>
      <c r="BQ16" s="6"/>
      <c r="BR16" s="6"/>
    </row>
    <row r="17" spans="1:70" ht="20.25" customHeight="1">
      <c r="A17" s="332">
        <v>3</v>
      </c>
      <c r="B17" s="321"/>
      <c r="C17" s="321"/>
      <c r="D17" s="225"/>
      <c r="E17" s="21">
        <v>1</v>
      </c>
      <c r="F17" s="17"/>
      <c r="G17" s="17"/>
      <c r="H17" s="17"/>
      <c r="I17" s="17"/>
      <c r="J17" s="17"/>
      <c r="K17" s="8" t="e">
        <f t="shared" si="6"/>
        <v>#DIV/0!</v>
      </c>
      <c r="L17" s="17"/>
      <c r="M17" s="17"/>
      <c r="N17" s="17"/>
      <c r="O17" s="17"/>
      <c r="P17" s="17"/>
      <c r="Q17" s="9" t="e">
        <f t="shared" ref="Q17:Q72" si="23">AVERAGE(L17:P17)</f>
        <v>#DIV/0!</v>
      </c>
      <c r="R17" s="17"/>
      <c r="S17" s="17"/>
      <c r="T17" s="17"/>
      <c r="U17" s="17"/>
      <c r="V17" s="17"/>
      <c r="W17" s="9" t="e">
        <f t="shared" si="7"/>
        <v>#DIV/0!</v>
      </c>
      <c r="X17" s="233"/>
      <c r="Y17" s="234"/>
      <c r="Z17" s="9" t="str">
        <f t="shared" si="8"/>
        <v>0</v>
      </c>
      <c r="AA17" s="7" t="e">
        <f t="shared" si="0"/>
        <v>#DIV/0!</v>
      </c>
      <c r="AB17" s="365"/>
      <c r="AC17" s="17"/>
      <c r="AD17" s="17"/>
      <c r="AE17" s="17"/>
      <c r="AF17" s="17"/>
      <c r="AG17" s="17"/>
      <c r="AH17" s="9" t="e">
        <f t="shared" si="9"/>
        <v>#DIV/0!</v>
      </c>
      <c r="AI17" s="17"/>
      <c r="AJ17" s="17"/>
      <c r="AK17" s="17"/>
      <c r="AL17" s="17"/>
      <c r="AM17" s="17"/>
      <c r="AN17" s="9" t="e">
        <f t="shared" si="10"/>
        <v>#DIV/0!</v>
      </c>
      <c r="AO17" s="17"/>
      <c r="AP17" s="17"/>
      <c r="AQ17" s="17"/>
      <c r="AR17" s="17"/>
      <c r="AS17" s="17"/>
      <c r="AT17" s="9" t="e">
        <f t="shared" si="11"/>
        <v>#DIV/0!</v>
      </c>
      <c r="AU17" s="208"/>
      <c r="AV17" s="209"/>
      <c r="AW17" s="9" t="str">
        <f t="shared" si="12"/>
        <v>0</v>
      </c>
      <c r="AX17" s="7" t="e">
        <f t="shared" si="1"/>
        <v>#DIV/0!</v>
      </c>
      <c r="AY17" s="18" t="e">
        <f t="shared" si="1"/>
        <v>#DIV/0!</v>
      </c>
      <c r="AZ17" s="231" t="e">
        <f>IF(BP17&gt;=4.5, " 5 ", IF(BP17&gt;=3.5," 4 ",IF(BP17&gt;=2.5," 3  ",IF(BP17&gt;=1.5," 2 ",IF(BP17&gt;=1,"1 ",IF(BP17&gt;=0,"0"))))))</f>
        <v>#DIV/0!</v>
      </c>
      <c r="BA17" s="4" t="e">
        <f t="shared" si="2"/>
        <v>#DIV/0!</v>
      </c>
      <c r="BB17" s="4" t="e">
        <f t="shared" si="13"/>
        <v>#DIV/0!</v>
      </c>
      <c r="BC17" s="4" t="e">
        <f t="shared" si="14"/>
        <v>#DIV/0!</v>
      </c>
      <c r="BD17" s="4">
        <f t="shared" si="15"/>
        <v>0</v>
      </c>
      <c r="BE17" s="12" t="e">
        <f t="shared" si="3"/>
        <v>#DIV/0!</v>
      </c>
      <c r="BF17" s="4" t="e">
        <f t="shared" si="16"/>
        <v>#DIV/0!</v>
      </c>
      <c r="BG17" s="4" t="e">
        <f t="shared" si="17"/>
        <v>#DIV/0!</v>
      </c>
      <c r="BH17" s="4" t="e">
        <f t="shared" si="18"/>
        <v>#DIV/0!</v>
      </c>
      <c r="BI17" s="4">
        <f t="shared" si="19"/>
        <v>0</v>
      </c>
      <c r="BJ17" s="12" t="e">
        <f t="shared" si="4"/>
        <v>#DIV/0!</v>
      </c>
      <c r="BK17" s="12" t="e">
        <f t="shared" si="5"/>
        <v>#DIV/0!</v>
      </c>
      <c r="BL17" s="12" t="e">
        <f>(BE17+BJ17)/2</f>
        <v>#DIV/0!</v>
      </c>
      <c r="BM17" s="10" t="e">
        <f t="shared" si="21"/>
        <v>#DIV/0!</v>
      </c>
      <c r="BN17" s="176" t="e">
        <f t="shared" ref="BN17" si="24">ROUND(BO18,)</f>
        <v>#DIV/0!</v>
      </c>
      <c r="BO17" s="12"/>
      <c r="BP17" s="11" t="e">
        <f t="shared" ref="BP17:BP71" si="25">(AY17+AY18)/2</f>
        <v>#DIV/0!</v>
      </c>
      <c r="BQ17" s="6"/>
      <c r="BR17" s="6"/>
    </row>
    <row r="18" spans="1:70" ht="20.25" customHeight="1" thickBot="1">
      <c r="A18" s="333"/>
      <c r="B18" s="321"/>
      <c r="C18" s="321"/>
      <c r="D18" s="225"/>
      <c r="E18" s="20">
        <v>2</v>
      </c>
      <c r="F18" s="17"/>
      <c r="G18" s="17"/>
      <c r="H18" s="17"/>
      <c r="I18" s="17"/>
      <c r="J18" s="17"/>
      <c r="K18" s="8" t="e">
        <f t="shared" si="6"/>
        <v>#DIV/0!</v>
      </c>
      <c r="L18" s="17"/>
      <c r="M18" s="17"/>
      <c r="N18" s="17"/>
      <c r="O18" s="17"/>
      <c r="P18" s="17"/>
      <c r="Q18" s="9" t="e">
        <f t="shared" si="23"/>
        <v>#DIV/0!</v>
      </c>
      <c r="R18" s="17"/>
      <c r="S18" s="17"/>
      <c r="T18" s="17"/>
      <c r="U18" s="17"/>
      <c r="V18" s="17"/>
      <c r="W18" s="9" t="e">
        <f t="shared" si="7"/>
        <v>#DIV/0!</v>
      </c>
      <c r="X18" s="233"/>
      <c r="Y18" s="234"/>
      <c r="Z18" s="9" t="str">
        <f t="shared" si="8"/>
        <v>0</v>
      </c>
      <c r="AA18" s="7" t="e">
        <f t="shared" si="0"/>
        <v>#DIV/0!</v>
      </c>
      <c r="AB18" s="365"/>
      <c r="AC18" s="17"/>
      <c r="AD18" s="17"/>
      <c r="AE18" s="17"/>
      <c r="AF18" s="17"/>
      <c r="AG18" s="17"/>
      <c r="AH18" s="9" t="e">
        <f t="shared" si="9"/>
        <v>#DIV/0!</v>
      </c>
      <c r="AI18" s="17"/>
      <c r="AJ18" s="17"/>
      <c r="AK18" s="17"/>
      <c r="AL18" s="17"/>
      <c r="AM18" s="17"/>
      <c r="AN18" s="9" t="e">
        <f t="shared" si="10"/>
        <v>#DIV/0!</v>
      </c>
      <c r="AO18" s="17"/>
      <c r="AP18" s="17"/>
      <c r="AQ18" s="17"/>
      <c r="AR18" s="17"/>
      <c r="AS18" s="17"/>
      <c r="AT18" s="9" t="e">
        <f t="shared" si="11"/>
        <v>#DIV/0!</v>
      </c>
      <c r="AU18" s="208"/>
      <c r="AV18" s="209"/>
      <c r="AW18" s="9" t="str">
        <f t="shared" si="12"/>
        <v>0</v>
      </c>
      <c r="AX18" s="7" t="e">
        <f t="shared" si="1"/>
        <v>#DIV/0!</v>
      </c>
      <c r="AY18" s="18" t="e">
        <f t="shared" si="1"/>
        <v>#DIV/0!</v>
      </c>
      <c r="AZ18" s="232"/>
      <c r="BA18" s="4" t="e">
        <f t="shared" si="2"/>
        <v>#DIV/0!</v>
      </c>
      <c r="BB18" s="4" t="e">
        <f t="shared" si="13"/>
        <v>#DIV/0!</v>
      </c>
      <c r="BC18" s="4" t="e">
        <f t="shared" si="14"/>
        <v>#DIV/0!</v>
      </c>
      <c r="BD18" s="4">
        <f t="shared" si="15"/>
        <v>0</v>
      </c>
      <c r="BE18" s="12" t="e">
        <f t="shared" si="3"/>
        <v>#DIV/0!</v>
      </c>
      <c r="BF18" s="4" t="e">
        <f t="shared" si="16"/>
        <v>#DIV/0!</v>
      </c>
      <c r="BG18" s="4" t="e">
        <f t="shared" si="17"/>
        <v>#DIV/0!</v>
      </c>
      <c r="BH18" s="4" t="e">
        <f t="shared" si="18"/>
        <v>#DIV/0!</v>
      </c>
      <c r="BI18" s="4">
        <f t="shared" si="19"/>
        <v>0</v>
      </c>
      <c r="BJ18" s="12" t="e">
        <f t="shared" si="4"/>
        <v>#DIV/0!</v>
      </c>
      <c r="BK18" s="12" t="e">
        <f t="shared" si="5"/>
        <v>#DIV/0!</v>
      </c>
      <c r="BL18" s="12"/>
      <c r="BM18" s="10"/>
      <c r="BN18" s="176"/>
      <c r="BO18" s="12" t="e">
        <f t="shared" si="20"/>
        <v>#DIV/0!</v>
      </c>
      <c r="BP18" s="11"/>
      <c r="BQ18" s="6"/>
      <c r="BR18" s="6"/>
    </row>
    <row r="19" spans="1:70" ht="17.25" customHeight="1">
      <c r="A19" s="332">
        <v>4</v>
      </c>
      <c r="B19" s="321"/>
      <c r="C19" s="321"/>
      <c r="D19" s="225"/>
      <c r="E19" s="21">
        <v>1</v>
      </c>
      <c r="F19" s="17"/>
      <c r="G19" s="17"/>
      <c r="H19" s="17"/>
      <c r="I19" s="17"/>
      <c r="J19" s="17"/>
      <c r="K19" s="8" t="e">
        <f t="shared" si="6"/>
        <v>#DIV/0!</v>
      </c>
      <c r="L19" s="17"/>
      <c r="M19" s="17"/>
      <c r="N19" s="17"/>
      <c r="O19" s="17"/>
      <c r="P19" s="17"/>
      <c r="Q19" s="9" t="e">
        <f t="shared" si="23"/>
        <v>#DIV/0!</v>
      </c>
      <c r="R19" s="17"/>
      <c r="S19" s="17"/>
      <c r="T19" s="17"/>
      <c r="U19" s="17"/>
      <c r="V19" s="17"/>
      <c r="W19" s="9" t="e">
        <f t="shared" si="7"/>
        <v>#DIV/0!</v>
      </c>
      <c r="X19" s="233"/>
      <c r="Y19" s="234"/>
      <c r="Z19" s="9" t="str">
        <f t="shared" si="8"/>
        <v>0</v>
      </c>
      <c r="AA19" s="7" t="e">
        <f t="shared" si="0"/>
        <v>#DIV/0!</v>
      </c>
      <c r="AB19" s="365"/>
      <c r="AC19" s="17"/>
      <c r="AD19" s="17"/>
      <c r="AE19" s="17"/>
      <c r="AF19" s="17"/>
      <c r="AG19" s="17"/>
      <c r="AH19" s="9" t="e">
        <f t="shared" si="9"/>
        <v>#DIV/0!</v>
      </c>
      <c r="AI19" s="17"/>
      <c r="AJ19" s="17"/>
      <c r="AK19" s="17"/>
      <c r="AL19" s="17"/>
      <c r="AM19" s="17"/>
      <c r="AN19" s="9" t="e">
        <f t="shared" si="10"/>
        <v>#DIV/0!</v>
      </c>
      <c r="AO19" s="17"/>
      <c r="AP19" s="17"/>
      <c r="AQ19" s="17"/>
      <c r="AR19" s="17"/>
      <c r="AS19" s="17"/>
      <c r="AT19" s="9" t="e">
        <f t="shared" si="11"/>
        <v>#DIV/0!</v>
      </c>
      <c r="AU19" s="208"/>
      <c r="AV19" s="209"/>
      <c r="AW19" s="9" t="str">
        <f t="shared" si="12"/>
        <v>0</v>
      </c>
      <c r="AX19" s="7" t="e">
        <f t="shared" si="1"/>
        <v>#DIV/0!</v>
      </c>
      <c r="AY19" s="18" t="e">
        <f t="shared" si="1"/>
        <v>#DIV/0!</v>
      </c>
      <c r="AZ19" s="231" t="e">
        <f t="shared" ref="AZ19" si="26">IF(BP19&gt;=4.5, " 5 ", IF(BP19&gt;=3.5," 4 ",IF(BP19&gt;=2.5," 3  ",IF(BP19&gt;=1.5," 2 ",IF(BP19&gt;=1,"1 ",IF(BP19&gt;=0,"0"))))))</f>
        <v>#DIV/0!</v>
      </c>
      <c r="BA19" s="4" t="e">
        <f t="shared" si="2"/>
        <v>#DIV/0!</v>
      </c>
      <c r="BB19" s="4" t="e">
        <f t="shared" si="13"/>
        <v>#DIV/0!</v>
      </c>
      <c r="BC19" s="4" t="e">
        <f t="shared" si="14"/>
        <v>#DIV/0!</v>
      </c>
      <c r="BD19" s="4">
        <f t="shared" si="15"/>
        <v>0</v>
      </c>
      <c r="BE19" s="12" t="e">
        <f t="shared" si="3"/>
        <v>#DIV/0!</v>
      </c>
      <c r="BF19" s="4" t="e">
        <f t="shared" si="16"/>
        <v>#DIV/0!</v>
      </c>
      <c r="BG19" s="4" t="e">
        <f t="shared" si="17"/>
        <v>#DIV/0!</v>
      </c>
      <c r="BH19" s="4" t="e">
        <f t="shared" si="18"/>
        <v>#DIV/0!</v>
      </c>
      <c r="BI19" s="4">
        <f t="shared" si="19"/>
        <v>0</v>
      </c>
      <c r="BJ19" s="12" t="e">
        <f t="shared" si="4"/>
        <v>#DIV/0!</v>
      </c>
      <c r="BK19" s="12" t="e">
        <f t="shared" si="5"/>
        <v>#DIV/0!</v>
      </c>
      <c r="BL19" s="12" t="e">
        <f>(BE19+BJ19)/2</f>
        <v>#DIV/0!</v>
      </c>
      <c r="BM19" s="10" t="e">
        <f t="shared" si="21"/>
        <v>#DIV/0!</v>
      </c>
      <c r="BN19" s="176" t="e">
        <f t="shared" ref="BN19" si="27">ROUND(BO20,)</f>
        <v>#DIV/0!</v>
      </c>
      <c r="BO19" s="12"/>
      <c r="BP19" s="11" t="e">
        <f t="shared" si="25"/>
        <v>#DIV/0!</v>
      </c>
      <c r="BQ19" s="6"/>
      <c r="BR19" s="6"/>
    </row>
    <row r="20" spans="1:70" ht="17.25" customHeight="1" thickBot="1">
      <c r="A20" s="333"/>
      <c r="B20" s="321"/>
      <c r="C20" s="321"/>
      <c r="D20" s="225"/>
      <c r="E20" s="20">
        <v>2</v>
      </c>
      <c r="F20" s="17"/>
      <c r="G20" s="17"/>
      <c r="H20" s="17"/>
      <c r="I20" s="17"/>
      <c r="J20" s="17"/>
      <c r="K20" s="8" t="e">
        <f t="shared" si="6"/>
        <v>#DIV/0!</v>
      </c>
      <c r="L20" s="17"/>
      <c r="M20" s="17"/>
      <c r="N20" s="17"/>
      <c r="O20" s="17"/>
      <c r="P20" s="17"/>
      <c r="Q20" s="9" t="e">
        <f t="shared" si="23"/>
        <v>#DIV/0!</v>
      </c>
      <c r="R20" s="17"/>
      <c r="S20" s="17"/>
      <c r="T20" s="17"/>
      <c r="U20" s="17"/>
      <c r="V20" s="17"/>
      <c r="W20" s="9" t="e">
        <f t="shared" si="7"/>
        <v>#DIV/0!</v>
      </c>
      <c r="X20" s="233"/>
      <c r="Y20" s="234"/>
      <c r="Z20" s="9" t="str">
        <f t="shared" si="8"/>
        <v>0</v>
      </c>
      <c r="AA20" s="7" t="e">
        <f t="shared" si="0"/>
        <v>#DIV/0!</v>
      </c>
      <c r="AB20" s="365"/>
      <c r="AC20" s="17"/>
      <c r="AD20" s="17"/>
      <c r="AE20" s="17"/>
      <c r="AF20" s="17"/>
      <c r="AG20" s="17"/>
      <c r="AH20" s="9" t="e">
        <f t="shared" si="9"/>
        <v>#DIV/0!</v>
      </c>
      <c r="AI20" s="17"/>
      <c r="AJ20" s="17"/>
      <c r="AK20" s="17"/>
      <c r="AL20" s="17"/>
      <c r="AM20" s="17"/>
      <c r="AN20" s="9" t="e">
        <f t="shared" si="10"/>
        <v>#DIV/0!</v>
      </c>
      <c r="AO20" s="17"/>
      <c r="AP20" s="17"/>
      <c r="AQ20" s="17"/>
      <c r="AR20" s="17"/>
      <c r="AS20" s="17"/>
      <c r="AT20" s="9" t="e">
        <f t="shared" si="11"/>
        <v>#DIV/0!</v>
      </c>
      <c r="AU20" s="208"/>
      <c r="AV20" s="209"/>
      <c r="AW20" s="9" t="str">
        <f t="shared" si="12"/>
        <v>0</v>
      </c>
      <c r="AX20" s="7" t="e">
        <f t="shared" si="1"/>
        <v>#DIV/0!</v>
      </c>
      <c r="AY20" s="18" t="e">
        <f t="shared" si="1"/>
        <v>#DIV/0!</v>
      </c>
      <c r="AZ20" s="232"/>
      <c r="BA20" s="4" t="e">
        <f t="shared" si="2"/>
        <v>#DIV/0!</v>
      </c>
      <c r="BB20" s="4" t="e">
        <f t="shared" si="13"/>
        <v>#DIV/0!</v>
      </c>
      <c r="BC20" s="4" t="e">
        <f t="shared" si="14"/>
        <v>#DIV/0!</v>
      </c>
      <c r="BD20" s="4">
        <f t="shared" si="15"/>
        <v>0</v>
      </c>
      <c r="BE20" s="12" t="e">
        <f t="shared" si="3"/>
        <v>#DIV/0!</v>
      </c>
      <c r="BF20" s="4" t="e">
        <f t="shared" si="16"/>
        <v>#DIV/0!</v>
      </c>
      <c r="BG20" s="4" t="e">
        <f t="shared" si="17"/>
        <v>#DIV/0!</v>
      </c>
      <c r="BH20" s="4" t="e">
        <f t="shared" si="18"/>
        <v>#DIV/0!</v>
      </c>
      <c r="BI20" s="4">
        <f t="shared" si="19"/>
        <v>0</v>
      </c>
      <c r="BJ20" s="12" t="e">
        <f t="shared" si="4"/>
        <v>#DIV/0!</v>
      </c>
      <c r="BK20" s="12" t="e">
        <f t="shared" si="5"/>
        <v>#DIV/0!</v>
      </c>
      <c r="BL20" s="12"/>
      <c r="BM20" s="10"/>
      <c r="BN20" s="176"/>
      <c r="BO20" s="12" t="e">
        <f t="shared" si="20"/>
        <v>#DIV/0!</v>
      </c>
      <c r="BP20" s="11"/>
      <c r="BQ20" s="6"/>
      <c r="BR20" s="6"/>
    </row>
    <row r="21" spans="1:70" ht="20.25" customHeight="1">
      <c r="A21" s="332">
        <v>5</v>
      </c>
      <c r="B21" s="321"/>
      <c r="C21" s="321"/>
      <c r="D21" s="225"/>
      <c r="E21" s="21">
        <v>1</v>
      </c>
      <c r="F21" s="17"/>
      <c r="G21" s="17"/>
      <c r="H21" s="17"/>
      <c r="I21" s="17"/>
      <c r="J21" s="17"/>
      <c r="K21" s="8" t="e">
        <f t="shared" si="6"/>
        <v>#DIV/0!</v>
      </c>
      <c r="L21" s="17"/>
      <c r="M21" s="17"/>
      <c r="N21" s="17"/>
      <c r="O21" s="17"/>
      <c r="P21" s="17"/>
      <c r="Q21" s="9" t="e">
        <f t="shared" si="23"/>
        <v>#DIV/0!</v>
      </c>
      <c r="R21" s="17"/>
      <c r="S21" s="17"/>
      <c r="T21" s="17"/>
      <c r="U21" s="17"/>
      <c r="V21" s="17"/>
      <c r="W21" s="9" t="e">
        <f t="shared" si="7"/>
        <v>#DIV/0!</v>
      </c>
      <c r="X21" s="233"/>
      <c r="Y21" s="234"/>
      <c r="Z21" s="9" t="str">
        <f t="shared" si="8"/>
        <v>0</v>
      </c>
      <c r="AA21" s="7" t="e">
        <f t="shared" si="0"/>
        <v>#DIV/0!</v>
      </c>
      <c r="AB21" s="365"/>
      <c r="AC21" s="17"/>
      <c r="AD21" s="17"/>
      <c r="AE21" s="17"/>
      <c r="AF21" s="17"/>
      <c r="AG21" s="17"/>
      <c r="AH21" s="9" t="e">
        <f t="shared" si="9"/>
        <v>#DIV/0!</v>
      </c>
      <c r="AI21" s="17"/>
      <c r="AJ21" s="17"/>
      <c r="AK21" s="17"/>
      <c r="AL21" s="17"/>
      <c r="AM21" s="17"/>
      <c r="AN21" s="9" t="e">
        <f t="shared" si="10"/>
        <v>#DIV/0!</v>
      </c>
      <c r="AO21" s="17"/>
      <c r="AP21" s="17"/>
      <c r="AQ21" s="17"/>
      <c r="AR21" s="17"/>
      <c r="AS21" s="17"/>
      <c r="AT21" s="9" t="e">
        <f t="shared" si="11"/>
        <v>#DIV/0!</v>
      </c>
      <c r="AU21" s="208"/>
      <c r="AV21" s="209"/>
      <c r="AW21" s="9" t="str">
        <f t="shared" si="12"/>
        <v>0</v>
      </c>
      <c r="AX21" s="7" t="e">
        <f t="shared" si="1"/>
        <v>#DIV/0!</v>
      </c>
      <c r="AY21" s="18" t="e">
        <f t="shared" si="1"/>
        <v>#DIV/0!</v>
      </c>
      <c r="AZ21" s="231" t="e">
        <f t="shared" ref="AZ21" si="28">IF(BP21&gt;=4.5, " 5 ", IF(BP21&gt;=3.5," 4 ",IF(BP21&gt;=2.5," 3  ",IF(BP21&gt;=1.5," 2 ",IF(BP21&gt;=1,"1 ",IF(BP21&gt;=0,"0"))))))</f>
        <v>#DIV/0!</v>
      </c>
      <c r="BA21" s="4" t="e">
        <f t="shared" si="2"/>
        <v>#DIV/0!</v>
      </c>
      <c r="BB21" s="4" t="e">
        <f t="shared" si="13"/>
        <v>#DIV/0!</v>
      </c>
      <c r="BC21" s="4" t="e">
        <f t="shared" si="14"/>
        <v>#DIV/0!</v>
      </c>
      <c r="BD21" s="4">
        <f t="shared" si="15"/>
        <v>0</v>
      </c>
      <c r="BE21" s="12" t="e">
        <f t="shared" si="3"/>
        <v>#DIV/0!</v>
      </c>
      <c r="BF21" s="4" t="e">
        <f t="shared" si="16"/>
        <v>#DIV/0!</v>
      </c>
      <c r="BG21" s="4" t="e">
        <f t="shared" si="17"/>
        <v>#DIV/0!</v>
      </c>
      <c r="BH21" s="4" t="e">
        <f t="shared" si="18"/>
        <v>#DIV/0!</v>
      </c>
      <c r="BI21" s="4">
        <f t="shared" si="19"/>
        <v>0</v>
      </c>
      <c r="BJ21" s="12" t="e">
        <f t="shared" si="4"/>
        <v>#DIV/0!</v>
      </c>
      <c r="BK21" s="12" t="e">
        <f t="shared" si="5"/>
        <v>#DIV/0!</v>
      </c>
      <c r="BL21" s="12" t="e">
        <f>(BE21+BJ21)/2</f>
        <v>#DIV/0!</v>
      </c>
      <c r="BM21" s="10" t="e">
        <f t="shared" si="21"/>
        <v>#DIV/0!</v>
      </c>
      <c r="BN21" s="176" t="e">
        <f t="shared" ref="BN21" si="29">ROUND(BO22,)</f>
        <v>#DIV/0!</v>
      </c>
      <c r="BO21" s="12"/>
      <c r="BP21" s="11" t="e">
        <f t="shared" si="25"/>
        <v>#DIV/0!</v>
      </c>
      <c r="BQ21" s="6"/>
      <c r="BR21" s="6"/>
    </row>
    <row r="22" spans="1:70" ht="18" customHeight="1" thickBot="1">
      <c r="A22" s="333"/>
      <c r="B22" s="321"/>
      <c r="C22" s="321"/>
      <c r="D22" s="225"/>
      <c r="E22" s="20">
        <v>2</v>
      </c>
      <c r="F22" s="17"/>
      <c r="G22" s="17"/>
      <c r="H22" s="17"/>
      <c r="I22" s="17"/>
      <c r="J22" s="17"/>
      <c r="K22" s="8" t="e">
        <f t="shared" si="6"/>
        <v>#DIV/0!</v>
      </c>
      <c r="L22" s="17"/>
      <c r="M22" s="17"/>
      <c r="N22" s="17"/>
      <c r="O22" s="17"/>
      <c r="P22" s="17"/>
      <c r="Q22" s="9" t="e">
        <f t="shared" si="23"/>
        <v>#DIV/0!</v>
      </c>
      <c r="R22" s="17"/>
      <c r="S22" s="17"/>
      <c r="T22" s="17"/>
      <c r="U22" s="17"/>
      <c r="V22" s="17"/>
      <c r="W22" s="9" t="e">
        <f t="shared" si="7"/>
        <v>#DIV/0!</v>
      </c>
      <c r="X22" s="233"/>
      <c r="Y22" s="234"/>
      <c r="Z22" s="9" t="str">
        <f>IF(X22&gt;=85,"5",IF(X22&gt;=65,"4",IF(X22&gt;=55,"3",IF(X22&gt;=40,"2",IF(X22&gt;=1,"1",IF(X22&gt;="","0"))))))</f>
        <v>0</v>
      </c>
      <c r="AA22" s="7" t="e">
        <f t="shared" si="0"/>
        <v>#DIV/0!</v>
      </c>
      <c r="AB22" s="365"/>
      <c r="AC22" s="17"/>
      <c r="AD22" s="17"/>
      <c r="AE22" s="17"/>
      <c r="AF22" s="17"/>
      <c r="AG22" s="17"/>
      <c r="AH22" s="9" t="e">
        <f t="shared" si="9"/>
        <v>#DIV/0!</v>
      </c>
      <c r="AI22" s="17"/>
      <c r="AJ22" s="17"/>
      <c r="AK22" s="17"/>
      <c r="AL22" s="17"/>
      <c r="AM22" s="17"/>
      <c r="AN22" s="9" t="e">
        <f t="shared" si="10"/>
        <v>#DIV/0!</v>
      </c>
      <c r="AO22" s="17"/>
      <c r="AP22" s="17"/>
      <c r="AQ22" s="17"/>
      <c r="AR22" s="17"/>
      <c r="AS22" s="17"/>
      <c r="AT22" s="9" t="e">
        <f t="shared" si="11"/>
        <v>#DIV/0!</v>
      </c>
      <c r="AU22" s="208"/>
      <c r="AV22" s="209"/>
      <c r="AW22" s="9" t="str">
        <f t="shared" si="12"/>
        <v>0</v>
      </c>
      <c r="AX22" s="7" t="e">
        <f t="shared" si="1"/>
        <v>#DIV/0!</v>
      </c>
      <c r="AY22" s="18" t="e">
        <f t="shared" si="1"/>
        <v>#DIV/0!</v>
      </c>
      <c r="AZ22" s="232"/>
      <c r="BA22" s="4" t="e">
        <f t="shared" si="2"/>
        <v>#DIV/0!</v>
      </c>
      <c r="BB22" s="4" t="e">
        <f t="shared" si="13"/>
        <v>#DIV/0!</v>
      </c>
      <c r="BC22" s="4" t="e">
        <f t="shared" si="14"/>
        <v>#DIV/0!</v>
      </c>
      <c r="BD22" s="4">
        <f t="shared" si="15"/>
        <v>0</v>
      </c>
      <c r="BE22" s="12" t="e">
        <f t="shared" si="3"/>
        <v>#DIV/0!</v>
      </c>
      <c r="BF22" s="4" t="e">
        <f t="shared" si="16"/>
        <v>#DIV/0!</v>
      </c>
      <c r="BG22" s="4" t="e">
        <f t="shared" si="17"/>
        <v>#DIV/0!</v>
      </c>
      <c r="BH22" s="4" t="e">
        <f t="shared" si="18"/>
        <v>#DIV/0!</v>
      </c>
      <c r="BI22" s="4">
        <f t="shared" si="19"/>
        <v>0</v>
      </c>
      <c r="BJ22" s="12" t="e">
        <f t="shared" si="4"/>
        <v>#DIV/0!</v>
      </c>
      <c r="BK22" s="12" t="e">
        <f t="shared" si="5"/>
        <v>#DIV/0!</v>
      </c>
      <c r="BL22" s="12"/>
      <c r="BM22" s="10"/>
      <c r="BN22" s="176"/>
      <c r="BO22" s="12" t="e">
        <f t="shared" si="20"/>
        <v>#DIV/0!</v>
      </c>
      <c r="BP22" s="11"/>
      <c r="BQ22" s="6"/>
      <c r="BR22" s="6"/>
    </row>
    <row r="23" spans="1:70" ht="20.25" customHeight="1">
      <c r="A23" s="332">
        <v>6</v>
      </c>
      <c r="B23" s="321"/>
      <c r="C23" s="321"/>
      <c r="D23" s="225"/>
      <c r="E23" s="21">
        <v>1</v>
      </c>
      <c r="F23" s="17"/>
      <c r="G23" s="17"/>
      <c r="H23" s="17"/>
      <c r="I23" s="17"/>
      <c r="J23" s="17"/>
      <c r="K23" s="8" t="e">
        <f t="shared" si="6"/>
        <v>#DIV/0!</v>
      </c>
      <c r="L23" s="17"/>
      <c r="M23" s="17"/>
      <c r="N23" s="17"/>
      <c r="O23" s="17"/>
      <c r="P23" s="17"/>
      <c r="Q23" s="9" t="e">
        <f t="shared" si="23"/>
        <v>#DIV/0!</v>
      </c>
      <c r="R23" s="17"/>
      <c r="S23" s="17"/>
      <c r="T23" s="17"/>
      <c r="U23" s="17"/>
      <c r="V23" s="17"/>
      <c r="W23" s="9" t="e">
        <f t="shared" si="7"/>
        <v>#DIV/0!</v>
      </c>
      <c r="X23" s="233"/>
      <c r="Y23" s="234"/>
      <c r="Z23" s="9" t="str">
        <f>IF(X23&gt;=85,"5",IF(X23&gt;=65,"4",IF(X23&gt;=55,"3",IF(X23&gt;=40,"2",IF(X23&gt;=1,"1",IF(X23&gt;="","0"))))))</f>
        <v>0</v>
      </c>
      <c r="AA23" s="7" t="e">
        <f t="shared" si="0"/>
        <v>#DIV/0!</v>
      </c>
      <c r="AB23" s="365"/>
      <c r="AC23" s="17"/>
      <c r="AD23" s="17"/>
      <c r="AE23" s="17"/>
      <c r="AF23" s="17"/>
      <c r="AG23" s="17"/>
      <c r="AH23" s="9" t="e">
        <f t="shared" si="9"/>
        <v>#DIV/0!</v>
      </c>
      <c r="AI23" s="17"/>
      <c r="AJ23" s="17"/>
      <c r="AK23" s="17"/>
      <c r="AL23" s="17"/>
      <c r="AM23" s="17"/>
      <c r="AN23" s="9" t="e">
        <f t="shared" si="10"/>
        <v>#DIV/0!</v>
      </c>
      <c r="AO23" s="17"/>
      <c r="AP23" s="17"/>
      <c r="AQ23" s="17"/>
      <c r="AR23" s="17"/>
      <c r="AS23" s="17"/>
      <c r="AT23" s="9" t="e">
        <f t="shared" si="11"/>
        <v>#DIV/0!</v>
      </c>
      <c r="AU23" s="208"/>
      <c r="AV23" s="209"/>
      <c r="AW23" s="9" t="str">
        <f t="shared" si="12"/>
        <v>0</v>
      </c>
      <c r="AX23" s="7" t="e">
        <f t="shared" si="1"/>
        <v>#DIV/0!</v>
      </c>
      <c r="AY23" s="18" t="e">
        <f t="shared" si="1"/>
        <v>#DIV/0!</v>
      </c>
      <c r="AZ23" s="231" t="e">
        <f t="shared" ref="AZ23" si="30">IF(BP23&gt;=4.5, " 5 ", IF(BP23&gt;=3.5," 4 ",IF(BP23&gt;=2.5," 3  ",IF(BP23&gt;=1.5," 2 ",IF(BP23&gt;=1,"1 ",IF(BP23&gt;=0,"0"))))))</f>
        <v>#DIV/0!</v>
      </c>
      <c r="BA23" s="4" t="e">
        <f t="shared" si="2"/>
        <v>#DIV/0!</v>
      </c>
      <c r="BB23" s="4" t="e">
        <f t="shared" si="13"/>
        <v>#DIV/0!</v>
      </c>
      <c r="BC23" s="4" t="e">
        <f t="shared" si="14"/>
        <v>#DIV/0!</v>
      </c>
      <c r="BD23" s="4">
        <f t="shared" si="15"/>
        <v>0</v>
      </c>
      <c r="BE23" s="12" t="e">
        <f t="shared" si="3"/>
        <v>#DIV/0!</v>
      </c>
      <c r="BF23" s="4" t="e">
        <f t="shared" si="16"/>
        <v>#DIV/0!</v>
      </c>
      <c r="BG23" s="4" t="e">
        <f t="shared" si="17"/>
        <v>#DIV/0!</v>
      </c>
      <c r="BH23" s="4" t="e">
        <f t="shared" si="18"/>
        <v>#DIV/0!</v>
      </c>
      <c r="BI23" s="4">
        <f t="shared" si="19"/>
        <v>0</v>
      </c>
      <c r="BJ23" s="12" t="e">
        <f t="shared" si="4"/>
        <v>#DIV/0!</v>
      </c>
      <c r="BK23" s="12" t="e">
        <f t="shared" si="5"/>
        <v>#DIV/0!</v>
      </c>
      <c r="BL23" s="12" t="e">
        <f>(BE23+BJ23)/2</f>
        <v>#DIV/0!</v>
      </c>
      <c r="BM23" s="10" t="e">
        <f t="shared" si="21"/>
        <v>#DIV/0!</v>
      </c>
      <c r="BN23" s="176" t="e">
        <f t="shared" ref="BN23:BN71" si="31">ROUND(BO24,)</f>
        <v>#DIV/0!</v>
      </c>
      <c r="BO23" s="12"/>
      <c r="BP23" s="11" t="e">
        <f t="shared" si="25"/>
        <v>#DIV/0!</v>
      </c>
      <c r="BQ23" s="6"/>
      <c r="BR23" s="6"/>
    </row>
    <row r="24" spans="1:70" ht="20.25" customHeight="1" thickBot="1">
      <c r="A24" s="333"/>
      <c r="B24" s="321"/>
      <c r="C24" s="321"/>
      <c r="D24" s="225"/>
      <c r="E24" s="20">
        <v>2</v>
      </c>
      <c r="F24" s="17"/>
      <c r="G24" s="17"/>
      <c r="H24" s="17"/>
      <c r="I24" s="17"/>
      <c r="J24" s="17"/>
      <c r="K24" s="8" t="e">
        <f t="shared" si="6"/>
        <v>#DIV/0!</v>
      </c>
      <c r="L24" s="17"/>
      <c r="M24" s="17"/>
      <c r="N24" s="17"/>
      <c r="O24" s="17"/>
      <c r="P24" s="17"/>
      <c r="Q24" s="9" t="e">
        <f t="shared" si="23"/>
        <v>#DIV/0!</v>
      </c>
      <c r="R24" s="17"/>
      <c r="S24" s="17"/>
      <c r="T24" s="17"/>
      <c r="U24" s="17"/>
      <c r="V24" s="17"/>
      <c r="W24" s="9" t="e">
        <f t="shared" si="7"/>
        <v>#DIV/0!</v>
      </c>
      <c r="X24" s="233"/>
      <c r="Y24" s="234"/>
      <c r="Z24" s="9" t="str">
        <f t="shared" si="8"/>
        <v>0</v>
      </c>
      <c r="AA24" s="7" t="e">
        <f t="shared" si="0"/>
        <v>#DIV/0!</v>
      </c>
      <c r="AB24" s="365"/>
      <c r="AC24" s="17"/>
      <c r="AD24" s="17"/>
      <c r="AE24" s="17"/>
      <c r="AF24" s="17"/>
      <c r="AG24" s="17"/>
      <c r="AH24" s="9" t="e">
        <f t="shared" si="9"/>
        <v>#DIV/0!</v>
      </c>
      <c r="AI24" s="17"/>
      <c r="AJ24" s="17"/>
      <c r="AK24" s="17"/>
      <c r="AL24" s="17"/>
      <c r="AM24" s="17"/>
      <c r="AN24" s="9" t="e">
        <f t="shared" si="10"/>
        <v>#DIV/0!</v>
      </c>
      <c r="AO24" s="17"/>
      <c r="AP24" s="17"/>
      <c r="AQ24" s="17"/>
      <c r="AR24" s="17"/>
      <c r="AS24" s="17"/>
      <c r="AT24" s="9" t="e">
        <f t="shared" si="11"/>
        <v>#DIV/0!</v>
      </c>
      <c r="AU24" s="208"/>
      <c r="AV24" s="209"/>
      <c r="AW24" s="9" t="str">
        <f t="shared" si="12"/>
        <v>0</v>
      </c>
      <c r="AX24" s="7" t="e">
        <f t="shared" si="1"/>
        <v>#DIV/0!</v>
      </c>
      <c r="AY24" s="18" t="e">
        <f t="shared" si="1"/>
        <v>#DIV/0!</v>
      </c>
      <c r="AZ24" s="232"/>
      <c r="BA24" s="4" t="e">
        <f t="shared" si="2"/>
        <v>#DIV/0!</v>
      </c>
      <c r="BB24" s="4" t="e">
        <f t="shared" si="13"/>
        <v>#DIV/0!</v>
      </c>
      <c r="BC24" s="4" t="e">
        <f t="shared" si="14"/>
        <v>#DIV/0!</v>
      </c>
      <c r="BD24" s="4">
        <f t="shared" si="15"/>
        <v>0</v>
      </c>
      <c r="BE24" s="12" t="e">
        <f t="shared" si="3"/>
        <v>#DIV/0!</v>
      </c>
      <c r="BF24" s="4" t="e">
        <f t="shared" si="16"/>
        <v>#DIV/0!</v>
      </c>
      <c r="BG24" s="4" t="e">
        <f t="shared" si="17"/>
        <v>#DIV/0!</v>
      </c>
      <c r="BH24" s="4" t="e">
        <f t="shared" si="18"/>
        <v>#DIV/0!</v>
      </c>
      <c r="BI24" s="4">
        <f t="shared" si="19"/>
        <v>0</v>
      </c>
      <c r="BJ24" s="12" t="e">
        <f t="shared" si="4"/>
        <v>#DIV/0!</v>
      </c>
      <c r="BK24" s="12" t="e">
        <f t="shared" si="5"/>
        <v>#DIV/0!</v>
      </c>
      <c r="BL24" s="12"/>
      <c r="BM24" s="10"/>
      <c r="BN24" s="176"/>
      <c r="BO24" s="12" t="e">
        <f t="shared" si="20"/>
        <v>#DIV/0!</v>
      </c>
      <c r="BP24" s="11"/>
      <c r="BQ24" s="6"/>
      <c r="BR24" s="6"/>
    </row>
    <row r="25" spans="1:70" ht="20.25" customHeight="1">
      <c r="A25" s="332">
        <v>7</v>
      </c>
      <c r="B25" s="321"/>
      <c r="C25" s="321"/>
      <c r="D25" s="225"/>
      <c r="E25" s="21">
        <v>1</v>
      </c>
      <c r="F25" s="17"/>
      <c r="G25" s="17"/>
      <c r="H25" s="17"/>
      <c r="I25" s="17"/>
      <c r="J25" s="17"/>
      <c r="K25" s="8" t="e">
        <f t="shared" si="6"/>
        <v>#DIV/0!</v>
      </c>
      <c r="L25" s="17"/>
      <c r="M25" s="17"/>
      <c r="N25" s="17"/>
      <c r="O25" s="17"/>
      <c r="P25" s="17"/>
      <c r="Q25" s="9" t="e">
        <f t="shared" si="23"/>
        <v>#DIV/0!</v>
      </c>
      <c r="R25" s="17"/>
      <c r="S25" s="17"/>
      <c r="T25" s="17"/>
      <c r="U25" s="17"/>
      <c r="V25" s="17"/>
      <c r="W25" s="9" t="e">
        <f t="shared" si="7"/>
        <v>#DIV/0!</v>
      </c>
      <c r="X25" s="233"/>
      <c r="Y25" s="234"/>
      <c r="Z25" s="9" t="str">
        <f t="shared" si="8"/>
        <v>0</v>
      </c>
      <c r="AA25" s="7" t="e">
        <f t="shared" si="0"/>
        <v>#DIV/0!</v>
      </c>
      <c r="AB25" s="365"/>
      <c r="AC25" s="17"/>
      <c r="AD25" s="17"/>
      <c r="AE25" s="17"/>
      <c r="AF25" s="17"/>
      <c r="AG25" s="17"/>
      <c r="AH25" s="9" t="e">
        <f t="shared" si="9"/>
        <v>#DIV/0!</v>
      </c>
      <c r="AI25" s="17"/>
      <c r="AJ25" s="17"/>
      <c r="AK25" s="17"/>
      <c r="AL25" s="17"/>
      <c r="AM25" s="17"/>
      <c r="AN25" s="9" t="e">
        <f t="shared" si="10"/>
        <v>#DIV/0!</v>
      </c>
      <c r="AO25" s="17"/>
      <c r="AP25" s="17"/>
      <c r="AQ25" s="17"/>
      <c r="AR25" s="17"/>
      <c r="AS25" s="17"/>
      <c r="AT25" s="9" t="e">
        <f t="shared" si="11"/>
        <v>#DIV/0!</v>
      </c>
      <c r="AU25" s="208"/>
      <c r="AV25" s="209"/>
      <c r="AW25" s="9" t="str">
        <f t="shared" si="12"/>
        <v>0</v>
      </c>
      <c r="AX25" s="7" t="e">
        <f t="shared" si="1"/>
        <v>#DIV/0!</v>
      </c>
      <c r="AY25" s="18" t="e">
        <f t="shared" si="1"/>
        <v>#DIV/0!</v>
      </c>
      <c r="AZ25" s="231" t="e">
        <f t="shared" ref="AZ25" si="32">IF(BP25&gt;=4.5, " 5 ", IF(BP25&gt;=3.5," 4 ",IF(BP25&gt;=2.5," 3  ",IF(BP25&gt;=1.5," 2 ",IF(BP25&gt;=1,"1 ",IF(BP25&gt;=0,"0"))))))</f>
        <v>#DIV/0!</v>
      </c>
      <c r="BA25" s="4" t="e">
        <f t="shared" si="2"/>
        <v>#DIV/0!</v>
      </c>
      <c r="BB25" s="4" t="e">
        <f t="shared" si="13"/>
        <v>#DIV/0!</v>
      </c>
      <c r="BC25" s="4" t="e">
        <f t="shared" si="14"/>
        <v>#DIV/0!</v>
      </c>
      <c r="BD25" s="4">
        <f t="shared" si="15"/>
        <v>0</v>
      </c>
      <c r="BE25" s="12" t="e">
        <f t="shared" si="3"/>
        <v>#DIV/0!</v>
      </c>
      <c r="BF25" s="4" t="e">
        <f t="shared" si="16"/>
        <v>#DIV/0!</v>
      </c>
      <c r="BG25" s="4" t="e">
        <f t="shared" si="17"/>
        <v>#DIV/0!</v>
      </c>
      <c r="BH25" s="4" t="e">
        <f t="shared" si="18"/>
        <v>#DIV/0!</v>
      </c>
      <c r="BI25" s="4">
        <f t="shared" si="19"/>
        <v>0</v>
      </c>
      <c r="BJ25" s="12" t="e">
        <f t="shared" si="4"/>
        <v>#DIV/0!</v>
      </c>
      <c r="BK25" s="12" t="e">
        <f t="shared" si="5"/>
        <v>#DIV/0!</v>
      </c>
      <c r="BL25" s="12" t="e">
        <f>(BE25+BJ25)/2</f>
        <v>#DIV/0!</v>
      </c>
      <c r="BM25" s="10" t="e">
        <f t="shared" si="21"/>
        <v>#DIV/0!</v>
      </c>
      <c r="BN25" s="176" t="e">
        <f t="shared" ref="BN25:BN65" si="33">ROUND(BO26,)</f>
        <v>#DIV/0!</v>
      </c>
      <c r="BO25" s="12"/>
      <c r="BP25" s="11" t="e">
        <f t="shared" si="25"/>
        <v>#DIV/0!</v>
      </c>
      <c r="BQ25" s="6"/>
      <c r="BR25" s="6"/>
    </row>
    <row r="26" spans="1:70" ht="20.25" customHeight="1" thickBot="1">
      <c r="A26" s="333"/>
      <c r="B26" s="321"/>
      <c r="C26" s="321"/>
      <c r="D26" s="225"/>
      <c r="E26" s="20">
        <v>2</v>
      </c>
      <c r="F26" s="17"/>
      <c r="G26" s="17"/>
      <c r="H26" s="17"/>
      <c r="I26" s="17"/>
      <c r="J26" s="17"/>
      <c r="K26" s="8" t="e">
        <f t="shared" si="6"/>
        <v>#DIV/0!</v>
      </c>
      <c r="L26" s="17"/>
      <c r="M26" s="17"/>
      <c r="N26" s="17"/>
      <c r="O26" s="17"/>
      <c r="P26" s="17"/>
      <c r="Q26" s="9" t="e">
        <f t="shared" si="23"/>
        <v>#DIV/0!</v>
      </c>
      <c r="R26" s="17"/>
      <c r="S26" s="17"/>
      <c r="T26" s="17"/>
      <c r="U26" s="17"/>
      <c r="V26" s="17"/>
      <c r="W26" s="9" t="e">
        <f t="shared" si="7"/>
        <v>#DIV/0!</v>
      </c>
      <c r="X26" s="233"/>
      <c r="Y26" s="234"/>
      <c r="Z26" s="9" t="str">
        <f t="shared" si="8"/>
        <v>0</v>
      </c>
      <c r="AA26" s="7" t="e">
        <f t="shared" si="0"/>
        <v>#DIV/0!</v>
      </c>
      <c r="AB26" s="365"/>
      <c r="AC26" s="17"/>
      <c r="AD26" s="17"/>
      <c r="AE26" s="17"/>
      <c r="AF26" s="17"/>
      <c r="AG26" s="17"/>
      <c r="AH26" s="9" t="e">
        <f t="shared" si="9"/>
        <v>#DIV/0!</v>
      </c>
      <c r="AI26" s="17"/>
      <c r="AJ26" s="17"/>
      <c r="AK26" s="17"/>
      <c r="AL26" s="17"/>
      <c r="AM26" s="17"/>
      <c r="AN26" s="9" t="e">
        <f t="shared" si="10"/>
        <v>#DIV/0!</v>
      </c>
      <c r="AO26" s="17"/>
      <c r="AP26" s="17"/>
      <c r="AQ26" s="17"/>
      <c r="AR26" s="17"/>
      <c r="AS26" s="17"/>
      <c r="AT26" s="9" t="e">
        <f t="shared" si="11"/>
        <v>#DIV/0!</v>
      </c>
      <c r="AU26" s="208"/>
      <c r="AV26" s="209"/>
      <c r="AW26" s="9" t="str">
        <f t="shared" si="12"/>
        <v>0</v>
      </c>
      <c r="AX26" s="7" t="e">
        <f t="shared" si="1"/>
        <v>#DIV/0!</v>
      </c>
      <c r="AY26" s="18" t="e">
        <f t="shared" si="1"/>
        <v>#DIV/0!</v>
      </c>
      <c r="AZ26" s="232"/>
      <c r="BA26" s="4" t="e">
        <f t="shared" si="2"/>
        <v>#DIV/0!</v>
      </c>
      <c r="BB26" s="4" t="e">
        <f t="shared" si="13"/>
        <v>#DIV/0!</v>
      </c>
      <c r="BC26" s="4" t="e">
        <f t="shared" si="14"/>
        <v>#DIV/0!</v>
      </c>
      <c r="BD26" s="4">
        <f t="shared" si="15"/>
        <v>0</v>
      </c>
      <c r="BE26" s="12" t="e">
        <f t="shared" si="3"/>
        <v>#DIV/0!</v>
      </c>
      <c r="BF26" s="4" t="e">
        <f t="shared" si="16"/>
        <v>#DIV/0!</v>
      </c>
      <c r="BG26" s="4" t="e">
        <f t="shared" si="17"/>
        <v>#DIV/0!</v>
      </c>
      <c r="BH26" s="4" t="e">
        <f t="shared" si="18"/>
        <v>#DIV/0!</v>
      </c>
      <c r="BI26" s="4">
        <f t="shared" si="19"/>
        <v>0</v>
      </c>
      <c r="BJ26" s="12" t="e">
        <f t="shared" si="4"/>
        <v>#DIV/0!</v>
      </c>
      <c r="BK26" s="12" t="e">
        <f t="shared" si="5"/>
        <v>#DIV/0!</v>
      </c>
      <c r="BL26" s="12"/>
      <c r="BM26" s="10"/>
      <c r="BN26" s="176"/>
      <c r="BO26" s="12" t="e">
        <f t="shared" si="20"/>
        <v>#DIV/0!</v>
      </c>
      <c r="BP26" s="11"/>
      <c r="BQ26" s="6"/>
      <c r="BR26" s="6"/>
    </row>
    <row r="27" spans="1:70" ht="20.25" customHeight="1">
      <c r="A27" s="332">
        <v>8</v>
      </c>
      <c r="B27" s="321"/>
      <c r="C27" s="321"/>
      <c r="D27" s="225"/>
      <c r="E27" s="21">
        <v>1</v>
      </c>
      <c r="F27" s="17"/>
      <c r="G27" s="17"/>
      <c r="H27" s="17"/>
      <c r="I27" s="17"/>
      <c r="J27" s="17"/>
      <c r="K27" s="8" t="e">
        <f t="shared" si="6"/>
        <v>#DIV/0!</v>
      </c>
      <c r="L27" s="17"/>
      <c r="M27" s="17"/>
      <c r="N27" s="17"/>
      <c r="O27" s="17"/>
      <c r="P27" s="17"/>
      <c r="Q27" s="9" t="e">
        <f t="shared" si="23"/>
        <v>#DIV/0!</v>
      </c>
      <c r="R27" s="17"/>
      <c r="S27" s="17"/>
      <c r="T27" s="17"/>
      <c r="U27" s="17"/>
      <c r="V27" s="17"/>
      <c r="W27" s="9" t="e">
        <f t="shared" si="7"/>
        <v>#DIV/0!</v>
      </c>
      <c r="X27" s="233"/>
      <c r="Y27" s="234"/>
      <c r="Z27" s="9" t="str">
        <f t="shared" si="8"/>
        <v>0</v>
      </c>
      <c r="AA27" s="7" t="e">
        <f t="shared" si="0"/>
        <v>#DIV/0!</v>
      </c>
      <c r="AB27" s="365"/>
      <c r="AC27" s="17"/>
      <c r="AD27" s="17"/>
      <c r="AE27" s="17"/>
      <c r="AF27" s="17"/>
      <c r="AG27" s="17"/>
      <c r="AH27" s="9" t="e">
        <f t="shared" si="9"/>
        <v>#DIV/0!</v>
      </c>
      <c r="AI27" s="17"/>
      <c r="AJ27" s="17"/>
      <c r="AK27" s="17"/>
      <c r="AL27" s="17"/>
      <c r="AM27" s="17"/>
      <c r="AN27" s="9" t="e">
        <f t="shared" si="10"/>
        <v>#DIV/0!</v>
      </c>
      <c r="AO27" s="17"/>
      <c r="AP27" s="17"/>
      <c r="AQ27" s="17"/>
      <c r="AR27" s="17"/>
      <c r="AS27" s="17"/>
      <c r="AT27" s="9" t="e">
        <f t="shared" si="11"/>
        <v>#DIV/0!</v>
      </c>
      <c r="AU27" s="208"/>
      <c r="AV27" s="209"/>
      <c r="AW27" s="9" t="str">
        <f t="shared" si="12"/>
        <v>0</v>
      </c>
      <c r="AX27" s="7" t="e">
        <f t="shared" si="1"/>
        <v>#DIV/0!</v>
      </c>
      <c r="AY27" s="18" t="e">
        <f t="shared" si="1"/>
        <v>#DIV/0!</v>
      </c>
      <c r="AZ27" s="231" t="e">
        <f t="shared" ref="AZ27" si="34">IF(BP27&gt;=4.5, " 5 ", IF(BP27&gt;=3.5," 4 ",IF(BP27&gt;=2.5," 3  ",IF(BP27&gt;=1.5," 2 ",IF(BP27&gt;=1,"1 ",IF(BP27&gt;=0,"0"))))))</f>
        <v>#DIV/0!</v>
      </c>
      <c r="BA27" s="4" t="e">
        <f t="shared" si="2"/>
        <v>#DIV/0!</v>
      </c>
      <c r="BB27" s="4" t="e">
        <f t="shared" si="13"/>
        <v>#DIV/0!</v>
      </c>
      <c r="BC27" s="4" t="e">
        <f t="shared" si="14"/>
        <v>#DIV/0!</v>
      </c>
      <c r="BD27" s="4">
        <f t="shared" si="15"/>
        <v>0</v>
      </c>
      <c r="BE27" s="12" t="e">
        <f t="shared" si="3"/>
        <v>#DIV/0!</v>
      </c>
      <c r="BF27" s="4" t="e">
        <f t="shared" si="16"/>
        <v>#DIV/0!</v>
      </c>
      <c r="BG27" s="4" t="e">
        <f t="shared" si="17"/>
        <v>#DIV/0!</v>
      </c>
      <c r="BH27" s="4" t="e">
        <f t="shared" si="18"/>
        <v>#DIV/0!</v>
      </c>
      <c r="BI27" s="4">
        <f t="shared" si="19"/>
        <v>0</v>
      </c>
      <c r="BJ27" s="12" t="e">
        <f t="shared" si="4"/>
        <v>#DIV/0!</v>
      </c>
      <c r="BK27" s="12" t="e">
        <f t="shared" si="5"/>
        <v>#DIV/0!</v>
      </c>
      <c r="BL27" s="12" t="e">
        <f>(BE27+BJ27)/2</f>
        <v>#DIV/0!</v>
      </c>
      <c r="BM27" s="10" t="e">
        <f t="shared" si="21"/>
        <v>#DIV/0!</v>
      </c>
      <c r="BN27" s="176" t="e">
        <f t="shared" ref="BN27:BN67" si="35">ROUND(BO28,)</f>
        <v>#DIV/0!</v>
      </c>
      <c r="BO27" s="37" t="s">
        <v>59</v>
      </c>
      <c r="BP27" s="11" t="e">
        <f t="shared" si="25"/>
        <v>#DIV/0!</v>
      </c>
      <c r="BQ27" s="6"/>
      <c r="BR27" s="6"/>
    </row>
    <row r="28" spans="1:70" ht="20.25" customHeight="1" thickBot="1">
      <c r="A28" s="333"/>
      <c r="B28" s="321"/>
      <c r="C28" s="321"/>
      <c r="D28" s="225"/>
      <c r="E28" s="20">
        <v>2</v>
      </c>
      <c r="F28" s="17"/>
      <c r="G28" s="17"/>
      <c r="H28" s="17"/>
      <c r="I28" s="17"/>
      <c r="J28" s="17"/>
      <c r="K28" s="8" t="e">
        <f t="shared" si="6"/>
        <v>#DIV/0!</v>
      </c>
      <c r="L28" s="17"/>
      <c r="M28" s="17"/>
      <c r="N28" s="17"/>
      <c r="O28" s="17"/>
      <c r="P28" s="17"/>
      <c r="Q28" s="9" t="e">
        <f t="shared" si="23"/>
        <v>#DIV/0!</v>
      </c>
      <c r="R28" s="17"/>
      <c r="S28" s="17"/>
      <c r="T28" s="17"/>
      <c r="U28" s="17"/>
      <c r="V28" s="17"/>
      <c r="W28" s="9" t="e">
        <f t="shared" si="7"/>
        <v>#DIV/0!</v>
      </c>
      <c r="X28" s="233"/>
      <c r="Y28" s="234"/>
      <c r="Z28" s="9" t="str">
        <f t="shared" si="8"/>
        <v>0</v>
      </c>
      <c r="AA28" s="7" t="e">
        <f t="shared" si="0"/>
        <v>#DIV/0!</v>
      </c>
      <c r="AB28" s="365"/>
      <c r="AC28" s="17"/>
      <c r="AD28" s="17"/>
      <c r="AE28" s="17"/>
      <c r="AF28" s="17"/>
      <c r="AG28" s="17"/>
      <c r="AH28" s="9" t="e">
        <f t="shared" si="9"/>
        <v>#DIV/0!</v>
      </c>
      <c r="AI28" s="17"/>
      <c r="AJ28" s="17"/>
      <c r="AK28" s="17"/>
      <c r="AL28" s="17"/>
      <c r="AM28" s="17"/>
      <c r="AN28" s="9" t="e">
        <f t="shared" si="10"/>
        <v>#DIV/0!</v>
      </c>
      <c r="AO28" s="17"/>
      <c r="AP28" s="17"/>
      <c r="AQ28" s="17"/>
      <c r="AR28" s="17"/>
      <c r="AS28" s="17"/>
      <c r="AT28" s="9" t="e">
        <f t="shared" si="11"/>
        <v>#DIV/0!</v>
      </c>
      <c r="AU28" s="208"/>
      <c r="AV28" s="209"/>
      <c r="AW28" s="9" t="str">
        <f t="shared" si="12"/>
        <v>0</v>
      </c>
      <c r="AX28" s="7" t="e">
        <f t="shared" si="1"/>
        <v>#DIV/0!</v>
      </c>
      <c r="AY28" s="18" t="e">
        <f t="shared" si="1"/>
        <v>#DIV/0!</v>
      </c>
      <c r="AZ28" s="232"/>
      <c r="BA28" s="4" t="e">
        <f t="shared" si="2"/>
        <v>#DIV/0!</v>
      </c>
      <c r="BB28" s="4" t="e">
        <f t="shared" si="13"/>
        <v>#DIV/0!</v>
      </c>
      <c r="BC28" s="4" t="e">
        <f t="shared" si="14"/>
        <v>#DIV/0!</v>
      </c>
      <c r="BD28" s="4">
        <f t="shared" si="15"/>
        <v>0</v>
      </c>
      <c r="BE28" s="12" t="e">
        <f t="shared" si="3"/>
        <v>#DIV/0!</v>
      </c>
      <c r="BF28" s="4" t="e">
        <f t="shared" si="16"/>
        <v>#DIV/0!</v>
      </c>
      <c r="BG28" s="4" t="e">
        <f t="shared" si="17"/>
        <v>#DIV/0!</v>
      </c>
      <c r="BH28" s="4" t="e">
        <f t="shared" si="18"/>
        <v>#DIV/0!</v>
      </c>
      <c r="BI28" s="4">
        <f t="shared" si="19"/>
        <v>0</v>
      </c>
      <c r="BJ28" s="12" t="e">
        <f t="shared" si="4"/>
        <v>#DIV/0!</v>
      </c>
      <c r="BK28" s="12" t="e">
        <f t="shared" si="5"/>
        <v>#DIV/0!</v>
      </c>
      <c r="BL28" s="12"/>
      <c r="BM28" s="10"/>
      <c r="BN28" s="176"/>
      <c r="BO28" s="12" t="e">
        <f t="shared" si="20"/>
        <v>#DIV/0!</v>
      </c>
      <c r="BP28" s="11"/>
      <c r="BQ28" s="6"/>
      <c r="BR28" s="6"/>
    </row>
    <row r="29" spans="1:70" ht="20.25" customHeight="1">
      <c r="A29" s="332">
        <v>9</v>
      </c>
      <c r="B29" s="321"/>
      <c r="C29" s="321"/>
      <c r="D29" s="225"/>
      <c r="E29" s="21">
        <v>1</v>
      </c>
      <c r="F29" s="17"/>
      <c r="G29" s="17"/>
      <c r="H29" s="17"/>
      <c r="I29" s="17"/>
      <c r="J29" s="17"/>
      <c r="K29" s="8" t="e">
        <f t="shared" si="6"/>
        <v>#DIV/0!</v>
      </c>
      <c r="L29" s="17"/>
      <c r="M29" s="17"/>
      <c r="N29" s="17"/>
      <c r="O29" s="17"/>
      <c r="P29" s="17"/>
      <c r="Q29" s="9" t="e">
        <f t="shared" si="23"/>
        <v>#DIV/0!</v>
      </c>
      <c r="R29" s="17"/>
      <c r="S29" s="17"/>
      <c r="T29" s="17"/>
      <c r="U29" s="17"/>
      <c r="V29" s="17"/>
      <c r="W29" s="9" t="e">
        <f t="shared" si="7"/>
        <v>#DIV/0!</v>
      </c>
      <c r="X29" s="233"/>
      <c r="Y29" s="234"/>
      <c r="Z29" s="9" t="str">
        <f t="shared" si="8"/>
        <v>0</v>
      </c>
      <c r="AA29" s="7" t="e">
        <f t="shared" si="0"/>
        <v>#DIV/0!</v>
      </c>
      <c r="AB29" s="365"/>
      <c r="AC29" s="17"/>
      <c r="AD29" s="17"/>
      <c r="AE29" s="17"/>
      <c r="AF29" s="17"/>
      <c r="AG29" s="17"/>
      <c r="AH29" s="9" t="e">
        <f t="shared" si="9"/>
        <v>#DIV/0!</v>
      </c>
      <c r="AI29" s="17"/>
      <c r="AJ29" s="17"/>
      <c r="AK29" s="17"/>
      <c r="AL29" s="17"/>
      <c r="AM29" s="17"/>
      <c r="AN29" s="9" t="e">
        <f t="shared" si="10"/>
        <v>#DIV/0!</v>
      </c>
      <c r="AO29" s="17"/>
      <c r="AP29" s="17"/>
      <c r="AQ29" s="17"/>
      <c r="AR29" s="17"/>
      <c r="AS29" s="17"/>
      <c r="AT29" s="9" t="e">
        <f t="shared" si="11"/>
        <v>#DIV/0!</v>
      </c>
      <c r="AU29" s="208"/>
      <c r="AV29" s="209"/>
      <c r="AW29" s="9" t="str">
        <f t="shared" si="12"/>
        <v>0</v>
      </c>
      <c r="AX29" s="7" t="e">
        <f t="shared" si="1"/>
        <v>#DIV/0!</v>
      </c>
      <c r="AY29" s="18" t="e">
        <f t="shared" si="1"/>
        <v>#DIV/0!</v>
      </c>
      <c r="AZ29" s="231" t="e">
        <f t="shared" ref="AZ29" si="36">IF(BP29&gt;=4.5, " 5 ", IF(BP29&gt;=3.5," 4 ",IF(BP29&gt;=2.5," 3  ",IF(BP29&gt;=1.5," 2 ",IF(BP29&gt;=1,"1 ",IF(BP29&gt;=0,"0"))))))</f>
        <v>#DIV/0!</v>
      </c>
      <c r="BA29" s="4" t="e">
        <f t="shared" si="2"/>
        <v>#DIV/0!</v>
      </c>
      <c r="BB29" s="4" t="e">
        <f t="shared" si="13"/>
        <v>#DIV/0!</v>
      </c>
      <c r="BC29" s="4" t="e">
        <f t="shared" si="14"/>
        <v>#DIV/0!</v>
      </c>
      <c r="BD29" s="4">
        <f t="shared" si="15"/>
        <v>0</v>
      </c>
      <c r="BE29" s="12" t="e">
        <f t="shared" si="3"/>
        <v>#DIV/0!</v>
      </c>
      <c r="BF29" s="4" t="e">
        <f t="shared" si="16"/>
        <v>#DIV/0!</v>
      </c>
      <c r="BG29" s="4" t="e">
        <f t="shared" si="17"/>
        <v>#DIV/0!</v>
      </c>
      <c r="BH29" s="4" t="e">
        <f t="shared" si="18"/>
        <v>#DIV/0!</v>
      </c>
      <c r="BI29" s="4">
        <f t="shared" si="19"/>
        <v>0</v>
      </c>
      <c r="BJ29" s="12" t="e">
        <f t="shared" si="4"/>
        <v>#DIV/0!</v>
      </c>
      <c r="BK29" s="12" t="e">
        <f t="shared" si="5"/>
        <v>#DIV/0!</v>
      </c>
      <c r="BL29" s="12" t="e">
        <f>(BE29+BJ29)/2</f>
        <v>#DIV/0!</v>
      </c>
      <c r="BM29" s="10" t="e">
        <f t="shared" si="21"/>
        <v>#DIV/0!</v>
      </c>
      <c r="BN29" s="176" t="e">
        <f t="shared" ref="BN29" si="37">ROUND(BO30,)</f>
        <v>#DIV/0!</v>
      </c>
      <c r="BO29" s="12"/>
      <c r="BP29" s="11" t="e">
        <f t="shared" si="25"/>
        <v>#DIV/0!</v>
      </c>
      <c r="BQ29" s="6"/>
      <c r="BR29" s="6"/>
    </row>
    <row r="30" spans="1:70" ht="21" customHeight="1" thickBot="1">
      <c r="A30" s="333"/>
      <c r="B30" s="321"/>
      <c r="C30" s="321"/>
      <c r="D30" s="225"/>
      <c r="E30" s="20">
        <v>2</v>
      </c>
      <c r="F30" s="17"/>
      <c r="G30" s="17"/>
      <c r="H30" s="17"/>
      <c r="I30" s="17"/>
      <c r="J30" s="17"/>
      <c r="K30" s="8" t="e">
        <f t="shared" si="6"/>
        <v>#DIV/0!</v>
      </c>
      <c r="L30" s="17"/>
      <c r="M30" s="17"/>
      <c r="N30" s="17"/>
      <c r="O30" s="17"/>
      <c r="P30" s="17"/>
      <c r="Q30" s="9" t="e">
        <f t="shared" si="23"/>
        <v>#DIV/0!</v>
      </c>
      <c r="R30" s="17"/>
      <c r="S30" s="17"/>
      <c r="T30" s="17"/>
      <c r="U30" s="17"/>
      <c r="V30" s="17"/>
      <c r="W30" s="9" t="e">
        <f t="shared" si="7"/>
        <v>#DIV/0!</v>
      </c>
      <c r="X30" s="233"/>
      <c r="Y30" s="234"/>
      <c r="Z30" s="9" t="str">
        <f t="shared" si="8"/>
        <v>0</v>
      </c>
      <c r="AA30" s="7" t="e">
        <f t="shared" si="0"/>
        <v>#DIV/0!</v>
      </c>
      <c r="AB30" s="365"/>
      <c r="AC30" s="17"/>
      <c r="AD30" s="17"/>
      <c r="AE30" s="17"/>
      <c r="AF30" s="17"/>
      <c r="AG30" s="17"/>
      <c r="AH30" s="9" t="e">
        <f t="shared" si="9"/>
        <v>#DIV/0!</v>
      </c>
      <c r="AI30" s="17"/>
      <c r="AJ30" s="17"/>
      <c r="AK30" s="17"/>
      <c r="AL30" s="17"/>
      <c r="AM30" s="17"/>
      <c r="AN30" s="9" t="e">
        <f t="shared" si="10"/>
        <v>#DIV/0!</v>
      </c>
      <c r="AO30" s="17"/>
      <c r="AP30" s="17"/>
      <c r="AQ30" s="17"/>
      <c r="AR30" s="17"/>
      <c r="AS30" s="17"/>
      <c r="AT30" s="9" t="e">
        <f t="shared" si="11"/>
        <v>#DIV/0!</v>
      </c>
      <c r="AU30" s="208"/>
      <c r="AV30" s="209"/>
      <c r="AW30" s="9" t="str">
        <f t="shared" si="12"/>
        <v>0</v>
      </c>
      <c r="AX30" s="7" t="e">
        <f t="shared" si="1"/>
        <v>#DIV/0!</v>
      </c>
      <c r="AY30" s="18" t="e">
        <f t="shared" si="1"/>
        <v>#DIV/0!</v>
      </c>
      <c r="AZ30" s="232"/>
      <c r="BA30" s="4" t="e">
        <f t="shared" si="2"/>
        <v>#DIV/0!</v>
      </c>
      <c r="BB30" s="4" t="e">
        <f t="shared" si="13"/>
        <v>#DIV/0!</v>
      </c>
      <c r="BC30" s="4" t="e">
        <f t="shared" si="14"/>
        <v>#DIV/0!</v>
      </c>
      <c r="BD30" s="4">
        <f t="shared" si="15"/>
        <v>0</v>
      </c>
      <c r="BE30" s="12" t="e">
        <f t="shared" si="3"/>
        <v>#DIV/0!</v>
      </c>
      <c r="BF30" s="4" t="e">
        <f t="shared" si="16"/>
        <v>#DIV/0!</v>
      </c>
      <c r="BG30" s="4" t="e">
        <f t="shared" si="17"/>
        <v>#DIV/0!</v>
      </c>
      <c r="BH30" s="4" t="e">
        <f t="shared" si="18"/>
        <v>#DIV/0!</v>
      </c>
      <c r="BI30" s="4">
        <f t="shared" si="19"/>
        <v>0</v>
      </c>
      <c r="BJ30" s="12" t="e">
        <f t="shared" si="4"/>
        <v>#DIV/0!</v>
      </c>
      <c r="BK30" s="12" t="e">
        <f t="shared" si="5"/>
        <v>#DIV/0!</v>
      </c>
      <c r="BL30" s="12"/>
      <c r="BM30" s="10"/>
      <c r="BN30" s="176"/>
      <c r="BO30" s="12" t="e">
        <f t="shared" si="20"/>
        <v>#DIV/0!</v>
      </c>
      <c r="BP30" s="11"/>
      <c r="BQ30" s="6"/>
      <c r="BR30" s="6"/>
    </row>
    <row r="31" spans="1:70" ht="18.75" customHeight="1">
      <c r="A31" s="332">
        <v>10</v>
      </c>
      <c r="B31" s="321"/>
      <c r="C31" s="321"/>
      <c r="D31" s="225"/>
      <c r="E31" s="21">
        <v>1</v>
      </c>
      <c r="F31" s="17"/>
      <c r="G31" s="17"/>
      <c r="H31" s="17"/>
      <c r="I31" s="17"/>
      <c r="J31" s="17"/>
      <c r="K31" s="8" t="e">
        <f t="shared" si="6"/>
        <v>#DIV/0!</v>
      </c>
      <c r="L31" s="17"/>
      <c r="M31" s="17"/>
      <c r="N31" s="17"/>
      <c r="O31" s="17"/>
      <c r="P31" s="17"/>
      <c r="Q31" s="9" t="e">
        <f t="shared" si="23"/>
        <v>#DIV/0!</v>
      </c>
      <c r="R31" s="17"/>
      <c r="S31" s="17"/>
      <c r="T31" s="17"/>
      <c r="U31" s="17"/>
      <c r="V31" s="17"/>
      <c r="W31" s="9" t="e">
        <f t="shared" si="7"/>
        <v>#DIV/0!</v>
      </c>
      <c r="X31" s="233"/>
      <c r="Y31" s="234"/>
      <c r="Z31" s="9" t="str">
        <f t="shared" si="8"/>
        <v>0</v>
      </c>
      <c r="AA31" s="7" t="e">
        <f t="shared" si="0"/>
        <v>#DIV/0!</v>
      </c>
      <c r="AB31" s="365"/>
      <c r="AC31" s="17"/>
      <c r="AD31" s="17"/>
      <c r="AE31" s="17"/>
      <c r="AF31" s="17"/>
      <c r="AG31" s="17"/>
      <c r="AH31" s="9" t="e">
        <f t="shared" si="9"/>
        <v>#DIV/0!</v>
      </c>
      <c r="AI31" s="17"/>
      <c r="AJ31" s="17"/>
      <c r="AK31" s="17"/>
      <c r="AL31" s="17"/>
      <c r="AM31" s="17"/>
      <c r="AN31" s="9" t="e">
        <f t="shared" si="10"/>
        <v>#DIV/0!</v>
      </c>
      <c r="AO31" s="17"/>
      <c r="AP31" s="17"/>
      <c r="AQ31" s="17"/>
      <c r="AR31" s="17"/>
      <c r="AS31" s="17"/>
      <c r="AT31" s="9" t="e">
        <f t="shared" si="11"/>
        <v>#DIV/0!</v>
      </c>
      <c r="AU31" s="208"/>
      <c r="AV31" s="209"/>
      <c r="AW31" s="9" t="str">
        <f t="shared" si="12"/>
        <v>0</v>
      </c>
      <c r="AX31" s="7" t="e">
        <f t="shared" si="1"/>
        <v>#DIV/0!</v>
      </c>
      <c r="AY31" s="18" t="e">
        <f t="shared" si="1"/>
        <v>#DIV/0!</v>
      </c>
      <c r="AZ31" s="231" t="e">
        <f t="shared" ref="AZ31" si="38">IF(BP31&gt;=4.5, " 5 ", IF(BP31&gt;=3.5," 4 ",IF(BP31&gt;=2.5," 3  ",IF(BP31&gt;=1.5," 2 ",IF(BP31&gt;=1,"1 ",IF(BP31&gt;=0,"0"))))))</f>
        <v>#DIV/0!</v>
      </c>
      <c r="BA31" s="4" t="e">
        <f t="shared" si="2"/>
        <v>#DIV/0!</v>
      </c>
      <c r="BB31" s="4" t="e">
        <f t="shared" si="13"/>
        <v>#DIV/0!</v>
      </c>
      <c r="BC31" s="4" t="e">
        <f t="shared" si="14"/>
        <v>#DIV/0!</v>
      </c>
      <c r="BD31" s="4">
        <f t="shared" si="15"/>
        <v>0</v>
      </c>
      <c r="BE31" s="12" t="e">
        <f t="shared" si="3"/>
        <v>#DIV/0!</v>
      </c>
      <c r="BF31" s="4" t="e">
        <f t="shared" si="16"/>
        <v>#DIV/0!</v>
      </c>
      <c r="BG31" s="4" t="e">
        <f t="shared" si="17"/>
        <v>#DIV/0!</v>
      </c>
      <c r="BH31" s="4" t="e">
        <f t="shared" si="18"/>
        <v>#DIV/0!</v>
      </c>
      <c r="BI31" s="4">
        <f t="shared" si="19"/>
        <v>0</v>
      </c>
      <c r="BJ31" s="12" t="e">
        <f t="shared" si="4"/>
        <v>#DIV/0!</v>
      </c>
      <c r="BK31" s="12" t="e">
        <f t="shared" si="5"/>
        <v>#DIV/0!</v>
      </c>
      <c r="BL31" s="12" t="e">
        <f>(BE31+BJ31)/2</f>
        <v>#DIV/0!</v>
      </c>
      <c r="BM31" s="10" t="e">
        <f t="shared" si="21"/>
        <v>#DIV/0!</v>
      </c>
      <c r="BN31" s="176" t="e">
        <f t="shared" si="31"/>
        <v>#DIV/0!</v>
      </c>
      <c r="BO31" s="12"/>
      <c r="BP31" s="11" t="e">
        <f t="shared" si="25"/>
        <v>#DIV/0!</v>
      </c>
      <c r="BQ31" s="6"/>
      <c r="BR31" s="6"/>
    </row>
    <row r="32" spans="1:70" ht="21" customHeight="1" thickBot="1">
      <c r="A32" s="333"/>
      <c r="B32" s="321"/>
      <c r="C32" s="321"/>
      <c r="D32" s="225"/>
      <c r="E32" s="20">
        <v>2</v>
      </c>
      <c r="F32" s="17"/>
      <c r="G32" s="17"/>
      <c r="H32" s="17"/>
      <c r="I32" s="17"/>
      <c r="J32" s="17"/>
      <c r="K32" s="8" t="e">
        <f t="shared" si="6"/>
        <v>#DIV/0!</v>
      </c>
      <c r="L32" s="17"/>
      <c r="M32" s="17"/>
      <c r="N32" s="17"/>
      <c r="O32" s="17"/>
      <c r="P32" s="17"/>
      <c r="Q32" s="9" t="e">
        <f t="shared" si="23"/>
        <v>#DIV/0!</v>
      </c>
      <c r="R32" s="17"/>
      <c r="S32" s="17"/>
      <c r="T32" s="17"/>
      <c r="U32" s="17"/>
      <c r="V32" s="17"/>
      <c r="W32" s="9" t="e">
        <f t="shared" si="7"/>
        <v>#DIV/0!</v>
      </c>
      <c r="X32" s="233"/>
      <c r="Y32" s="234"/>
      <c r="Z32" s="9" t="str">
        <f t="shared" si="8"/>
        <v>0</v>
      </c>
      <c r="AA32" s="7" t="e">
        <f t="shared" si="0"/>
        <v>#DIV/0!</v>
      </c>
      <c r="AB32" s="365"/>
      <c r="AC32" s="17"/>
      <c r="AD32" s="17"/>
      <c r="AE32" s="17"/>
      <c r="AF32" s="17"/>
      <c r="AG32" s="17"/>
      <c r="AH32" s="9" t="e">
        <f t="shared" si="9"/>
        <v>#DIV/0!</v>
      </c>
      <c r="AI32" s="17"/>
      <c r="AJ32" s="17"/>
      <c r="AK32" s="17"/>
      <c r="AL32" s="17"/>
      <c r="AM32" s="17"/>
      <c r="AN32" s="9" t="e">
        <f t="shared" si="10"/>
        <v>#DIV/0!</v>
      </c>
      <c r="AO32" s="17"/>
      <c r="AP32" s="17"/>
      <c r="AQ32" s="17"/>
      <c r="AR32" s="17"/>
      <c r="AS32" s="17"/>
      <c r="AT32" s="9" t="e">
        <f t="shared" si="11"/>
        <v>#DIV/0!</v>
      </c>
      <c r="AU32" s="208"/>
      <c r="AV32" s="209"/>
      <c r="AW32" s="9" t="str">
        <f t="shared" si="12"/>
        <v>0</v>
      </c>
      <c r="AX32" s="7" t="e">
        <f t="shared" si="1"/>
        <v>#DIV/0!</v>
      </c>
      <c r="AY32" s="18" t="e">
        <f t="shared" si="1"/>
        <v>#DIV/0!</v>
      </c>
      <c r="AZ32" s="232"/>
      <c r="BA32" s="4" t="e">
        <f t="shared" si="2"/>
        <v>#DIV/0!</v>
      </c>
      <c r="BB32" s="4" t="e">
        <f t="shared" si="13"/>
        <v>#DIV/0!</v>
      </c>
      <c r="BC32" s="4" t="e">
        <f t="shared" si="14"/>
        <v>#DIV/0!</v>
      </c>
      <c r="BD32" s="4">
        <f t="shared" si="15"/>
        <v>0</v>
      </c>
      <c r="BE32" s="12" t="e">
        <f t="shared" si="3"/>
        <v>#DIV/0!</v>
      </c>
      <c r="BF32" s="4" t="e">
        <f t="shared" si="16"/>
        <v>#DIV/0!</v>
      </c>
      <c r="BG32" s="4" t="e">
        <f t="shared" si="17"/>
        <v>#DIV/0!</v>
      </c>
      <c r="BH32" s="4" t="e">
        <f t="shared" si="18"/>
        <v>#DIV/0!</v>
      </c>
      <c r="BI32" s="4">
        <f t="shared" si="19"/>
        <v>0</v>
      </c>
      <c r="BJ32" s="12" t="e">
        <f t="shared" si="4"/>
        <v>#DIV/0!</v>
      </c>
      <c r="BK32" s="12" t="e">
        <f t="shared" si="5"/>
        <v>#DIV/0!</v>
      </c>
      <c r="BL32" s="12"/>
      <c r="BM32" s="10"/>
      <c r="BN32" s="176"/>
      <c r="BO32" s="12" t="e">
        <f t="shared" si="20"/>
        <v>#DIV/0!</v>
      </c>
      <c r="BP32" s="11"/>
      <c r="BQ32" s="6"/>
      <c r="BR32" s="6"/>
    </row>
    <row r="33" spans="1:70" ht="19.5" customHeight="1">
      <c r="A33" s="332">
        <v>11</v>
      </c>
      <c r="B33" s="324"/>
      <c r="C33" s="324"/>
      <c r="D33" s="323"/>
      <c r="E33" s="21">
        <v>1</v>
      </c>
      <c r="F33" s="17"/>
      <c r="G33" s="17"/>
      <c r="H33" s="17"/>
      <c r="I33" s="17"/>
      <c r="J33" s="17"/>
      <c r="K33" s="8" t="e">
        <f t="shared" si="6"/>
        <v>#DIV/0!</v>
      </c>
      <c r="L33" s="17"/>
      <c r="M33" s="17"/>
      <c r="N33" s="17"/>
      <c r="O33" s="17"/>
      <c r="P33" s="17"/>
      <c r="Q33" s="9" t="e">
        <f t="shared" si="23"/>
        <v>#DIV/0!</v>
      </c>
      <c r="R33" s="17"/>
      <c r="S33" s="17"/>
      <c r="T33" s="17"/>
      <c r="U33" s="17"/>
      <c r="V33" s="17"/>
      <c r="W33" s="9" t="e">
        <f t="shared" si="7"/>
        <v>#DIV/0!</v>
      </c>
      <c r="X33" s="233"/>
      <c r="Y33" s="234"/>
      <c r="Z33" s="9" t="str">
        <f t="shared" si="8"/>
        <v>0</v>
      </c>
      <c r="AA33" s="7" t="e">
        <f t="shared" si="0"/>
        <v>#DIV/0!</v>
      </c>
      <c r="AB33" s="365"/>
      <c r="AC33" s="17"/>
      <c r="AD33" s="17"/>
      <c r="AE33" s="17"/>
      <c r="AF33" s="17"/>
      <c r="AG33" s="17"/>
      <c r="AH33" s="9" t="e">
        <f t="shared" si="9"/>
        <v>#DIV/0!</v>
      </c>
      <c r="AI33" s="17"/>
      <c r="AJ33" s="17"/>
      <c r="AK33" s="17"/>
      <c r="AL33" s="17"/>
      <c r="AM33" s="17"/>
      <c r="AN33" s="9" t="e">
        <f t="shared" si="10"/>
        <v>#DIV/0!</v>
      </c>
      <c r="AO33" s="17"/>
      <c r="AP33" s="17"/>
      <c r="AQ33" s="17"/>
      <c r="AR33" s="17"/>
      <c r="AS33" s="17"/>
      <c r="AT33" s="9" t="e">
        <f t="shared" si="11"/>
        <v>#DIV/0!</v>
      </c>
      <c r="AU33" s="208"/>
      <c r="AV33" s="209"/>
      <c r="AW33" s="9" t="str">
        <f t="shared" si="12"/>
        <v>0</v>
      </c>
      <c r="AX33" s="7" t="e">
        <f t="shared" si="1"/>
        <v>#DIV/0!</v>
      </c>
      <c r="AY33" s="18" t="e">
        <f t="shared" si="1"/>
        <v>#DIV/0!</v>
      </c>
      <c r="AZ33" s="231" t="e">
        <f t="shared" ref="AZ33" si="39">IF(BP33&gt;=4.5, " 5 ", IF(BP33&gt;=3.5," 4 ",IF(BP33&gt;=2.5," 3  ",IF(BP33&gt;=1.5," 2 ",IF(BP33&gt;=1,"1 ",IF(BP33&gt;=0,"0"))))))</f>
        <v>#DIV/0!</v>
      </c>
      <c r="BA33" s="4" t="e">
        <f t="shared" si="2"/>
        <v>#DIV/0!</v>
      </c>
      <c r="BB33" s="4" t="e">
        <f t="shared" si="13"/>
        <v>#DIV/0!</v>
      </c>
      <c r="BC33" s="4" t="e">
        <f t="shared" si="14"/>
        <v>#DIV/0!</v>
      </c>
      <c r="BD33" s="4">
        <f t="shared" si="15"/>
        <v>0</v>
      </c>
      <c r="BE33" s="12" t="e">
        <f t="shared" si="3"/>
        <v>#DIV/0!</v>
      </c>
      <c r="BF33" s="4" t="e">
        <f t="shared" si="16"/>
        <v>#DIV/0!</v>
      </c>
      <c r="BG33" s="4" t="e">
        <f t="shared" si="17"/>
        <v>#DIV/0!</v>
      </c>
      <c r="BH33" s="4" t="e">
        <f t="shared" si="18"/>
        <v>#DIV/0!</v>
      </c>
      <c r="BI33" s="4">
        <f t="shared" si="19"/>
        <v>0</v>
      </c>
      <c r="BJ33" s="12" t="e">
        <f t="shared" si="4"/>
        <v>#DIV/0!</v>
      </c>
      <c r="BK33" s="12" t="e">
        <f t="shared" si="5"/>
        <v>#DIV/0!</v>
      </c>
      <c r="BL33" s="12" t="e">
        <f>(BE33+BJ33)/2</f>
        <v>#DIV/0!</v>
      </c>
      <c r="BM33" s="10" t="e">
        <f t="shared" si="21"/>
        <v>#DIV/0!</v>
      </c>
      <c r="BN33" s="176" t="e">
        <f t="shared" si="33"/>
        <v>#DIV/0!</v>
      </c>
      <c r="BO33" s="12"/>
      <c r="BP33" s="11" t="e">
        <f t="shared" si="25"/>
        <v>#DIV/0!</v>
      </c>
      <c r="BQ33" s="6"/>
      <c r="BR33" s="6"/>
    </row>
    <row r="34" spans="1:70" ht="21" customHeight="1" thickBot="1">
      <c r="A34" s="333"/>
      <c r="B34" s="324"/>
      <c r="C34" s="324"/>
      <c r="D34" s="323"/>
      <c r="E34" s="20">
        <v>2</v>
      </c>
      <c r="F34" s="17"/>
      <c r="G34" s="17"/>
      <c r="H34" s="17"/>
      <c r="I34" s="17"/>
      <c r="J34" s="17"/>
      <c r="K34" s="8" t="e">
        <f t="shared" si="6"/>
        <v>#DIV/0!</v>
      </c>
      <c r="L34" s="17"/>
      <c r="M34" s="17"/>
      <c r="N34" s="17"/>
      <c r="O34" s="17"/>
      <c r="P34" s="17"/>
      <c r="Q34" s="9" t="e">
        <f t="shared" si="23"/>
        <v>#DIV/0!</v>
      </c>
      <c r="R34" s="17"/>
      <c r="S34" s="17"/>
      <c r="T34" s="17"/>
      <c r="U34" s="17"/>
      <c r="V34" s="17"/>
      <c r="W34" s="9" t="e">
        <f t="shared" si="7"/>
        <v>#DIV/0!</v>
      </c>
      <c r="X34" s="233"/>
      <c r="Y34" s="234"/>
      <c r="Z34" s="9" t="str">
        <f t="shared" si="8"/>
        <v>0</v>
      </c>
      <c r="AA34" s="7" t="e">
        <f t="shared" si="0"/>
        <v>#DIV/0!</v>
      </c>
      <c r="AB34" s="365"/>
      <c r="AC34" s="17"/>
      <c r="AD34" s="17"/>
      <c r="AE34" s="17"/>
      <c r="AF34" s="17"/>
      <c r="AG34" s="17"/>
      <c r="AH34" s="9" t="e">
        <f t="shared" si="9"/>
        <v>#DIV/0!</v>
      </c>
      <c r="AI34" s="17"/>
      <c r="AJ34" s="17"/>
      <c r="AK34" s="17"/>
      <c r="AL34" s="17"/>
      <c r="AM34" s="17"/>
      <c r="AN34" s="9" t="e">
        <f t="shared" si="10"/>
        <v>#DIV/0!</v>
      </c>
      <c r="AO34" s="17"/>
      <c r="AP34" s="17"/>
      <c r="AQ34" s="17"/>
      <c r="AR34" s="17"/>
      <c r="AS34" s="17"/>
      <c r="AT34" s="9" t="e">
        <f t="shared" si="11"/>
        <v>#DIV/0!</v>
      </c>
      <c r="AU34" s="208"/>
      <c r="AV34" s="209"/>
      <c r="AW34" s="9" t="str">
        <f t="shared" si="12"/>
        <v>0</v>
      </c>
      <c r="AX34" s="7" t="e">
        <f t="shared" si="1"/>
        <v>#DIV/0!</v>
      </c>
      <c r="AY34" s="18" t="e">
        <f t="shared" si="1"/>
        <v>#DIV/0!</v>
      </c>
      <c r="AZ34" s="232"/>
      <c r="BA34" s="4" t="e">
        <f t="shared" si="2"/>
        <v>#DIV/0!</v>
      </c>
      <c r="BB34" s="4" t="e">
        <f t="shared" si="13"/>
        <v>#DIV/0!</v>
      </c>
      <c r="BC34" s="4" t="e">
        <f t="shared" si="14"/>
        <v>#DIV/0!</v>
      </c>
      <c r="BD34" s="4">
        <f t="shared" si="15"/>
        <v>0</v>
      </c>
      <c r="BE34" s="12" t="e">
        <f t="shared" si="3"/>
        <v>#DIV/0!</v>
      </c>
      <c r="BF34" s="4" t="e">
        <f t="shared" si="16"/>
        <v>#DIV/0!</v>
      </c>
      <c r="BG34" s="4" t="e">
        <f t="shared" si="17"/>
        <v>#DIV/0!</v>
      </c>
      <c r="BH34" s="4" t="e">
        <f t="shared" si="18"/>
        <v>#DIV/0!</v>
      </c>
      <c r="BI34" s="4">
        <f t="shared" si="19"/>
        <v>0</v>
      </c>
      <c r="BJ34" s="12" t="e">
        <f t="shared" si="4"/>
        <v>#DIV/0!</v>
      </c>
      <c r="BK34" s="12" t="e">
        <f t="shared" si="5"/>
        <v>#DIV/0!</v>
      </c>
      <c r="BL34" s="12"/>
      <c r="BM34" s="10"/>
      <c r="BN34" s="176"/>
      <c r="BO34" s="12" t="e">
        <f t="shared" si="20"/>
        <v>#DIV/0!</v>
      </c>
      <c r="BP34" s="11"/>
      <c r="BQ34" s="6"/>
      <c r="BR34" s="6"/>
    </row>
    <row r="35" spans="1:70" ht="23.25" customHeight="1">
      <c r="A35" s="332">
        <v>12</v>
      </c>
      <c r="B35" s="324"/>
      <c r="C35" s="324"/>
      <c r="D35" s="323"/>
      <c r="E35" s="21">
        <v>1</v>
      </c>
      <c r="F35" s="17"/>
      <c r="G35" s="17"/>
      <c r="H35" s="17"/>
      <c r="I35" s="17"/>
      <c r="J35" s="17"/>
      <c r="K35" s="8" t="e">
        <f t="shared" si="6"/>
        <v>#DIV/0!</v>
      </c>
      <c r="L35" s="17"/>
      <c r="M35" s="17"/>
      <c r="N35" s="17"/>
      <c r="O35" s="17"/>
      <c r="P35" s="17"/>
      <c r="Q35" s="9" t="e">
        <f t="shared" si="23"/>
        <v>#DIV/0!</v>
      </c>
      <c r="R35" s="17"/>
      <c r="S35" s="17"/>
      <c r="T35" s="17"/>
      <c r="U35" s="17"/>
      <c r="V35" s="17"/>
      <c r="W35" s="9" t="e">
        <f t="shared" si="7"/>
        <v>#DIV/0!</v>
      </c>
      <c r="X35" s="233"/>
      <c r="Y35" s="234"/>
      <c r="Z35" s="9" t="str">
        <f t="shared" si="8"/>
        <v>0</v>
      </c>
      <c r="AA35" s="7" t="e">
        <f t="shared" si="0"/>
        <v>#DIV/0!</v>
      </c>
      <c r="AB35" s="365"/>
      <c r="AC35" s="17"/>
      <c r="AD35" s="17"/>
      <c r="AE35" s="17"/>
      <c r="AF35" s="17"/>
      <c r="AG35" s="17"/>
      <c r="AH35" s="9" t="e">
        <f t="shared" si="9"/>
        <v>#DIV/0!</v>
      </c>
      <c r="AI35" s="17"/>
      <c r="AJ35" s="17"/>
      <c r="AK35" s="17"/>
      <c r="AL35" s="17"/>
      <c r="AM35" s="17"/>
      <c r="AN35" s="9" t="e">
        <f t="shared" si="10"/>
        <v>#DIV/0!</v>
      </c>
      <c r="AO35" s="17"/>
      <c r="AP35" s="17"/>
      <c r="AQ35" s="17"/>
      <c r="AR35" s="17"/>
      <c r="AS35" s="17"/>
      <c r="AT35" s="9" t="e">
        <f t="shared" si="11"/>
        <v>#DIV/0!</v>
      </c>
      <c r="AU35" s="208"/>
      <c r="AV35" s="209"/>
      <c r="AW35" s="9" t="str">
        <f t="shared" si="12"/>
        <v>0</v>
      </c>
      <c r="AX35" s="7" t="e">
        <f t="shared" si="1"/>
        <v>#DIV/0!</v>
      </c>
      <c r="AY35" s="18" t="e">
        <f t="shared" si="1"/>
        <v>#DIV/0!</v>
      </c>
      <c r="AZ35" s="231" t="e">
        <f t="shared" ref="AZ35" si="40">IF(BP35&gt;=4.5, " 5 ", IF(BP35&gt;=3.5," 4 ",IF(BP35&gt;=2.5," 3  ",IF(BP35&gt;=1.5," 2 ",IF(BP35&gt;=1,"1 ",IF(BP35&gt;=0,"0"))))))</f>
        <v>#DIV/0!</v>
      </c>
      <c r="BA35" s="4" t="e">
        <f t="shared" si="2"/>
        <v>#DIV/0!</v>
      </c>
      <c r="BB35" s="4" t="e">
        <f t="shared" si="13"/>
        <v>#DIV/0!</v>
      </c>
      <c r="BC35" s="4" t="e">
        <f t="shared" si="14"/>
        <v>#DIV/0!</v>
      </c>
      <c r="BD35" s="4">
        <f t="shared" si="15"/>
        <v>0</v>
      </c>
      <c r="BE35" s="12" t="e">
        <f t="shared" si="3"/>
        <v>#DIV/0!</v>
      </c>
      <c r="BF35" s="4" t="e">
        <f t="shared" si="16"/>
        <v>#DIV/0!</v>
      </c>
      <c r="BG35" s="4" t="e">
        <f t="shared" si="17"/>
        <v>#DIV/0!</v>
      </c>
      <c r="BH35" s="4" t="e">
        <f t="shared" si="18"/>
        <v>#DIV/0!</v>
      </c>
      <c r="BI35" s="4">
        <f t="shared" si="19"/>
        <v>0</v>
      </c>
      <c r="BJ35" s="12" t="e">
        <f t="shared" si="4"/>
        <v>#DIV/0!</v>
      </c>
      <c r="BK35" s="12" t="e">
        <f t="shared" si="5"/>
        <v>#DIV/0!</v>
      </c>
      <c r="BL35" s="12" t="e">
        <f>(BE35+BJ35)/2</f>
        <v>#DIV/0!</v>
      </c>
      <c r="BM35" s="10" t="e">
        <f t="shared" si="21"/>
        <v>#DIV/0!</v>
      </c>
      <c r="BN35" s="176" t="e">
        <f t="shared" si="35"/>
        <v>#DIV/0!</v>
      </c>
      <c r="BO35" s="12"/>
      <c r="BP35" s="11" t="e">
        <f t="shared" si="25"/>
        <v>#DIV/0!</v>
      </c>
      <c r="BQ35" s="6"/>
      <c r="BR35" s="6"/>
    </row>
    <row r="36" spans="1:70" ht="23.25" customHeight="1" thickBot="1">
      <c r="A36" s="333"/>
      <c r="B36" s="324"/>
      <c r="C36" s="324"/>
      <c r="D36" s="323"/>
      <c r="E36" s="20">
        <v>2</v>
      </c>
      <c r="F36" s="17"/>
      <c r="G36" s="17"/>
      <c r="H36" s="17"/>
      <c r="I36" s="17"/>
      <c r="J36" s="17"/>
      <c r="K36" s="8" t="e">
        <f t="shared" si="6"/>
        <v>#DIV/0!</v>
      </c>
      <c r="L36" s="17"/>
      <c r="M36" s="17"/>
      <c r="N36" s="17"/>
      <c r="O36" s="17"/>
      <c r="P36" s="17"/>
      <c r="Q36" s="9" t="e">
        <f t="shared" si="23"/>
        <v>#DIV/0!</v>
      </c>
      <c r="R36" s="17"/>
      <c r="S36" s="17"/>
      <c r="T36" s="17"/>
      <c r="U36" s="17"/>
      <c r="V36" s="17"/>
      <c r="W36" s="9" t="e">
        <f t="shared" si="7"/>
        <v>#DIV/0!</v>
      </c>
      <c r="X36" s="233"/>
      <c r="Y36" s="234"/>
      <c r="Z36" s="9" t="str">
        <f t="shared" si="8"/>
        <v>0</v>
      </c>
      <c r="AA36" s="7" t="e">
        <f t="shared" si="0"/>
        <v>#DIV/0!</v>
      </c>
      <c r="AB36" s="365"/>
      <c r="AC36" s="17"/>
      <c r="AD36" s="17"/>
      <c r="AE36" s="17"/>
      <c r="AF36" s="17"/>
      <c r="AG36" s="17"/>
      <c r="AH36" s="9" t="e">
        <f t="shared" si="9"/>
        <v>#DIV/0!</v>
      </c>
      <c r="AI36" s="17"/>
      <c r="AJ36" s="17"/>
      <c r="AK36" s="17"/>
      <c r="AL36" s="17"/>
      <c r="AM36" s="17"/>
      <c r="AN36" s="9" t="e">
        <f t="shared" si="10"/>
        <v>#DIV/0!</v>
      </c>
      <c r="AO36" s="17"/>
      <c r="AP36" s="17"/>
      <c r="AQ36" s="17"/>
      <c r="AR36" s="17"/>
      <c r="AS36" s="17"/>
      <c r="AT36" s="9" t="e">
        <f t="shared" si="11"/>
        <v>#DIV/0!</v>
      </c>
      <c r="AU36" s="208"/>
      <c r="AV36" s="209"/>
      <c r="AW36" s="9" t="str">
        <f t="shared" si="12"/>
        <v>0</v>
      </c>
      <c r="AX36" s="7" t="e">
        <f t="shared" si="1"/>
        <v>#DIV/0!</v>
      </c>
      <c r="AY36" s="18" t="e">
        <f t="shared" si="1"/>
        <v>#DIV/0!</v>
      </c>
      <c r="AZ36" s="232"/>
      <c r="BA36" s="4" t="e">
        <f t="shared" si="2"/>
        <v>#DIV/0!</v>
      </c>
      <c r="BB36" s="4" t="e">
        <f t="shared" si="13"/>
        <v>#DIV/0!</v>
      </c>
      <c r="BC36" s="4" t="e">
        <f t="shared" si="14"/>
        <v>#DIV/0!</v>
      </c>
      <c r="BD36" s="4">
        <f t="shared" si="15"/>
        <v>0</v>
      </c>
      <c r="BE36" s="12" t="e">
        <f t="shared" si="3"/>
        <v>#DIV/0!</v>
      </c>
      <c r="BF36" s="4" t="e">
        <f t="shared" si="16"/>
        <v>#DIV/0!</v>
      </c>
      <c r="BG36" s="4" t="e">
        <f t="shared" si="17"/>
        <v>#DIV/0!</v>
      </c>
      <c r="BH36" s="4" t="e">
        <f t="shared" si="18"/>
        <v>#DIV/0!</v>
      </c>
      <c r="BI36" s="4">
        <f t="shared" si="19"/>
        <v>0</v>
      </c>
      <c r="BJ36" s="12" t="e">
        <f t="shared" si="4"/>
        <v>#DIV/0!</v>
      </c>
      <c r="BK36" s="12" t="e">
        <f t="shared" si="5"/>
        <v>#DIV/0!</v>
      </c>
      <c r="BL36" s="12"/>
      <c r="BM36" s="10"/>
      <c r="BN36" s="176"/>
      <c r="BO36" s="12" t="e">
        <f t="shared" si="20"/>
        <v>#DIV/0!</v>
      </c>
      <c r="BP36" s="11"/>
      <c r="BQ36" s="6"/>
      <c r="BR36" s="6"/>
    </row>
    <row r="37" spans="1:70" ht="20.25" customHeight="1">
      <c r="A37" s="332">
        <v>13</v>
      </c>
      <c r="B37" s="324"/>
      <c r="C37" s="324"/>
      <c r="D37" s="323"/>
      <c r="E37" s="21">
        <v>1</v>
      </c>
      <c r="F37" s="17"/>
      <c r="G37" s="17"/>
      <c r="H37" s="17"/>
      <c r="I37" s="17"/>
      <c r="J37" s="17"/>
      <c r="K37" s="8" t="e">
        <f t="shared" si="6"/>
        <v>#DIV/0!</v>
      </c>
      <c r="L37" s="17"/>
      <c r="M37" s="17"/>
      <c r="N37" s="17"/>
      <c r="O37" s="17"/>
      <c r="P37" s="17"/>
      <c r="Q37" s="9" t="e">
        <f t="shared" si="23"/>
        <v>#DIV/0!</v>
      </c>
      <c r="R37" s="17"/>
      <c r="S37" s="17"/>
      <c r="T37" s="17"/>
      <c r="U37" s="17"/>
      <c r="V37" s="17"/>
      <c r="W37" s="9" t="e">
        <f t="shared" si="7"/>
        <v>#DIV/0!</v>
      </c>
      <c r="X37" s="233"/>
      <c r="Y37" s="234"/>
      <c r="Z37" s="9" t="str">
        <f t="shared" si="8"/>
        <v>0</v>
      </c>
      <c r="AA37" s="7" t="e">
        <f t="shared" si="0"/>
        <v>#DIV/0!</v>
      </c>
      <c r="AB37" s="365"/>
      <c r="AC37" s="17"/>
      <c r="AD37" s="17"/>
      <c r="AE37" s="17"/>
      <c r="AF37" s="17"/>
      <c r="AG37" s="17"/>
      <c r="AH37" s="9" t="e">
        <f t="shared" si="9"/>
        <v>#DIV/0!</v>
      </c>
      <c r="AI37" s="17"/>
      <c r="AJ37" s="17"/>
      <c r="AK37" s="17"/>
      <c r="AL37" s="17"/>
      <c r="AM37" s="17"/>
      <c r="AN37" s="9" t="e">
        <f t="shared" si="10"/>
        <v>#DIV/0!</v>
      </c>
      <c r="AO37" s="17"/>
      <c r="AP37" s="17"/>
      <c r="AQ37" s="17"/>
      <c r="AR37" s="17"/>
      <c r="AS37" s="17"/>
      <c r="AT37" s="9" t="e">
        <f t="shared" si="11"/>
        <v>#DIV/0!</v>
      </c>
      <c r="AU37" s="208"/>
      <c r="AV37" s="209"/>
      <c r="AW37" s="9" t="str">
        <f t="shared" si="12"/>
        <v>0</v>
      </c>
      <c r="AX37" s="7" t="e">
        <f t="shared" si="1"/>
        <v>#DIV/0!</v>
      </c>
      <c r="AY37" s="18" t="e">
        <f t="shared" si="1"/>
        <v>#DIV/0!</v>
      </c>
      <c r="AZ37" s="231" t="e">
        <f t="shared" ref="AZ37" si="41">IF(BP37&gt;=4.5, " 5 ", IF(BP37&gt;=3.5," 4 ",IF(BP37&gt;=2.5," 3  ",IF(BP37&gt;=1.5," 2 ",IF(BP37&gt;=1,"1 ",IF(BP37&gt;=0,"0"))))))</f>
        <v>#DIV/0!</v>
      </c>
      <c r="BA37" s="4" t="e">
        <f t="shared" si="2"/>
        <v>#DIV/0!</v>
      </c>
      <c r="BB37" s="4" t="e">
        <f t="shared" si="13"/>
        <v>#DIV/0!</v>
      </c>
      <c r="BC37" s="4" t="e">
        <f t="shared" si="14"/>
        <v>#DIV/0!</v>
      </c>
      <c r="BD37" s="4">
        <f t="shared" si="15"/>
        <v>0</v>
      </c>
      <c r="BE37" s="12" t="e">
        <f t="shared" si="3"/>
        <v>#DIV/0!</v>
      </c>
      <c r="BF37" s="4" t="e">
        <f t="shared" si="16"/>
        <v>#DIV/0!</v>
      </c>
      <c r="BG37" s="4" t="e">
        <f t="shared" si="17"/>
        <v>#DIV/0!</v>
      </c>
      <c r="BH37" s="4" t="e">
        <f t="shared" si="18"/>
        <v>#DIV/0!</v>
      </c>
      <c r="BI37" s="4">
        <f t="shared" si="19"/>
        <v>0</v>
      </c>
      <c r="BJ37" s="12" t="e">
        <f t="shared" si="4"/>
        <v>#DIV/0!</v>
      </c>
      <c r="BK37" s="12" t="e">
        <f t="shared" si="5"/>
        <v>#DIV/0!</v>
      </c>
      <c r="BL37" s="12" t="e">
        <f>(BE37+BJ37)/2</f>
        <v>#DIV/0!</v>
      </c>
      <c r="BM37" s="10" t="e">
        <f t="shared" si="21"/>
        <v>#DIV/0!</v>
      </c>
      <c r="BN37" s="176" t="e">
        <f t="shared" ref="BN37" si="42">ROUND(BO38,)</f>
        <v>#DIV/0!</v>
      </c>
      <c r="BO37" s="12"/>
      <c r="BP37" s="11" t="e">
        <f t="shared" si="25"/>
        <v>#DIV/0!</v>
      </c>
      <c r="BQ37" s="6"/>
      <c r="BR37" s="6"/>
    </row>
    <row r="38" spans="1:70" ht="15" customHeight="1" thickBot="1">
      <c r="A38" s="333"/>
      <c r="B38" s="324"/>
      <c r="C38" s="324"/>
      <c r="D38" s="323"/>
      <c r="E38" s="20">
        <v>2</v>
      </c>
      <c r="F38" s="17"/>
      <c r="G38" s="17"/>
      <c r="H38" s="17"/>
      <c r="I38" s="17"/>
      <c r="J38" s="17"/>
      <c r="K38" s="8" t="e">
        <f t="shared" si="6"/>
        <v>#DIV/0!</v>
      </c>
      <c r="L38" s="17"/>
      <c r="M38" s="17"/>
      <c r="N38" s="17"/>
      <c r="O38" s="17"/>
      <c r="P38" s="17"/>
      <c r="Q38" s="9" t="e">
        <f t="shared" si="23"/>
        <v>#DIV/0!</v>
      </c>
      <c r="R38" s="17"/>
      <c r="S38" s="17"/>
      <c r="T38" s="17"/>
      <c r="U38" s="17"/>
      <c r="V38" s="17"/>
      <c r="W38" s="9" t="e">
        <f t="shared" si="7"/>
        <v>#DIV/0!</v>
      </c>
      <c r="X38" s="233"/>
      <c r="Y38" s="234"/>
      <c r="Z38" s="9" t="str">
        <f t="shared" si="8"/>
        <v>0</v>
      </c>
      <c r="AA38" s="7" t="e">
        <f t="shared" si="0"/>
        <v>#DIV/0!</v>
      </c>
      <c r="AB38" s="365"/>
      <c r="AC38" s="17"/>
      <c r="AD38" s="17"/>
      <c r="AE38" s="17"/>
      <c r="AF38" s="17"/>
      <c r="AG38" s="17"/>
      <c r="AH38" s="9" t="e">
        <f t="shared" si="9"/>
        <v>#DIV/0!</v>
      </c>
      <c r="AI38" s="17"/>
      <c r="AJ38" s="17"/>
      <c r="AK38" s="17"/>
      <c r="AL38" s="17"/>
      <c r="AM38" s="17"/>
      <c r="AN38" s="9" t="e">
        <f t="shared" si="10"/>
        <v>#DIV/0!</v>
      </c>
      <c r="AO38" s="17"/>
      <c r="AP38" s="17"/>
      <c r="AQ38" s="17"/>
      <c r="AR38" s="17"/>
      <c r="AS38" s="17"/>
      <c r="AT38" s="9" t="e">
        <f t="shared" si="11"/>
        <v>#DIV/0!</v>
      </c>
      <c r="AU38" s="208"/>
      <c r="AV38" s="209"/>
      <c r="AW38" s="9" t="str">
        <f t="shared" si="12"/>
        <v>0</v>
      </c>
      <c r="AX38" s="7" t="e">
        <f t="shared" si="1"/>
        <v>#DIV/0!</v>
      </c>
      <c r="AY38" s="18" t="e">
        <f t="shared" si="1"/>
        <v>#DIV/0!</v>
      </c>
      <c r="AZ38" s="232"/>
      <c r="BA38" s="4" t="e">
        <f t="shared" si="2"/>
        <v>#DIV/0!</v>
      </c>
      <c r="BB38" s="4" t="e">
        <f t="shared" si="13"/>
        <v>#DIV/0!</v>
      </c>
      <c r="BC38" s="4" t="e">
        <f t="shared" si="14"/>
        <v>#DIV/0!</v>
      </c>
      <c r="BD38" s="4">
        <f t="shared" si="15"/>
        <v>0</v>
      </c>
      <c r="BE38" s="12" t="e">
        <f t="shared" si="3"/>
        <v>#DIV/0!</v>
      </c>
      <c r="BF38" s="4" t="e">
        <f t="shared" si="16"/>
        <v>#DIV/0!</v>
      </c>
      <c r="BG38" s="4" t="e">
        <f t="shared" si="17"/>
        <v>#DIV/0!</v>
      </c>
      <c r="BH38" s="4" t="e">
        <f t="shared" si="18"/>
        <v>#DIV/0!</v>
      </c>
      <c r="BI38" s="4">
        <f t="shared" si="19"/>
        <v>0</v>
      </c>
      <c r="BJ38" s="12" t="e">
        <f t="shared" si="4"/>
        <v>#DIV/0!</v>
      </c>
      <c r="BK38" s="12" t="e">
        <f t="shared" si="5"/>
        <v>#DIV/0!</v>
      </c>
      <c r="BL38" s="12"/>
      <c r="BM38" s="10"/>
      <c r="BN38" s="176"/>
      <c r="BO38" s="12" t="e">
        <f t="shared" si="20"/>
        <v>#DIV/0!</v>
      </c>
      <c r="BP38" s="11"/>
      <c r="BQ38" s="6"/>
      <c r="BR38" s="6"/>
    </row>
    <row r="39" spans="1:70" ht="20.25" customHeight="1">
      <c r="A39" s="332">
        <v>14</v>
      </c>
      <c r="B39" s="324"/>
      <c r="C39" s="324"/>
      <c r="D39" s="323"/>
      <c r="E39" s="21">
        <v>1</v>
      </c>
      <c r="F39" s="17"/>
      <c r="G39" s="17"/>
      <c r="H39" s="17"/>
      <c r="I39" s="17"/>
      <c r="J39" s="17"/>
      <c r="K39" s="8" t="e">
        <f t="shared" si="6"/>
        <v>#DIV/0!</v>
      </c>
      <c r="L39" s="17"/>
      <c r="M39" s="17"/>
      <c r="N39" s="17"/>
      <c r="O39" s="17"/>
      <c r="P39" s="17"/>
      <c r="Q39" s="9" t="e">
        <f t="shared" si="23"/>
        <v>#DIV/0!</v>
      </c>
      <c r="R39" s="17"/>
      <c r="S39" s="17"/>
      <c r="T39" s="17"/>
      <c r="U39" s="17"/>
      <c r="V39" s="17"/>
      <c r="W39" s="9" t="e">
        <f t="shared" si="7"/>
        <v>#DIV/0!</v>
      </c>
      <c r="X39" s="233"/>
      <c r="Y39" s="234"/>
      <c r="Z39" s="9" t="str">
        <f t="shared" si="8"/>
        <v>0</v>
      </c>
      <c r="AA39" s="7" t="e">
        <f t="shared" si="0"/>
        <v>#DIV/0!</v>
      </c>
      <c r="AB39" s="365"/>
      <c r="AC39" s="17"/>
      <c r="AD39" s="17"/>
      <c r="AE39" s="17"/>
      <c r="AF39" s="17"/>
      <c r="AG39" s="17"/>
      <c r="AH39" s="9" t="e">
        <f t="shared" si="9"/>
        <v>#DIV/0!</v>
      </c>
      <c r="AI39" s="17"/>
      <c r="AJ39" s="17"/>
      <c r="AK39" s="17"/>
      <c r="AL39" s="17"/>
      <c r="AM39" s="17"/>
      <c r="AN39" s="9" t="e">
        <f t="shared" si="10"/>
        <v>#DIV/0!</v>
      </c>
      <c r="AO39" s="17"/>
      <c r="AP39" s="17"/>
      <c r="AQ39" s="17"/>
      <c r="AR39" s="17"/>
      <c r="AS39" s="17"/>
      <c r="AT39" s="9" t="e">
        <f t="shared" si="11"/>
        <v>#DIV/0!</v>
      </c>
      <c r="AU39" s="208"/>
      <c r="AV39" s="209"/>
      <c r="AW39" s="9" t="str">
        <f t="shared" si="12"/>
        <v>0</v>
      </c>
      <c r="AX39" s="7" t="e">
        <f t="shared" si="1"/>
        <v>#DIV/0!</v>
      </c>
      <c r="AY39" s="18" t="e">
        <f t="shared" si="1"/>
        <v>#DIV/0!</v>
      </c>
      <c r="AZ39" s="231" t="e">
        <f t="shared" ref="AZ39" si="43">IF(BP39&gt;=4.5, " 5 ", IF(BP39&gt;=3.5," 4 ",IF(BP39&gt;=2.5," 3  ",IF(BP39&gt;=1.5," 2 ",IF(BP39&gt;=1,"1 ",IF(BP39&gt;=0,"0"))))))</f>
        <v>#DIV/0!</v>
      </c>
      <c r="BA39" s="4" t="e">
        <f t="shared" si="2"/>
        <v>#DIV/0!</v>
      </c>
      <c r="BB39" s="4" t="e">
        <f t="shared" si="13"/>
        <v>#DIV/0!</v>
      </c>
      <c r="BC39" s="4" t="e">
        <f t="shared" si="14"/>
        <v>#DIV/0!</v>
      </c>
      <c r="BD39" s="4">
        <f t="shared" si="15"/>
        <v>0</v>
      </c>
      <c r="BE39" s="12" t="e">
        <f t="shared" si="3"/>
        <v>#DIV/0!</v>
      </c>
      <c r="BF39" s="4" t="e">
        <f t="shared" si="16"/>
        <v>#DIV/0!</v>
      </c>
      <c r="BG39" s="4" t="e">
        <f t="shared" si="17"/>
        <v>#DIV/0!</v>
      </c>
      <c r="BH39" s="4" t="e">
        <f t="shared" si="18"/>
        <v>#DIV/0!</v>
      </c>
      <c r="BI39" s="4">
        <f t="shared" si="19"/>
        <v>0</v>
      </c>
      <c r="BJ39" s="12" t="e">
        <f t="shared" si="4"/>
        <v>#DIV/0!</v>
      </c>
      <c r="BK39" s="12" t="e">
        <f t="shared" si="5"/>
        <v>#DIV/0!</v>
      </c>
      <c r="BL39" s="12" t="e">
        <f>(BE39+BJ39)/2</f>
        <v>#DIV/0!</v>
      </c>
      <c r="BM39" s="10" t="e">
        <f t="shared" si="21"/>
        <v>#DIV/0!</v>
      </c>
      <c r="BN39" s="176" t="e">
        <f t="shared" si="31"/>
        <v>#DIV/0!</v>
      </c>
      <c r="BO39" s="12"/>
      <c r="BP39" s="11" t="e">
        <f t="shared" si="25"/>
        <v>#DIV/0!</v>
      </c>
      <c r="BQ39" s="6"/>
      <c r="BR39" s="6"/>
    </row>
    <row r="40" spans="1:70" ht="20.25" customHeight="1" thickBot="1">
      <c r="A40" s="333"/>
      <c r="B40" s="324"/>
      <c r="C40" s="324"/>
      <c r="D40" s="323"/>
      <c r="E40" s="20">
        <v>2</v>
      </c>
      <c r="F40" s="17"/>
      <c r="G40" s="17"/>
      <c r="H40" s="17"/>
      <c r="I40" s="17"/>
      <c r="J40" s="17"/>
      <c r="K40" s="8" t="e">
        <f t="shared" si="6"/>
        <v>#DIV/0!</v>
      </c>
      <c r="L40" s="17"/>
      <c r="M40" s="17"/>
      <c r="N40" s="17"/>
      <c r="O40" s="17"/>
      <c r="P40" s="17"/>
      <c r="Q40" s="9" t="e">
        <f t="shared" si="23"/>
        <v>#DIV/0!</v>
      </c>
      <c r="R40" s="17"/>
      <c r="S40" s="17"/>
      <c r="T40" s="17"/>
      <c r="U40" s="17"/>
      <c r="V40" s="17"/>
      <c r="W40" s="9" t="e">
        <f t="shared" si="7"/>
        <v>#DIV/0!</v>
      </c>
      <c r="X40" s="233"/>
      <c r="Y40" s="234"/>
      <c r="Z40" s="9" t="str">
        <f t="shared" si="8"/>
        <v>0</v>
      </c>
      <c r="AA40" s="7" t="e">
        <f t="shared" si="0"/>
        <v>#DIV/0!</v>
      </c>
      <c r="AB40" s="365"/>
      <c r="AC40" s="17"/>
      <c r="AD40" s="17"/>
      <c r="AE40" s="17"/>
      <c r="AF40" s="17"/>
      <c r="AG40" s="17"/>
      <c r="AH40" s="9" t="e">
        <f t="shared" si="9"/>
        <v>#DIV/0!</v>
      </c>
      <c r="AI40" s="17"/>
      <c r="AJ40" s="17"/>
      <c r="AK40" s="17"/>
      <c r="AL40" s="17"/>
      <c r="AM40" s="17"/>
      <c r="AN40" s="9" t="e">
        <f t="shared" si="10"/>
        <v>#DIV/0!</v>
      </c>
      <c r="AO40" s="17"/>
      <c r="AP40" s="17"/>
      <c r="AQ40" s="17"/>
      <c r="AR40" s="17"/>
      <c r="AS40" s="17"/>
      <c r="AT40" s="9" t="e">
        <f t="shared" si="11"/>
        <v>#DIV/0!</v>
      </c>
      <c r="AU40" s="208"/>
      <c r="AV40" s="209"/>
      <c r="AW40" s="9" t="str">
        <f t="shared" si="12"/>
        <v>0</v>
      </c>
      <c r="AX40" s="7" t="e">
        <f t="shared" si="1"/>
        <v>#DIV/0!</v>
      </c>
      <c r="AY40" s="18" t="e">
        <f t="shared" si="1"/>
        <v>#DIV/0!</v>
      </c>
      <c r="AZ40" s="232"/>
      <c r="BA40" s="4" t="e">
        <f t="shared" si="2"/>
        <v>#DIV/0!</v>
      </c>
      <c r="BB40" s="4" t="e">
        <f t="shared" si="13"/>
        <v>#DIV/0!</v>
      </c>
      <c r="BC40" s="4" t="e">
        <f t="shared" si="14"/>
        <v>#DIV/0!</v>
      </c>
      <c r="BD40" s="4">
        <f t="shared" si="15"/>
        <v>0</v>
      </c>
      <c r="BE40" s="12" t="e">
        <f t="shared" si="3"/>
        <v>#DIV/0!</v>
      </c>
      <c r="BF40" s="4" t="e">
        <f t="shared" si="16"/>
        <v>#DIV/0!</v>
      </c>
      <c r="BG40" s="4" t="e">
        <f t="shared" si="17"/>
        <v>#DIV/0!</v>
      </c>
      <c r="BH40" s="4" t="e">
        <f t="shared" si="18"/>
        <v>#DIV/0!</v>
      </c>
      <c r="BI40" s="4">
        <f t="shared" si="19"/>
        <v>0</v>
      </c>
      <c r="BJ40" s="12" t="e">
        <f t="shared" si="4"/>
        <v>#DIV/0!</v>
      </c>
      <c r="BK40" s="12" t="e">
        <f t="shared" si="5"/>
        <v>#DIV/0!</v>
      </c>
      <c r="BL40" s="12"/>
      <c r="BM40" s="10"/>
      <c r="BN40" s="176"/>
      <c r="BO40" s="12" t="e">
        <f t="shared" si="20"/>
        <v>#DIV/0!</v>
      </c>
      <c r="BP40" s="11"/>
      <c r="BQ40" s="6"/>
      <c r="BR40" s="6"/>
    </row>
    <row r="41" spans="1:70" ht="20.25" customHeight="1">
      <c r="A41" s="332">
        <v>15</v>
      </c>
      <c r="B41" s="324"/>
      <c r="C41" s="324"/>
      <c r="D41" s="323"/>
      <c r="E41" s="21">
        <v>1</v>
      </c>
      <c r="F41" s="17"/>
      <c r="G41" s="17"/>
      <c r="H41" s="17"/>
      <c r="I41" s="17"/>
      <c r="J41" s="17"/>
      <c r="K41" s="8" t="e">
        <f t="shared" si="6"/>
        <v>#DIV/0!</v>
      </c>
      <c r="L41" s="17"/>
      <c r="M41" s="17"/>
      <c r="N41" s="17"/>
      <c r="O41" s="17"/>
      <c r="P41" s="17"/>
      <c r="Q41" s="9" t="e">
        <f t="shared" si="23"/>
        <v>#DIV/0!</v>
      </c>
      <c r="R41" s="17"/>
      <c r="S41" s="17"/>
      <c r="T41" s="17"/>
      <c r="U41" s="17"/>
      <c r="V41" s="17"/>
      <c r="W41" s="9" t="e">
        <f t="shared" si="7"/>
        <v>#DIV/0!</v>
      </c>
      <c r="X41" s="233"/>
      <c r="Y41" s="234"/>
      <c r="Z41" s="9" t="str">
        <f t="shared" si="8"/>
        <v>0</v>
      </c>
      <c r="AA41" s="7" t="e">
        <f t="shared" si="0"/>
        <v>#DIV/0!</v>
      </c>
      <c r="AB41" s="365"/>
      <c r="AC41" s="17"/>
      <c r="AD41" s="17"/>
      <c r="AE41" s="17"/>
      <c r="AF41" s="17"/>
      <c r="AG41" s="17"/>
      <c r="AH41" s="9" t="e">
        <f t="shared" si="9"/>
        <v>#DIV/0!</v>
      </c>
      <c r="AI41" s="17"/>
      <c r="AJ41" s="17"/>
      <c r="AK41" s="17"/>
      <c r="AL41" s="17"/>
      <c r="AM41" s="17"/>
      <c r="AN41" s="9" t="e">
        <f t="shared" si="10"/>
        <v>#DIV/0!</v>
      </c>
      <c r="AO41" s="17"/>
      <c r="AP41" s="17"/>
      <c r="AQ41" s="17"/>
      <c r="AR41" s="17"/>
      <c r="AS41" s="17"/>
      <c r="AT41" s="9" t="e">
        <f t="shared" si="11"/>
        <v>#DIV/0!</v>
      </c>
      <c r="AU41" s="208"/>
      <c r="AV41" s="209"/>
      <c r="AW41" s="9" t="str">
        <f t="shared" si="12"/>
        <v>0</v>
      </c>
      <c r="AX41" s="7" t="e">
        <f t="shared" si="1"/>
        <v>#DIV/0!</v>
      </c>
      <c r="AY41" s="18" t="e">
        <f t="shared" si="1"/>
        <v>#DIV/0!</v>
      </c>
      <c r="AZ41" s="231" t="e">
        <f t="shared" ref="AZ41" si="44">IF(BP41&gt;=4.5, " 5 ", IF(BP41&gt;=3.5," 4 ",IF(BP41&gt;=2.5," 3  ",IF(BP41&gt;=1.5," 2 ",IF(BP41&gt;=1,"1 ",IF(BP41&gt;=0,"0"))))))</f>
        <v>#DIV/0!</v>
      </c>
      <c r="BA41" s="4" t="e">
        <f t="shared" si="2"/>
        <v>#DIV/0!</v>
      </c>
      <c r="BB41" s="4" t="e">
        <f t="shared" si="13"/>
        <v>#DIV/0!</v>
      </c>
      <c r="BC41" s="4" t="e">
        <f t="shared" si="14"/>
        <v>#DIV/0!</v>
      </c>
      <c r="BD41" s="4">
        <f t="shared" si="15"/>
        <v>0</v>
      </c>
      <c r="BE41" s="12" t="e">
        <f t="shared" si="3"/>
        <v>#DIV/0!</v>
      </c>
      <c r="BF41" s="4" t="e">
        <f t="shared" si="16"/>
        <v>#DIV/0!</v>
      </c>
      <c r="BG41" s="4" t="e">
        <f t="shared" si="17"/>
        <v>#DIV/0!</v>
      </c>
      <c r="BH41" s="4" t="e">
        <f t="shared" si="18"/>
        <v>#DIV/0!</v>
      </c>
      <c r="BI41" s="4">
        <f t="shared" si="19"/>
        <v>0</v>
      </c>
      <c r="BJ41" s="12" t="e">
        <f t="shared" si="4"/>
        <v>#DIV/0!</v>
      </c>
      <c r="BK41" s="12" t="e">
        <f t="shared" si="5"/>
        <v>#DIV/0!</v>
      </c>
      <c r="BL41" s="12" t="e">
        <f>(BE41+BJ41)/2</f>
        <v>#DIV/0!</v>
      </c>
      <c r="BM41" s="10" t="e">
        <f t="shared" si="21"/>
        <v>#DIV/0!</v>
      </c>
      <c r="BN41" s="176" t="e">
        <f t="shared" si="33"/>
        <v>#DIV/0!</v>
      </c>
      <c r="BO41" s="12"/>
      <c r="BP41" s="11" t="e">
        <f t="shared" si="25"/>
        <v>#DIV/0!</v>
      </c>
      <c r="BQ41" s="6"/>
      <c r="BR41" s="6"/>
    </row>
    <row r="42" spans="1:70" ht="20.25" customHeight="1" thickBot="1">
      <c r="A42" s="333"/>
      <c r="B42" s="324"/>
      <c r="C42" s="324"/>
      <c r="D42" s="323"/>
      <c r="E42" s="20">
        <v>2</v>
      </c>
      <c r="F42" s="17"/>
      <c r="G42" s="17"/>
      <c r="H42" s="17"/>
      <c r="I42" s="17"/>
      <c r="J42" s="17"/>
      <c r="K42" s="8" t="e">
        <f t="shared" si="6"/>
        <v>#DIV/0!</v>
      </c>
      <c r="L42" s="17"/>
      <c r="M42" s="17"/>
      <c r="N42" s="17"/>
      <c r="O42" s="17"/>
      <c r="P42" s="17"/>
      <c r="Q42" s="9" t="e">
        <f t="shared" si="23"/>
        <v>#DIV/0!</v>
      </c>
      <c r="R42" s="17"/>
      <c r="S42" s="17"/>
      <c r="T42" s="17"/>
      <c r="U42" s="17"/>
      <c r="V42" s="17"/>
      <c r="W42" s="9" t="e">
        <f t="shared" si="7"/>
        <v>#DIV/0!</v>
      </c>
      <c r="X42" s="233"/>
      <c r="Y42" s="234"/>
      <c r="Z42" s="9" t="str">
        <f t="shared" si="8"/>
        <v>0</v>
      </c>
      <c r="AA42" s="7" t="e">
        <f t="shared" si="0"/>
        <v>#DIV/0!</v>
      </c>
      <c r="AB42" s="365"/>
      <c r="AC42" s="17"/>
      <c r="AD42" s="17"/>
      <c r="AE42" s="17"/>
      <c r="AF42" s="17"/>
      <c r="AG42" s="17"/>
      <c r="AH42" s="9" t="e">
        <f t="shared" si="9"/>
        <v>#DIV/0!</v>
      </c>
      <c r="AI42" s="17"/>
      <c r="AJ42" s="17"/>
      <c r="AK42" s="17"/>
      <c r="AL42" s="17"/>
      <c r="AM42" s="17"/>
      <c r="AN42" s="9" t="e">
        <f t="shared" si="10"/>
        <v>#DIV/0!</v>
      </c>
      <c r="AO42" s="17"/>
      <c r="AP42" s="17"/>
      <c r="AQ42" s="17"/>
      <c r="AR42" s="17"/>
      <c r="AS42" s="17"/>
      <c r="AT42" s="9" t="e">
        <f t="shared" si="11"/>
        <v>#DIV/0!</v>
      </c>
      <c r="AU42" s="208"/>
      <c r="AV42" s="209"/>
      <c r="AW42" s="9" t="str">
        <f t="shared" si="12"/>
        <v>0</v>
      </c>
      <c r="AX42" s="7" t="e">
        <f t="shared" si="1"/>
        <v>#DIV/0!</v>
      </c>
      <c r="AY42" s="18" t="e">
        <f t="shared" si="1"/>
        <v>#DIV/0!</v>
      </c>
      <c r="AZ42" s="232"/>
      <c r="BA42" s="4" t="e">
        <f t="shared" si="2"/>
        <v>#DIV/0!</v>
      </c>
      <c r="BB42" s="4" t="e">
        <f t="shared" si="13"/>
        <v>#DIV/0!</v>
      </c>
      <c r="BC42" s="4" t="e">
        <f t="shared" si="14"/>
        <v>#DIV/0!</v>
      </c>
      <c r="BD42" s="4">
        <f t="shared" si="15"/>
        <v>0</v>
      </c>
      <c r="BE42" s="12" t="e">
        <f t="shared" si="3"/>
        <v>#DIV/0!</v>
      </c>
      <c r="BF42" s="4" t="e">
        <f t="shared" si="16"/>
        <v>#DIV/0!</v>
      </c>
      <c r="BG42" s="4" t="e">
        <f t="shared" si="17"/>
        <v>#DIV/0!</v>
      </c>
      <c r="BH42" s="4" t="e">
        <f t="shared" si="18"/>
        <v>#DIV/0!</v>
      </c>
      <c r="BI42" s="4">
        <f t="shared" si="19"/>
        <v>0</v>
      </c>
      <c r="BJ42" s="12" t="e">
        <f t="shared" si="4"/>
        <v>#DIV/0!</v>
      </c>
      <c r="BK42" s="12" t="e">
        <f t="shared" si="5"/>
        <v>#DIV/0!</v>
      </c>
      <c r="BL42" s="12"/>
      <c r="BM42" s="10"/>
      <c r="BN42" s="176"/>
      <c r="BO42" s="12" t="e">
        <f t="shared" si="20"/>
        <v>#DIV/0!</v>
      </c>
      <c r="BP42" s="11"/>
      <c r="BQ42" s="6"/>
      <c r="BR42" s="6"/>
    </row>
    <row r="43" spans="1:70" ht="20.25" customHeight="1">
      <c r="A43" s="332">
        <v>16</v>
      </c>
      <c r="B43" s="324"/>
      <c r="C43" s="324"/>
      <c r="D43" s="323"/>
      <c r="E43" s="22">
        <v>1</v>
      </c>
      <c r="F43" s="17"/>
      <c r="G43" s="17"/>
      <c r="H43" s="17"/>
      <c r="I43" s="17"/>
      <c r="J43" s="17"/>
      <c r="K43" s="8" t="e">
        <f t="shared" si="6"/>
        <v>#DIV/0!</v>
      </c>
      <c r="L43" s="17"/>
      <c r="M43" s="17"/>
      <c r="N43" s="17"/>
      <c r="O43" s="17"/>
      <c r="P43" s="17"/>
      <c r="Q43" s="9" t="e">
        <f t="shared" si="23"/>
        <v>#DIV/0!</v>
      </c>
      <c r="R43" s="17"/>
      <c r="S43" s="17"/>
      <c r="T43" s="17"/>
      <c r="U43" s="17"/>
      <c r="V43" s="17"/>
      <c r="W43" s="9" t="e">
        <f t="shared" si="7"/>
        <v>#DIV/0!</v>
      </c>
      <c r="X43" s="233"/>
      <c r="Y43" s="234"/>
      <c r="Z43" s="9" t="str">
        <f t="shared" si="8"/>
        <v>0</v>
      </c>
      <c r="AA43" s="7" t="e">
        <f t="shared" si="0"/>
        <v>#DIV/0!</v>
      </c>
      <c r="AB43" s="365"/>
      <c r="AC43" s="17"/>
      <c r="AD43" s="17"/>
      <c r="AE43" s="17"/>
      <c r="AF43" s="17"/>
      <c r="AG43" s="17"/>
      <c r="AH43" s="9" t="e">
        <f t="shared" si="9"/>
        <v>#DIV/0!</v>
      </c>
      <c r="AI43" s="17"/>
      <c r="AJ43" s="17"/>
      <c r="AK43" s="17"/>
      <c r="AL43" s="17"/>
      <c r="AM43" s="17"/>
      <c r="AN43" s="9" t="e">
        <f t="shared" si="10"/>
        <v>#DIV/0!</v>
      </c>
      <c r="AO43" s="17"/>
      <c r="AP43" s="17"/>
      <c r="AQ43" s="17"/>
      <c r="AR43" s="17"/>
      <c r="AS43" s="17"/>
      <c r="AT43" s="9" t="e">
        <f t="shared" si="11"/>
        <v>#DIV/0!</v>
      </c>
      <c r="AU43" s="208"/>
      <c r="AV43" s="209"/>
      <c r="AW43" s="9" t="str">
        <f t="shared" si="12"/>
        <v>0</v>
      </c>
      <c r="AX43" s="7" t="e">
        <f t="shared" si="1"/>
        <v>#DIV/0!</v>
      </c>
      <c r="AY43" s="18" t="e">
        <f t="shared" si="1"/>
        <v>#DIV/0!</v>
      </c>
      <c r="AZ43" s="231" t="e">
        <f t="shared" ref="AZ43" si="45">IF(BP43&gt;=4.5, " 5 ", IF(BP43&gt;=3.5," 4 ",IF(BP43&gt;=2.5," 3  ",IF(BP43&gt;=1.5," 2 ",IF(BP43&gt;=1,"1 ",IF(BP43&gt;=0,"0"))))))</f>
        <v>#DIV/0!</v>
      </c>
      <c r="BA43" s="4" t="e">
        <f t="shared" si="2"/>
        <v>#DIV/0!</v>
      </c>
      <c r="BB43" s="4" t="e">
        <f t="shared" si="13"/>
        <v>#DIV/0!</v>
      </c>
      <c r="BC43" s="4" t="e">
        <f t="shared" si="14"/>
        <v>#DIV/0!</v>
      </c>
      <c r="BD43" s="4">
        <f t="shared" si="15"/>
        <v>0</v>
      </c>
      <c r="BE43" s="12" t="e">
        <f t="shared" si="3"/>
        <v>#DIV/0!</v>
      </c>
      <c r="BF43" s="4" t="e">
        <f t="shared" si="16"/>
        <v>#DIV/0!</v>
      </c>
      <c r="BG43" s="4" t="e">
        <f t="shared" si="17"/>
        <v>#DIV/0!</v>
      </c>
      <c r="BH43" s="4" t="e">
        <f t="shared" si="18"/>
        <v>#DIV/0!</v>
      </c>
      <c r="BI43" s="4">
        <f t="shared" si="19"/>
        <v>0</v>
      </c>
      <c r="BJ43" s="12" t="e">
        <f t="shared" si="4"/>
        <v>#DIV/0!</v>
      </c>
      <c r="BK43" s="12" t="e">
        <f t="shared" si="5"/>
        <v>#DIV/0!</v>
      </c>
      <c r="BL43" s="12" t="e">
        <f>(BE43+BJ43)/2</f>
        <v>#DIV/0!</v>
      </c>
      <c r="BM43" s="10" t="e">
        <f t="shared" si="21"/>
        <v>#DIV/0!</v>
      </c>
      <c r="BN43" s="176" t="e">
        <f t="shared" si="35"/>
        <v>#DIV/0!</v>
      </c>
      <c r="BO43" s="12"/>
      <c r="BP43" s="11" t="e">
        <f t="shared" si="25"/>
        <v>#DIV/0!</v>
      </c>
      <c r="BQ43" s="6"/>
      <c r="BR43" s="6"/>
    </row>
    <row r="44" spans="1:70" ht="20.25" customHeight="1" thickBot="1">
      <c r="A44" s="333"/>
      <c r="B44" s="324"/>
      <c r="C44" s="324"/>
      <c r="D44" s="323"/>
      <c r="E44" s="23">
        <v>2</v>
      </c>
      <c r="F44" s="17"/>
      <c r="G44" s="17"/>
      <c r="H44" s="17"/>
      <c r="I44" s="17"/>
      <c r="J44" s="17"/>
      <c r="K44" s="8" t="e">
        <f t="shared" si="6"/>
        <v>#DIV/0!</v>
      </c>
      <c r="L44" s="17"/>
      <c r="M44" s="17"/>
      <c r="N44" s="17"/>
      <c r="O44" s="17"/>
      <c r="P44" s="17"/>
      <c r="Q44" s="9" t="e">
        <f t="shared" si="23"/>
        <v>#DIV/0!</v>
      </c>
      <c r="R44" s="17"/>
      <c r="S44" s="17"/>
      <c r="T44" s="17"/>
      <c r="U44" s="17"/>
      <c r="V44" s="17"/>
      <c r="W44" s="9" t="e">
        <f t="shared" si="7"/>
        <v>#DIV/0!</v>
      </c>
      <c r="X44" s="233"/>
      <c r="Y44" s="234"/>
      <c r="Z44" s="9" t="str">
        <f t="shared" si="8"/>
        <v>0</v>
      </c>
      <c r="AA44" s="7" t="e">
        <f t="shared" si="0"/>
        <v>#DIV/0!</v>
      </c>
      <c r="AB44" s="365"/>
      <c r="AC44" s="17"/>
      <c r="AD44" s="17"/>
      <c r="AE44" s="17"/>
      <c r="AF44" s="17"/>
      <c r="AG44" s="17"/>
      <c r="AH44" s="9" t="e">
        <f t="shared" si="9"/>
        <v>#DIV/0!</v>
      </c>
      <c r="AI44" s="17"/>
      <c r="AJ44" s="17"/>
      <c r="AK44" s="17"/>
      <c r="AL44" s="17"/>
      <c r="AM44" s="17"/>
      <c r="AN44" s="9" t="e">
        <f t="shared" si="10"/>
        <v>#DIV/0!</v>
      </c>
      <c r="AO44" s="17"/>
      <c r="AP44" s="17"/>
      <c r="AQ44" s="17"/>
      <c r="AR44" s="17"/>
      <c r="AS44" s="17"/>
      <c r="AT44" s="9" t="e">
        <f t="shared" si="11"/>
        <v>#DIV/0!</v>
      </c>
      <c r="AU44" s="208"/>
      <c r="AV44" s="209"/>
      <c r="AW44" s="9" t="str">
        <f t="shared" si="12"/>
        <v>0</v>
      </c>
      <c r="AX44" s="7" t="e">
        <f t="shared" si="1"/>
        <v>#DIV/0!</v>
      </c>
      <c r="AY44" s="18" t="e">
        <f t="shared" si="1"/>
        <v>#DIV/0!</v>
      </c>
      <c r="AZ44" s="232"/>
      <c r="BA44" s="4" t="e">
        <f t="shared" si="2"/>
        <v>#DIV/0!</v>
      </c>
      <c r="BB44" s="4" t="e">
        <f t="shared" si="13"/>
        <v>#DIV/0!</v>
      </c>
      <c r="BC44" s="4" t="e">
        <f t="shared" si="14"/>
        <v>#DIV/0!</v>
      </c>
      <c r="BD44" s="4">
        <f t="shared" si="15"/>
        <v>0</v>
      </c>
      <c r="BE44" s="12" t="e">
        <f t="shared" si="3"/>
        <v>#DIV/0!</v>
      </c>
      <c r="BF44" s="4" t="e">
        <f t="shared" si="16"/>
        <v>#DIV/0!</v>
      </c>
      <c r="BG44" s="4" t="e">
        <f t="shared" si="17"/>
        <v>#DIV/0!</v>
      </c>
      <c r="BH44" s="4" t="e">
        <f t="shared" si="18"/>
        <v>#DIV/0!</v>
      </c>
      <c r="BI44" s="4">
        <f t="shared" si="19"/>
        <v>0</v>
      </c>
      <c r="BJ44" s="12" t="e">
        <f t="shared" si="4"/>
        <v>#DIV/0!</v>
      </c>
      <c r="BK44" s="12" t="e">
        <f t="shared" si="5"/>
        <v>#DIV/0!</v>
      </c>
      <c r="BL44" s="12"/>
      <c r="BM44" s="10"/>
      <c r="BN44" s="176"/>
      <c r="BO44" s="12" t="e">
        <f t="shared" si="20"/>
        <v>#DIV/0!</v>
      </c>
      <c r="BP44" s="11"/>
      <c r="BQ44" s="6"/>
      <c r="BR44" s="6"/>
    </row>
    <row r="45" spans="1:70" ht="20.25" customHeight="1">
      <c r="A45" s="332">
        <v>17</v>
      </c>
      <c r="B45" s="324"/>
      <c r="C45" s="324"/>
      <c r="D45" s="323"/>
      <c r="E45" s="22">
        <v>1</v>
      </c>
      <c r="F45" s="17"/>
      <c r="G45" s="17"/>
      <c r="H45" s="17"/>
      <c r="I45" s="17"/>
      <c r="J45" s="17"/>
      <c r="K45" s="8" t="e">
        <f t="shared" si="6"/>
        <v>#DIV/0!</v>
      </c>
      <c r="L45" s="17"/>
      <c r="M45" s="17"/>
      <c r="N45" s="17"/>
      <c r="O45" s="17"/>
      <c r="P45" s="17"/>
      <c r="Q45" s="9" t="e">
        <f t="shared" si="23"/>
        <v>#DIV/0!</v>
      </c>
      <c r="R45" s="17"/>
      <c r="S45" s="17"/>
      <c r="T45" s="17"/>
      <c r="U45" s="17"/>
      <c r="V45" s="17"/>
      <c r="W45" s="9" t="e">
        <f t="shared" si="7"/>
        <v>#DIV/0!</v>
      </c>
      <c r="X45" s="233"/>
      <c r="Y45" s="234"/>
      <c r="Z45" s="9" t="str">
        <f t="shared" si="8"/>
        <v>0</v>
      </c>
      <c r="AA45" s="7" t="e">
        <f t="shared" si="0"/>
        <v>#DIV/0!</v>
      </c>
      <c r="AB45" s="365"/>
      <c r="AC45" s="17"/>
      <c r="AD45" s="17"/>
      <c r="AE45" s="17"/>
      <c r="AF45" s="17"/>
      <c r="AG45" s="17"/>
      <c r="AH45" s="9" t="e">
        <f t="shared" si="9"/>
        <v>#DIV/0!</v>
      </c>
      <c r="AI45" s="17"/>
      <c r="AJ45" s="17"/>
      <c r="AK45" s="17"/>
      <c r="AL45" s="17"/>
      <c r="AM45" s="17"/>
      <c r="AN45" s="9" t="e">
        <f t="shared" si="10"/>
        <v>#DIV/0!</v>
      </c>
      <c r="AO45" s="17"/>
      <c r="AP45" s="17"/>
      <c r="AQ45" s="17"/>
      <c r="AR45" s="17"/>
      <c r="AS45" s="17"/>
      <c r="AT45" s="9" t="e">
        <f t="shared" si="11"/>
        <v>#DIV/0!</v>
      </c>
      <c r="AU45" s="208"/>
      <c r="AV45" s="209"/>
      <c r="AW45" s="9" t="str">
        <f t="shared" si="12"/>
        <v>0</v>
      </c>
      <c r="AX45" s="7" t="e">
        <f t="shared" si="1"/>
        <v>#DIV/0!</v>
      </c>
      <c r="AY45" s="18" t="e">
        <f t="shared" si="1"/>
        <v>#DIV/0!</v>
      </c>
      <c r="AZ45" s="231" t="e">
        <f t="shared" ref="AZ45" si="46">IF(BP45&gt;=4.5, " 5 ", IF(BP45&gt;=3.5," 4 ",IF(BP45&gt;=2.5," 3  ",IF(BP45&gt;=1.5," 2 ",IF(BP45&gt;=1,"1 ",IF(BP45&gt;=0,"0"))))))</f>
        <v>#DIV/0!</v>
      </c>
      <c r="BA45" s="4" t="e">
        <f t="shared" si="2"/>
        <v>#DIV/0!</v>
      </c>
      <c r="BB45" s="4" t="e">
        <f t="shared" si="13"/>
        <v>#DIV/0!</v>
      </c>
      <c r="BC45" s="4" t="e">
        <f t="shared" si="14"/>
        <v>#DIV/0!</v>
      </c>
      <c r="BD45" s="4">
        <f t="shared" si="15"/>
        <v>0</v>
      </c>
      <c r="BE45" s="12" t="e">
        <f t="shared" si="3"/>
        <v>#DIV/0!</v>
      </c>
      <c r="BF45" s="4" t="e">
        <f t="shared" si="16"/>
        <v>#DIV/0!</v>
      </c>
      <c r="BG45" s="4" t="e">
        <f t="shared" si="17"/>
        <v>#DIV/0!</v>
      </c>
      <c r="BH45" s="4" t="e">
        <f t="shared" si="18"/>
        <v>#DIV/0!</v>
      </c>
      <c r="BI45" s="4">
        <f t="shared" si="19"/>
        <v>0</v>
      </c>
      <c r="BJ45" s="12" t="e">
        <f t="shared" si="4"/>
        <v>#DIV/0!</v>
      </c>
      <c r="BK45" s="12" t="e">
        <f t="shared" si="5"/>
        <v>#DIV/0!</v>
      </c>
      <c r="BL45" s="12" t="e">
        <f>(BE45+BJ45)/2</f>
        <v>#DIV/0!</v>
      </c>
      <c r="BM45" s="10" t="e">
        <f t="shared" si="21"/>
        <v>#DIV/0!</v>
      </c>
      <c r="BN45" s="176" t="e">
        <f t="shared" ref="BN45" si="47">ROUND(BO46,)</f>
        <v>#DIV/0!</v>
      </c>
      <c r="BO45" s="12"/>
      <c r="BP45" s="11" t="e">
        <f t="shared" si="25"/>
        <v>#DIV/0!</v>
      </c>
      <c r="BQ45" s="6"/>
      <c r="BR45" s="6"/>
    </row>
    <row r="46" spans="1:70" ht="20.25" customHeight="1" thickBot="1">
      <c r="A46" s="333"/>
      <c r="B46" s="324"/>
      <c r="C46" s="324"/>
      <c r="D46" s="323"/>
      <c r="E46" s="23">
        <v>2</v>
      </c>
      <c r="F46" s="17"/>
      <c r="G46" s="17"/>
      <c r="H46" s="17"/>
      <c r="I46" s="17"/>
      <c r="J46" s="17"/>
      <c r="K46" s="8" t="e">
        <f t="shared" si="6"/>
        <v>#DIV/0!</v>
      </c>
      <c r="L46" s="17"/>
      <c r="M46" s="17"/>
      <c r="N46" s="17"/>
      <c r="O46" s="17"/>
      <c r="P46" s="17"/>
      <c r="Q46" s="9" t="e">
        <f t="shared" si="23"/>
        <v>#DIV/0!</v>
      </c>
      <c r="R46" s="17"/>
      <c r="S46" s="17"/>
      <c r="T46" s="17"/>
      <c r="U46" s="17"/>
      <c r="V46" s="17"/>
      <c r="W46" s="9" t="e">
        <f t="shared" si="7"/>
        <v>#DIV/0!</v>
      </c>
      <c r="X46" s="233"/>
      <c r="Y46" s="234"/>
      <c r="Z46" s="9" t="str">
        <f t="shared" si="8"/>
        <v>0</v>
      </c>
      <c r="AA46" s="7" t="e">
        <f t="shared" si="0"/>
        <v>#DIV/0!</v>
      </c>
      <c r="AB46" s="365"/>
      <c r="AC46" s="17"/>
      <c r="AD46" s="17"/>
      <c r="AE46" s="17"/>
      <c r="AF46" s="17"/>
      <c r="AG46" s="17"/>
      <c r="AH46" s="9" t="e">
        <f t="shared" si="9"/>
        <v>#DIV/0!</v>
      </c>
      <c r="AI46" s="17"/>
      <c r="AJ46" s="17"/>
      <c r="AK46" s="17"/>
      <c r="AL46" s="17"/>
      <c r="AM46" s="17"/>
      <c r="AN46" s="9" t="e">
        <f t="shared" si="10"/>
        <v>#DIV/0!</v>
      </c>
      <c r="AO46" s="17"/>
      <c r="AP46" s="17"/>
      <c r="AQ46" s="17"/>
      <c r="AR46" s="17"/>
      <c r="AS46" s="17"/>
      <c r="AT46" s="9" t="e">
        <f t="shared" si="11"/>
        <v>#DIV/0!</v>
      </c>
      <c r="AU46" s="208"/>
      <c r="AV46" s="209"/>
      <c r="AW46" s="9" t="str">
        <f t="shared" si="12"/>
        <v>0</v>
      </c>
      <c r="AX46" s="7" t="e">
        <f t="shared" si="1"/>
        <v>#DIV/0!</v>
      </c>
      <c r="AY46" s="18" t="e">
        <f t="shared" si="1"/>
        <v>#DIV/0!</v>
      </c>
      <c r="AZ46" s="232"/>
      <c r="BA46" s="4" t="e">
        <f t="shared" si="2"/>
        <v>#DIV/0!</v>
      </c>
      <c r="BB46" s="4" t="e">
        <f t="shared" si="13"/>
        <v>#DIV/0!</v>
      </c>
      <c r="BC46" s="4" t="e">
        <f t="shared" si="14"/>
        <v>#DIV/0!</v>
      </c>
      <c r="BD46" s="4">
        <f t="shared" si="15"/>
        <v>0</v>
      </c>
      <c r="BE46" s="12" t="e">
        <f t="shared" si="3"/>
        <v>#DIV/0!</v>
      </c>
      <c r="BF46" s="4" t="e">
        <f t="shared" si="16"/>
        <v>#DIV/0!</v>
      </c>
      <c r="BG46" s="4" t="e">
        <f t="shared" si="17"/>
        <v>#DIV/0!</v>
      </c>
      <c r="BH46" s="4" t="e">
        <f t="shared" si="18"/>
        <v>#DIV/0!</v>
      </c>
      <c r="BI46" s="4">
        <f t="shared" si="19"/>
        <v>0</v>
      </c>
      <c r="BJ46" s="12" t="e">
        <f t="shared" si="4"/>
        <v>#DIV/0!</v>
      </c>
      <c r="BK46" s="12" t="e">
        <f t="shared" si="5"/>
        <v>#DIV/0!</v>
      </c>
      <c r="BL46" s="12"/>
      <c r="BM46" s="10"/>
      <c r="BN46" s="176"/>
      <c r="BO46" s="12" t="e">
        <f t="shared" si="20"/>
        <v>#DIV/0!</v>
      </c>
      <c r="BP46" s="11"/>
      <c r="BQ46" s="6"/>
      <c r="BR46" s="6"/>
    </row>
    <row r="47" spans="1:70" ht="20.25" customHeight="1">
      <c r="A47" s="332">
        <v>18</v>
      </c>
      <c r="B47" s="324"/>
      <c r="C47" s="324"/>
      <c r="D47" s="323"/>
      <c r="E47" s="22">
        <v>1</v>
      </c>
      <c r="F47" s="17"/>
      <c r="G47" s="17"/>
      <c r="H47" s="17"/>
      <c r="I47" s="17"/>
      <c r="J47" s="17"/>
      <c r="K47" s="8" t="e">
        <f t="shared" si="6"/>
        <v>#DIV/0!</v>
      </c>
      <c r="L47" s="17"/>
      <c r="M47" s="17"/>
      <c r="N47" s="17"/>
      <c r="O47" s="17"/>
      <c r="P47" s="17"/>
      <c r="Q47" s="9" t="e">
        <f t="shared" si="23"/>
        <v>#DIV/0!</v>
      </c>
      <c r="R47" s="17"/>
      <c r="S47" s="17"/>
      <c r="T47" s="17"/>
      <c r="U47" s="17"/>
      <c r="V47" s="17"/>
      <c r="W47" s="9" t="e">
        <f t="shared" si="7"/>
        <v>#DIV/0!</v>
      </c>
      <c r="X47" s="233"/>
      <c r="Y47" s="234"/>
      <c r="Z47" s="9" t="str">
        <f t="shared" si="8"/>
        <v>0</v>
      </c>
      <c r="AA47" s="7" t="e">
        <f t="shared" si="0"/>
        <v>#DIV/0!</v>
      </c>
      <c r="AB47" s="365"/>
      <c r="AC47" s="17"/>
      <c r="AD47" s="17"/>
      <c r="AE47" s="17"/>
      <c r="AF47" s="17"/>
      <c r="AG47" s="17"/>
      <c r="AH47" s="9" t="e">
        <f t="shared" si="9"/>
        <v>#DIV/0!</v>
      </c>
      <c r="AI47" s="17"/>
      <c r="AJ47" s="17"/>
      <c r="AK47" s="17"/>
      <c r="AL47" s="17"/>
      <c r="AM47" s="17"/>
      <c r="AN47" s="9" t="e">
        <f t="shared" si="10"/>
        <v>#DIV/0!</v>
      </c>
      <c r="AO47" s="17"/>
      <c r="AP47" s="17"/>
      <c r="AQ47" s="17"/>
      <c r="AR47" s="17"/>
      <c r="AS47" s="17"/>
      <c r="AT47" s="9" t="e">
        <f t="shared" si="11"/>
        <v>#DIV/0!</v>
      </c>
      <c r="AU47" s="208"/>
      <c r="AV47" s="209"/>
      <c r="AW47" s="9" t="str">
        <f t="shared" si="12"/>
        <v>0</v>
      </c>
      <c r="AX47" s="7" t="e">
        <f t="shared" si="1"/>
        <v>#DIV/0!</v>
      </c>
      <c r="AY47" s="18" t="e">
        <f t="shared" si="1"/>
        <v>#DIV/0!</v>
      </c>
      <c r="AZ47" s="231" t="e">
        <f t="shared" ref="AZ47" si="48">IF(BP47&gt;=4.5, " 5 ", IF(BP47&gt;=3.5," 4 ",IF(BP47&gt;=2.5," 3  ",IF(BP47&gt;=1.5," 2 ",IF(BP47&gt;=1,"1 ",IF(BP47&gt;=0,"0"))))))</f>
        <v>#DIV/0!</v>
      </c>
      <c r="BA47" s="4" t="e">
        <f t="shared" si="2"/>
        <v>#DIV/0!</v>
      </c>
      <c r="BB47" s="4" t="e">
        <f t="shared" si="13"/>
        <v>#DIV/0!</v>
      </c>
      <c r="BC47" s="4" t="e">
        <f t="shared" si="14"/>
        <v>#DIV/0!</v>
      </c>
      <c r="BD47" s="4">
        <f t="shared" si="15"/>
        <v>0</v>
      </c>
      <c r="BE47" s="12" t="e">
        <f t="shared" si="3"/>
        <v>#DIV/0!</v>
      </c>
      <c r="BF47" s="4" t="e">
        <f t="shared" si="16"/>
        <v>#DIV/0!</v>
      </c>
      <c r="BG47" s="4" t="e">
        <f t="shared" si="17"/>
        <v>#DIV/0!</v>
      </c>
      <c r="BH47" s="4" t="e">
        <f t="shared" si="18"/>
        <v>#DIV/0!</v>
      </c>
      <c r="BI47" s="4">
        <f t="shared" si="19"/>
        <v>0</v>
      </c>
      <c r="BJ47" s="12" t="e">
        <f t="shared" si="4"/>
        <v>#DIV/0!</v>
      </c>
      <c r="BK47" s="12" t="e">
        <f t="shared" si="5"/>
        <v>#DIV/0!</v>
      </c>
      <c r="BL47" s="12" t="e">
        <f>(BE47+BJ47)/2</f>
        <v>#DIV/0!</v>
      </c>
      <c r="BM47" s="10" t="e">
        <f t="shared" si="21"/>
        <v>#DIV/0!</v>
      </c>
      <c r="BN47" s="176" t="e">
        <f t="shared" si="31"/>
        <v>#DIV/0!</v>
      </c>
      <c r="BO47" s="12"/>
      <c r="BP47" s="11" t="e">
        <f t="shared" si="25"/>
        <v>#DIV/0!</v>
      </c>
      <c r="BQ47" s="6"/>
      <c r="BR47" s="6"/>
    </row>
    <row r="48" spans="1:70" ht="20.25" customHeight="1" thickBot="1">
      <c r="A48" s="333"/>
      <c r="B48" s="324"/>
      <c r="C48" s="324"/>
      <c r="D48" s="323"/>
      <c r="E48" s="23">
        <v>2</v>
      </c>
      <c r="F48" s="17"/>
      <c r="G48" s="17"/>
      <c r="H48" s="17"/>
      <c r="I48" s="17"/>
      <c r="J48" s="17"/>
      <c r="K48" s="8" t="e">
        <f t="shared" si="6"/>
        <v>#DIV/0!</v>
      </c>
      <c r="L48" s="17"/>
      <c r="M48" s="17"/>
      <c r="N48" s="17"/>
      <c r="O48" s="17"/>
      <c r="P48" s="17"/>
      <c r="Q48" s="9" t="e">
        <f t="shared" si="23"/>
        <v>#DIV/0!</v>
      </c>
      <c r="R48" s="17"/>
      <c r="S48" s="17"/>
      <c r="T48" s="17"/>
      <c r="U48" s="17"/>
      <c r="V48" s="17"/>
      <c r="W48" s="9" t="e">
        <f t="shared" si="7"/>
        <v>#DIV/0!</v>
      </c>
      <c r="X48" s="233"/>
      <c r="Y48" s="234"/>
      <c r="Z48" s="9" t="str">
        <f t="shared" si="8"/>
        <v>0</v>
      </c>
      <c r="AA48" s="7" t="e">
        <f t="shared" si="0"/>
        <v>#DIV/0!</v>
      </c>
      <c r="AB48" s="365"/>
      <c r="AC48" s="17"/>
      <c r="AD48" s="17"/>
      <c r="AE48" s="17"/>
      <c r="AF48" s="17"/>
      <c r="AG48" s="17"/>
      <c r="AH48" s="9" t="e">
        <f t="shared" si="9"/>
        <v>#DIV/0!</v>
      </c>
      <c r="AI48" s="17"/>
      <c r="AJ48" s="17"/>
      <c r="AK48" s="17"/>
      <c r="AL48" s="17"/>
      <c r="AM48" s="17"/>
      <c r="AN48" s="9" t="e">
        <f t="shared" si="10"/>
        <v>#DIV/0!</v>
      </c>
      <c r="AO48" s="17"/>
      <c r="AP48" s="17"/>
      <c r="AQ48" s="17"/>
      <c r="AR48" s="17"/>
      <c r="AS48" s="17"/>
      <c r="AT48" s="9" t="e">
        <f t="shared" si="11"/>
        <v>#DIV/0!</v>
      </c>
      <c r="AU48" s="208"/>
      <c r="AV48" s="209"/>
      <c r="AW48" s="9" t="str">
        <f t="shared" si="12"/>
        <v>0</v>
      </c>
      <c r="AX48" s="7" t="e">
        <f t="shared" si="1"/>
        <v>#DIV/0!</v>
      </c>
      <c r="AY48" s="18" t="e">
        <f t="shared" si="1"/>
        <v>#DIV/0!</v>
      </c>
      <c r="AZ48" s="232"/>
      <c r="BA48" s="4" t="e">
        <f t="shared" si="2"/>
        <v>#DIV/0!</v>
      </c>
      <c r="BB48" s="4" t="e">
        <f t="shared" si="13"/>
        <v>#DIV/0!</v>
      </c>
      <c r="BC48" s="4" t="e">
        <f t="shared" si="14"/>
        <v>#DIV/0!</v>
      </c>
      <c r="BD48" s="4">
        <f t="shared" si="15"/>
        <v>0</v>
      </c>
      <c r="BE48" s="12" t="e">
        <f t="shared" si="3"/>
        <v>#DIV/0!</v>
      </c>
      <c r="BF48" s="4" t="e">
        <f t="shared" si="16"/>
        <v>#DIV/0!</v>
      </c>
      <c r="BG48" s="4" t="e">
        <f t="shared" si="17"/>
        <v>#DIV/0!</v>
      </c>
      <c r="BH48" s="4" t="e">
        <f t="shared" si="18"/>
        <v>#DIV/0!</v>
      </c>
      <c r="BI48" s="4">
        <f t="shared" si="19"/>
        <v>0</v>
      </c>
      <c r="BJ48" s="12" t="e">
        <f t="shared" si="4"/>
        <v>#DIV/0!</v>
      </c>
      <c r="BK48" s="12" t="e">
        <f t="shared" si="5"/>
        <v>#DIV/0!</v>
      </c>
      <c r="BL48" s="12"/>
      <c r="BM48" s="10"/>
      <c r="BN48" s="176"/>
      <c r="BO48" s="12" t="e">
        <f t="shared" si="20"/>
        <v>#DIV/0!</v>
      </c>
      <c r="BP48" s="11"/>
      <c r="BQ48" s="6"/>
      <c r="BR48" s="6"/>
    </row>
    <row r="49" spans="1:70" ht="20.25" customHeight="1">
      <c r="A49" s="332">
        <v>19</v>
      </c>
      <c r="B49" s="324"/>
      <c r="C49" s="324"/>
      <c r="D49" s="323"/>
      <c r="E49" s="22">
        <v>1</v>
      </c>
      <c r="F49" s="17"/>
      <c r="G49" s="17"/>
      <c r="H49" s="17"/>
      <c r="I49" s="17"/>
      <c r="J49" s="17"/>
      <c r="K49" s="8" t="e">
        <f t="shared" si="6"/>
        <v>#DIV/0!</v>
      </c>
      <c r="L49" s="17"/>
      <c r="M49" s="17"/>
      <c r="N49" s="17"/>
      <c r="O49" s="17"/>
      <c r="P49" s="17"/>
      <c r="Q49" s="9" t="e">
        <f t="shared" si="23"/>
        <v>#DIV/0!</v>
      </c>
      <c r="R49" s="17"/>
      <c r="S49" s="17"/>
      <c r="T49" s="17"/>
      <c r="U49" s="17"/>
      <c r="V49" s="17"/>
      <c r="W49" s="9" t="e">
        <f t="shared" si="7"/>
        <v>#DIV/0!</v>
      </c>
      <c r="X49" s="233"/>
      <c r="Y49" s="234"/>
      <c r="Z49" s="9" t="str">
        <f t="shared" si="8"/>
        <v>0</v>
      </c>
      <c r="AA49" s="7" t="e">
        <f t="shared" si="0"/>
        <v>#DIV/0!</v>
      </c>
      <c r="AB49" s="365"/>
      <c r="AC49" s="17"/>
      <c r="AD49" s="17"/>
      <c r="AE49" s="17"/>
      <c r="AF49" s="17"/>
      <c r="AG49" s="17"/>
      <c r="AH49" s="9" t="e">
        <f t="shared" si="9"/>
        <v>#DIV/0!</v>
      </c>
      <c r="AI49" s="17"/>
      <c r="AJ49" s="17"/>
      <c r="AK49" s="17"/>
      <c r="AL49" s="17"/>
      <c r="AM49" s="17"/>
      <c r="AN49" s="9" t="e">
        <f t="shared" si="10"/>
        <v>#DIV/0!</v>
      </c>
      <c r="AO49" s="17"/>
      <c r="AP49" s="17"/>
      <c r="AQ49" s="17"/>
      <c r="AR49" s="17"/>
      <c r="AS49" s="17"/>
      <c r="AT49" s="9" t="e">
        <f t="shared" si="11"/>
        <v>#DIV/0!</v>
      </c>
      <c r="AU49" s="208"/>
      <c r="AV49" s="209"/>
      <c r="AW49" s="9" t="str">
        <f t="shared" si="12"/>
        <v>0</v>
      </c>
      <c r="AX49" s="7" t="e">
        <f t="shared" si="1"/>
        <v>#DIV/0!</v>
      </c>
      <c r="AY49" s="18" t="e">
        <f t="shared" si="1"/>
        <v>#DIV/0!</v>
      </c>
      <c r="AZ49" s="231" t="e">
        <f t="shared" ref="AZ49" si="49">IF(BP49&gt;=4.5, " 5 ", IF(BP49&gt;=3.5," 4 ",IF(BP49&gt;=2.5," 3  ",IF(BP49&gt;=1.5," 2 ",IF(BP49&gt;=1,"1 ",IF(BP49&gt;=0,"0"))))))</f>
        <v>#DIV/0!</v>
      </c>
      <c r="BA49" s="4" t="e">
        <f t="shared" si="2"/>
        <v>#DIV/0!</v>
      </c>
      <c r="BB49" s="4" t="e">
        <f t="shared" si="13"/>
        <v>#DIV/0!</v>
      </c>
      <c r="BC49" s="4" t="e">
        <f t="shared" si="14"/>
        <v>#DIV/0!</v>
      </c>
      <c r="BD49" s="4">
        <f t="shared" si="15"/>
        <v>0</v>
      </c>
      <c r="BE49" s="12" t="e">
        <f t="shared" si="3"/>
        <v>#DIV/0!</v>
      </c>
      <c r="BF49" s="4" t="e">
        <f t="shared" si="16"/>
        <v>#DIV/0!</v>
      </c>
      <c r="BG49" s="4" t="e">
        <f t="shared" si="17"/>
        <v>#DIV/0!</v>
      </c>
      <c r="BH49" s="4" t="e">
        <f t="shared" si="18"/>
        <v>#DIV/0!</v>
      </c>
      <c r="BI49" s="4">
        <f t="shared" si="19"/>
        <v>0</v>
      </c>
      <c r="BJ49" s="12" t="e">
        <f t="shared" si="4"/>
        <v>#DIV/0!</v>
      </c>
      <c r="BK49" s="12" t="e">
        <f t="shared" si="5"/>
        <v>#DIV/0!</v>
      </c>
      <c r="BL49" s="12" t="e">
        <f>(BE49+BJ49)/2</f>
        <v>#DIV/0!</v>
      </c>
      <c r="BM49" s="10" t="e">
        <f t="shared" si="21"/>
        <v>#DIV/0!</v>
      </c>
      <c r="BN49" s="176" t="e">
        <f t="shared" si="33"/>
        <v>#DIV/0!</v>
      </c>
      <c r="BO49" s="12"/>
      <c r="BP49" s="11" t="e">
        <f t="shared" si="25"/>
        <v>#DIV/0!</v>
      </c>
      <c r="BQ49" s="6"/>
      <c r="BR49" s="6"/>
    </row>
    <row r="50" spans="1:70" ht="20.25" customHeight="1" thickBot="1">
      <c r="A50" s="333"/>
      <c r="B50" s="324"/>
      <c r="C50" s="324"/>
      <c r="D50" s="323"/>
      <c r="E50" s="23">
        <v>2</v>
      </c>
      <c r="F50" s="17"/>
      <c r="G50" s="17"/>
      <c r="H50" s="17"/>
      <c r="I50" s="17"/>
      <c r="J50" s="17"/>
      <c r="K50" s="8" t="e">
        <f t="shared" si="6"/>
        <v>#DIV/0!</v>
      </c>
      <c r="L50" s="17"/>
      <c r="M50" s="17"/>
      <c r="N50" s="17"/>
      <c r="O50" s="17"/>
      <c r="P50" s="17"/>
      <c r="Q50" s="9" t="e">
        <f t="shared" si="23"/>
        <v>#DIV/0!</v>
      </c>
      <c r="R50" s="17"/>
      <c r="S50" s="17"/>
      <c r="T50" s="17"/>
      <c r="U50" s="17"/>
      <c r="V50" s="17"/>
      <c r="W50" s="9" t="e">
        <f t="shared" si="7"/>
        <v>#DIV/0!</v>
      </c>
      <c r="X50" s="233"/>
      <c r="Y50" s="234"/>
      <c r="Z50" s="9" t="str">
        <f t="shared" si="8"/>
        <v>0</v>
      </c>
      <c r="AA50" s="7" t="e">
        <f t="shared" si="0"/>
        <v>#DIV/0!</v>
      </c>
      <c r="AB50" s="365"/>
      <c r="AC50" s="17"/>
      <c r="AD50" s="17"/>
      <c r="AE50" s="17"/>
      <c r="AF50" s="17"/>
      <c r="AG50" s="17"/>
      <c r="AH50" s="9" t="e">
        <f t="shared" si="9"/>
        <v>#DIV/0!</v>
      </c>
      <c r="AI50" s="17"/>
      <c r="AJ50" s="17"/>
      <c r="AK50" s="17"/>
      <c r="AL50" s="17"/>
      <c r="AM50" s="17"/>
      <c r="AN50" s="9" t="e">
        <f t="shared" si="10"/>
        <v>#DIV/0!</v>
      </c>
      <c r="AO50" s="17"/>
      <c r="AP50" s="17"/>
      <c r="AQ50" s="17"/>
      <c r="AR50" s="17"/>
      <c r="AS50" s="17"/>
      <c r="AT50" s="9" t="e">
        <f t="shared" si="11"/>
        <v>#DIV/0!</v>
      </c>
      <c r="AU50" s="208"/>
      <c r="AV50" s="209"/>
      <c r="AW50" s="9" t="str">
        <f t="shared" si="12"/>
        <v>0</v>
      </c>
      <c r="AX50" s="7" t="e">
        <f t="shared" si="1"/>
        <v>#DIV/0!</v>
      </c>
      <c r="AY50" s="18" t="e">
        <f t="shared" si="1"/>
        <v>#DIV/0!</v>
      </c>
      <c r="AZ50" s="232"/>
      <c r="BA50" s="4" t="e">
        <f t="shared" si="2"/>
        <v>#DIV/0!</v>
      </c>
      <c r="BB50" s="4" t="e">
        <f t="shared" si="13"/>
        <v>#DIV/0!</v>
      </c>
      <c r="BC50" s="4" t="e">
        <f t="shared" si="14"/>
        <v>#DIV/0!</v>
      </c>
      <c r="BD50" s="4">
        <f t="shared" si="15"/>
        <v>0</v>
      </c>
      <c r="BE50" s="12" t="e">
        <f t="shared" si="3"/>
        <v>#DIV/0!</v>
      </c>
      <c r="BF50" s="4" t="e">
        <f t="shared" si="16"/>
        <v>#DIV/0!</v>
      </c>
      <c r="BG50" s="4" t="e">
        <f t="shared" si="17"/>
        <v>#DIV/0!</v>
      </c>
      <c r="BH50" s="4" t="e">
        <f t="shared" si="18"/>
        <v>#DIV/0!</v>
      </c>
      <c r="BI50" s="4">
        <f t="shared" si="19"/>
        <v>0</v>
      </c>
      <c r="BJ50" s="12" t="e">
        <f t="shared" si="4"/>
        <v>#DIV/0!</v>
      </c>
      <c r="BK50" s="12" t="e">
        <f t="shared" si="5"/>
        <v>#DIV/0!</v>
      </c>
      <c r="BL50" s="12"/>
      <c r="BM50" s="10"/>
      <c r="BN50" s="176"/>
      <c r="BO50" s="12" t="e">
        <f t="shared" si="20"/>
        <v>#DIV/0!</v>
      </c>
      <c r="BP50" s="11"/>
      <c r="BQ50" s="6"/>
      <c r="BR50" s="6"/>
    </row>
    <row r="51" spans="1:70" ht="20.25" customHeight="1">
      <c r="A51" s="332">
        <v>20</v>
      </c>
      <c r="B51" s="324"/>
      <c r="C51" s="324"/>
      <c r="D51" s="323"/>
      <c r="E51" s="22">
        <v>1</v>
      </c>
      <c r="F51" s="17"/>
      <c r="G51" s="17"/>
      <c r="H51" s="17"/>
      <c r="I51" s="17"/>
      <c r="J51" s="17"/>
      <c r="K51" s="8" t="e">
        <f t="shared" si="6"/>
        <v>#DIV/0!</v>
      </c>
      <c r="L51" s="17"/>
      <c r="M51" s="17"/>
      <c r="N51" s="17"/>
      <c r="O51" s="17"/>
      <c r="P51" s="17"/>
      <c r="Q51" s="9" t="e">
        <f t="shared" si="23"/>
        <v>#DIV/0!</v>
      </c>
      <c r="R51" s="17"/>
      <c r="S51" s="17"/>
      <c r="T51" s="17"/>
      <c r="U51" s="17"/>
      <c r="V51" s="17"/>
      <c r="W51" s="9" t="e">
        <f t="shared" si="7"/>
        <v>#DIV/0!</v>
      </c>
      <c r="X51" s="233"/>
      <c r="Y51" s="234"/>
      <c r="Z51" s="9" t="str">
        <f t="shared" si="8"/>
        <v>0</v>
      </c>
      <c r="AA51" s="7" t="e">
        <f t="shared" si="0"/>
        <v>#DIV/0!</v>
      </c>
      <c r="AB51" s="365"/>
      <c r="AC51" s="17"/>
      <c r="AD51" s="17"/>
      <c r="AE51" s="17"/>
      <c r="AF51" s="17"/>
      <c r="AG51" s="17"/>
      <c r="AH51" s="9" t="e">
        <f t="shared" si="9"/>
        <v>#DIV/0!</v>
      </c>
      <c r="AI51" s="17"/>
      <c r="AJ51" s="17"/>
      <c r="AK51" s="17"/>
      <c r="AL51" s="17"/>
      <c r="AM51" s="17"/>
      <c r="AN51" s="9" t="e">
        <f t="shared" si="10"/>
        <v>#DIV/0!</v>
      </c>
      <c r="AO51" s="17"/>
      <c r="AP51" s="17"/>
      <c r="AQ51" s="17"/>
      <c r="AR51" s="17"/>
      <c r="AS51" s="17"/>
      <c r="AT51" s="9" t="e">
        <f t="shared" si="11"/>
        <v>#DIV/0!</v>
      </c>
      <c r="AU51" s="208"/>
      <c r="AV51" s="209"/>
      <c r="AW51" s="9" t="str">
        <f t="shared" si="12"/>
        <v>0</v>
      </c>
      <c r="AX51" s="7" t="e">
        <f t="shared" si="1"/>
        <v>#DIV/0!</v>
      </c>
      <c r="AY51" s="18" t="e">
        <f t="shared" si="1"/>
        <v>#DIV/0!</v>
      </c>
      <c r="AZ51" s="231" t="e">
        <f t="shared" ref="AZ51" si="50">IF(BP51&gt;=4.5, " 5 ", IF(BP51&gt;=3.5," 4 ",IF(BP51&gt;=2.5," 3  ",IF(BP51&gt;=1.5," 2 ",IF(BP51&gt;=1,"1 ",IF(BP51&gt;=0,"0"))))))</f>
        <v>#DIV/0!</v>
      </c>
      <c r="BA51" s="4" t="e">
        <f t="shared" si="2"/>
        <v>#DIV/0!</v>
      </c>
      <c r="BB51" s="4" t="e">
        <f t="shared" si="13"/>
        <v>#DIV/0!</v>
      </c>
      <c r="BC51" s="4" t="e">
        <f t="shared" si="14"/>
        <v>#DIV/0!</v>
      </c>
      <c r="BD51" s="4">
        <f t="shared" si="15"/>
        <v>0</v>
      </c>
      <c r="BE51" s="12" t="e">
        <f t="shared" si="3"/>
        <v>#DIV/0!</v>
      </c>
      <c r="BF51" s="4" t="e">
        <f t="shared" si="16"/>
        <v>#DIV/0!</v>
      </c>
      <c r="BG51" s="4" t="e">
        <f t="shared" si="17"/>
        <v>#DIV/0!</v>
      </c>
      <c r="BH51" s="4" t="e">
        <f t="shared" si="18"/>
        <v>#DIV/0!</v>
      </c>
      <c r="BI51" s="4">
        <f t="shared" si="19"/>
        <v>0</v>
      </c>
      <c r="BJ51" s="12" t="e">
        <f t="shared" si="4"/>
        <v>#DIV/0!</v>
      </c>
      <c r="BK51" s="12" t="e">
        <f t="shared" si="5"/>
        <v>#DIV/0!</v>
      </c>
      <c r="BL51" s="12" t="e">
        <f>(BE51+BJ51)/2</f>
        <v>#DIV/0!</v>
      </c>
      <c r="BM51" s="10" t="e">
        <f t="shared" si="21"/>
        <v>#DIV/0!</v>
      </c>
      <c r="BN51" s="176" t="e">
        <f t="shared" si="35"/>
        <v>#DIV/0!</v>
      </c>
      <c r="BO51" s="12"/>
      <c r="BP51" s="11" t="e">
        <f t="shared" si="25"/>
        <v>#DIV/0!</v>
      </c>
      <c r="BQ51" s="6"/>
      <c r="BR51" s="6"/>
    </row>
    <row r="52" spans="1:70" ht="20.25" customHeight="1" thickBot="1">
      <c r="A52" s="333"/>
      <c r="B52" s="324"/>
      <c r="C52" s="324"/>
      <c r="D52" s="323"/>
      <c r="E52" s="23">
        <v>2</v>
      </c>
      <c r="F52" s="17"/>
      <c r="G52" s="17"/>
      <c r="H52" s="17"/>
      <c r="I52" s="17"/>
      <c r="J52" s="17"/>
      <c r="K52" s="8" t="e">
        <f t="shared" si="6"/>
        <v>#DIV/0!</v>
      </c>
      <c r="L52" s="17"/>
      <c r="M52" s="17"/>
      <c r="N52" s="17"/>
      <c r="O52" s="17"/>
      <c r="P52" s="17"/>
      <c r="Q52" s="9" t="e">
        <f t="shared" si="23"/>
        <v>#DIV/0!</v>
      </c>
      <c r="R52" s="17"/>
      <c r="S52" s="17"/>
      <c r="T52" s="17"/>
      <c r="U52" s="17"/>
      <c r="V52" s="17"/>
      <c r="W52" s="9" t="e">
        <f t="shared" si="7"/>
        <v>#DIV/0!</v>
      </c>
      <c r="X52" s="233"/>
      <c r="Y52" s="234"/>
      <c r="Z52" s="9" t="str">
        <f t="shared" si="8"/>
        <v>0</v>
      </c>
      <c r="AA52" s="7" t="e">
        <f t="shared" si="0"/>
        <v>#DIV/0!</v>
      </c>
      <c r="AB52" s="365"/>
      <c r="AC52" s="17"/>
      <c r="AD52" s="17"/>
      <c r="AE52" s="17"/>
      <c r="AF52" s="17"/>
      <c r="AG52" s="17"/>
      <c r="AH52" s="9" t="e">
        <f t="shared" si="9"/>
        <v>#DIV/0!</v>
      </c>
      <c r="AI52" s="17"/>
      <c r="AJ52" s="17"/>
      <c r="AK52" s="17"/>
      <c r="AL52" s="17"/>
      <c r="AM52" s="17"/>
      <c r="AN52" s="9" t="e">
        <f t="shared" si="10"/>
        <v>#DIV/0!</v>
      </c>
      <c r="AO52" s="17"/>
      <c r="AP52" s="17"/>
      <c r="AQ52" s="17"/>
      <c r="AR52" s="17"/>
      <c r="AS52" s="17"/>
      <c r="AT52" s="9" t="e">
        <f t="shared" si="11"/>
        <v>#DIV/0!</v>
      </c>
      <c r="AU52" s="208"/>
      <c r="AV52" s="209"/>
      <c r="AW52" s="9" t="str">
        <f t="shared" si="12"/>
        <v>0</v>
      </c>
      <c r="AX52" s="7" t="e">
        <f t="shared" si="1"/>
        <v>#DIV/0!</v>
      </c>
      <c r="AY52" s="18" t="e">
        <f t="shared" si="1"/>
        <v>#DIV/0!</v>
      </c>
      <c r="AZ52" s="232"/>
      <c r="BA52" s="4" t="e">
        <f t="shared" si="2"/>
        <v>#DIV/0!</v>
      </c>
      <c r="BB52" s="4" t="e">
        <f t="shared" si="13"/>
        <v>#DIV/0!</v>
      </c>
      <c r="BC52" s="4" t="e">
        <f t="shared" si="14"/>
        <v>#DIV/0!</v>
      </c>
      <c r="BD52" s="4">
        <f t="shared" si="15"/>
        <v>0</v>
      </c>
      <c r="BE52" s="12" t="e">
        <f t="shared" si="3"/>
        <v>#DIV/0!</v>
      </c>
      <c r="BF52" s="4" t="e">
        <f t="shared" si="16"/>
        <v>#DIV/0!</v>
      </c>
      <c r="BG52" s="4" t="e">
        <f t="shared" si="17"/>
        <v>#DIV/0!</v>
      </c>
      <c r="BH52" s="4" t="e">
        <f t="shared" si="18"/>
        <v>#DIV/0!</v>
      </c>
      <c r="BI52" s="4">
        <f t="shared" si="19"/>
        <v>0</v>
      </c>
      <c r="BJ52" s="12" t="e">
        <f t="shared" si="4"/>
        <v>#DIV/0!</v>
      </c>
      <c r="BK52" s="12" t="e">
        <f t="shared" si="5"/>
        <v>#DIV/0!</v>
      </c>
      <c r="BL52" s="12"/>
      <c r="BM52" s="10"/>
      <c r="BN52" s="176"/>
      <c r="BO52" s="12" t="e">
        <f t="shared" si="20"/>
        <v>#DIV/0!</v>
      </c>
      <c r="BP52" s="11"/>
      <c r="BQ52" s="6"/>
      <c r="BR52" s="6"/>
    </row>
    <row r="53" spans="1:70" ht="20.25" customHeight="1">
      <c r="A53" s="332">
        <v>21</v>
      </c>
      <c r="B53" s="324"/>
      <c r="C53" s="324"/>
      <c r="D53" s="355"/>
      <c r="E53" s="22">
        <v>1</v>
      </c>
      <c r="F53" s="17"/>
      <c r="G53" s="17"/>
      <c r="H53" s="17"/>
      <c r="I53" s="17"/>
      <c r="J53" s="17"/>
      <c r="K53" s="8" t="e">
        <f t="shared" si="6"/>
        <v>#DIV/0!</v>
      </c>
      <c r="L53" s="17"/>
      <c r="M53" s="17"/>
      <c r="N53" s="17"/>
      <c r="O53" s="17"/>
      <c r="P53" s="17"/>
      <c r="Q53" s="9" t="e">
        <f t="shared" si="23"/>
        <v>#DIV/0!</v>
      </c>
      <c r="R53" s="17"/>
      <c r="S53" s="17"/>
      <c r="T53" s="17"/>
      <c r="U53" s="17"/>
      <c r="V53" s="17"/>
      <c r="W53" s="9" t="e">
        <f t="shared" si="7"/>
        <v>#DIV/0!</v>
      </c>
      <c r="X53" s="233"/>
      <c r="Y53" s="234"/>
      <c r="Z53" s="9" t="str">
        <f t="shared" si="8"/>
        <v>0</v>
      </c>
      <c r="AA53" s="7" t="e">
        <f t="shared" si="0"/>
        <v>#DIV/0!</v>
      </c>
      <c r="AB53" s="365"/>
      <c r="AC53" s="17"/>
      <c r="AD53" s="17"/>
      <c r="AE53" s="17"/>
      <c r="AF53" s="17"/>
      <c r="AG53" s="17"/>
      <c r="AH53" s="9" t="e">
        <f t="shared" si="9"/>
        <v>#DIV/0!</v>
      </c>
      <c r="AI53" s="17"/>
      <c r="AJ53" s="17"/>
      <c r="AK53" s="17"/>
      <c r="AL53" s="17"/>
      <c r="AM53" s="17"/>
      <c r="AN53" s="9" t="e">
        <f t="shared" si="10"/>
        <v>#DIV/0!</v>
      </c>
      <c r="AO53" s="17"/>
      <c r="AP53" s="17"/>
      <c r="AQ53" s="17"/>
      <c r="AR53" s="17"/>
      <c r="AS53" s="17"/>
      <c r="AT53" s="9" t="e">
        <f t="shared" si="11"/>
        <v>#DIV/0!</v>
      </c>
      <c r="AU53" s="208"/>
      <c r="AV53" s="209"/>
      <c r="AW53" s="9" t="str">
        <f t="shared" si="12"/>
        <v>0</v>
      </c>
      <c r="AX53" s="7" t="e">
        <f t="shared" si="1"/>
        <v>#DIV/0!</v>
      </c>
      <c r="AY53" s="18" t="e">
        <f t="shared" si="1"/>
        <v>#DIV/0!</v>
      </c>
      <c r="AZ53" s="231" t="e">
        <f t="shared" ref="AZ53" si="51">IF(BP53&gt;=4.5, " 5 ", IF(BP53&gt;=3.5," 4 ",IF(BP53&gt;=2.5," 3  ",IF(BP53&gt;=1.5," 2 ",IF(BP53&gt;=1,"1 ",IF(BP53&gt;=0,"0"))))))</f>
        <v>#DIV/0!</v>
      </c>
      <c r="BA53" s="4" t="e">
        <f t="shared" si="2"/>
        <v>#DIV/0!</v>
      </c>
      <c r="BB53" s="4" t="e">
        <f t="shared" si="13"/>
        <v>#DIV/0!</v>
      </c>
      <c r="BC53" s="4" t="e">
        <f t="shared" si="14"/>
        <v>#DIV/0!</v>
      </c>
      <c r="BD53" s="4">
        <f t="shared" si="15"/>
        <v>0</v>
      </c>
      <c r="BE53" s="12" t="e">
        <f t="shared" si="3"/>
        <v>#DIV/0!</v>
      </c>
      <c r="BF53" s="4" t="e">
        <f t="shared" si="16"/>
        <v>#DIV/0!</v>
      </c>
      <c r="BG53" s="4" t="e">
        <f t="shared" si="17"/>
        <v>#DIV/0!</v>
      </c>
      <c r="BH53" s="4" t="e">
        <f t="shared" si="18"/>
        <v>#DIV/0!</v>
      </c>
      <c r="BI53" s="4">
        <f t="shared" si="19"/>
        <v>0</v>
      </c>
      <c r="BJ53" s="12" t="e">
        <f t="shared" si="4"/>
        <v>#DIV/0!</v>
      </c>
      <c r="BK53" s="12" t="e">
        <f t="shared" si="5"/>
        <v>#DIV/0!</v>
      </c>
      <c r="BL53" s="12" t="e">
        <f>(BE53+BJ53)/2</f>
        <v>#DIV/0!</v>
      </c>
      <c r="BM53" s="10" t="e">
        <f t="shared" si="21"/>
        <v>#DIV/0!</v>
      </c>
      <c r="BN53" s="176" t="e">
        <f t="shared" ref="BN53" si="52">ROUND(BO54,)</f>
        <v>#DIV/0!</v>
      </c>
      <c r="BO53" s="12"/>
      <c r="BP53" s="11" t="e">
        <f t="shared" si="25"/>
        <v>#DIV/0!</v>
      </c>
      <c r="BQ53" s="6"/>
      <c r="BR53" s="6"/>
    </row>
    <row r="54" spans="1:70" ht="20.25" customHeight="1" thickBot="1">
      <c r="A54" s="333"/>
      <c r="B54" s="324"/>
      <c r="C54" s="324"/>
      <c r="D54" s="355"/>
      <c r="E54" s="23">
        <v>2</v>
      </c>
      <c r="F54" s="17"/>
      <c r="G54" s="17"/>
      <c r="H54" s="17"/>
      <c r="I54" s="17"/>
      <c r="J54" s="17"/>
      <c r="K54" s="8" t="e">
        <f t="shared" si="6"/>
        <v>#DIV/0!</v>
      </c>
      <c r="L54" s="17"/>
      <c r="M54" s="17"/>
      <c r="N54" s="17"/>
      <c r="O54" s="17"/>
      <c r="P54" s="17"/>
      <c r="Q54" s="9" t="e">
        <f t="shared" si="23"/>
        <v>#DIV/0!</v>
      </c>
      <c r="R54" s="17"/>
      <c r="S54" s="17"/>
      <c r="T54" s="17"/>
      <c r="U54" s="17"/>
      <c r="V54" s="17"/>
      <c r="W54" s="9" t="e">
        <f t="shared" si="7"/>
        <v>#DIV/0!</v>
      </c>
      <c r="X54" s="233"/>
      <c r="Y54" s="234"/>
      <c r="Z54" s="9" t="str">
        <f t="shared" si="8"/>
        <v>0</v>
      </c>
      <c r="AA54" s="7" t="e">
        <f t="shared" si="0"/>
        <v>#DIV/0!</v>
      </c>
      <c r="AB54" s="365"/>
      <c r="AC54" s="17"/>
      <c r="AD54" s="17"/>
      <c r="AE54" s="17"/>
      <c r="AF54" s="17"/>
      <c r="AG54" s="17"/>
      <c r="AH54" s="9" t="e">
        <f t="shared" si="9"/>
        <v>#DIV/0!</v>
      </c>
      <c r="AI54" s="17"/>
      <c r="AJ54" s="17"/>
      <c r="AK54" s="17"/>
      <c r="AL54" s="17"/>
      <c r="AM54" s="17"/>
      <c r="AN54" s="9" t="e">
        <f t="shared" si="10"/>
        <v>#DIV/0!</v>
      </c>
      <c r="AO54" s="17"/>
      <c r="AP54" s="17"/>
      <c r="AQ54" s="17"/>
      <c r="AR54" s="17"/>
      <c r="AS54" s="17"/>
      <c r="AT54" s="9" t="e">
        <f t="shared" si="11"/>
        <v>#DIV/0!</v>
      </c>
      <c r="AU54" s="208"/>
      <c r="AV54" s="209"/>
      <c r="AW54" s="9" t="str">
        <f t="shared" si="12"/>
        <v>0</v>
      </c>
      <c r="AX54" s="7" t="e">
        <f t="shared" si="1"/>
        <v>#DIV/0!</v>
      </c>
      <c r="AY54" s="18" t="e">
        <f t="shared" si="1"/>
        <v>#DIV/0!</v>
      </c>
      <c r="AZ54" s="232"/>
      <c r="BA54" s="4" t="e">
        <f t="shared" si="2"/>
        <v>#DIV/0!</v>
      </c>
      <c r="BB54" s="4" t="e">
        <f t="shared" si="13"/>
        <v>#DIV/0!</v>
      </c>
      <c r="BC54" s="4" t="e">
        <f t="shared" si="14"/>
        <v>#DIV/0!</v>
      </c>
      <c r="BD54" s="4">
        <f t="shared" si="15"/>
        <v>0</v>
      </c>
      <c r="BE54" s="12" t="e">
        <f t="shared" si="3"/>
        <v>#DIV/0!</v>
      </c>
      <c r="BF54" s="4" t="e">
        <f t="shared" si="16"/>
        <v>#DIV/0!</v>
      </c>
      <c r="BG54" s="4" t="e">
        <f t="shared" si="17"/>
        <v>#DIV/0!</v>
      </c>
      <c r="BH54" s="4" t="e">
        <f t="shared" si="18"/>
        <v>#DIV/0!</v>
      </c>
      <c r="BI54" s="4">
        <f t="shared" si="19"/>
        <v>0</v>
      </c>
      <c r="BJ54" s="12" t="e">
        <f t="shared" si="4"/>
        <v>#DIV/0!</v>
      </c>
      <c r="BK54" s="12" t="e">
        <f t="shared" si="5"/>
        <v>#DIV/0!</v>
      </c>
      <c r="BL54" s="12"/>
      <c r="BM54" s="10"/>
      <c r="BN54" s="176"/>
      <c r="BO54" s="12" t="e">
        <f t="shared" si="20"/>
        <v>#DIV/0!</v>
      </c>
      <c r="BP54" s="11"/>
      <c r="BQ54" s="6"/>
      <c r="BR54" s="6"/>
    </row>
    <row r="55" spans="1:70" ht="20.25" customHeight="1">
      <c r="A55" s="326">
        <v>22</v>
      </c>
      <c r="B55" s="324"/>
      <c r="C55" s="324"/>
      <c r="D55" s="355"/>
      <c r="E55" s="24">
        <v>1</v>
      </c>
      <c r="F55" s="17"/>
      <c r="G55" s="17"/>
      <c r="H55" s="17"/>
      <c r="I55" s="17"/>
      <c r="J55" s="17"/>
      <c r="K55" s="8" t="e">
        <f t="shared" si="6"/>
        <v>#DIV/0!</v>
      </c>
      <c r="L55" s="17"/>
      <c r="M55" s="17"/>
      <c r="N55" s="17"/>
      <c r="O55" s="17"/>
      <c r="P55" s="17"/>
      <c r="Q55" s="9" t="e">
        <f t="shared" si="23"/>
        <v>#DIV/0!</v>
      </c>
      <c r="R55" s="17"/>
      <c r="S55" s="17"/>
      <c r="T55" s="17"/>
      <c r="U55" s="17"/>
      <c r="V55" s="17"/>
      <c r="W55" s="9" t="e">
        <f t="shared" si="7"/>
        <v>#DIV/0!</v>
      </c>
      <c r="X55" s="233"/>
      <c r="Y55" s="234"/>
      <c r="Z55" s="9" t="str">
        <f t="shared" si="8"/>
        <v>0</v>
      </c>
      <c r="AA55" s="7" t="e">
        <f t="shared" si="0"/>
        <v>#DIV/0!</v>
      </c>
      <c r="AB55" s="365"/>
      <c r="AC55" s="17"/>
      <c r="AD55" s="17"/>
      <c r="AE55" s="17"/>
      <c r="AF55" s="17"/>
      <c r="AG55" s="17"/>
      <c r="AH55" s="9" t="e">
        <f t="shared" si="9"/>
        <v>#DIV/0!</v>
      </c>
      <c r="AI55" s="17"/>
      <c r="AJ55" s="17"/>
      <c r="AK55" s="17"/>
      <c r="AL55" s="17"/>
      <c r="AM55" s="17"/>
      <c r="AN55" s="9" t="e">
        <f t="shared" si="10"/>
        <v>#DIV/0!</v>
      </c>
      <c r="AO55" s="17"/>
      <c r="AP55" s="17"/>
      <c r="AQ55" s="17"/>
      <c r="AR55" s="17"/>
      <c r="AS55" s="17"/>
      <c r="AT55" s="9" t="e">
        <f t="shared" si="11"/>
        <v>#DIV/0!</v>
      </c>
      <c r="AU55" s="208"/>
      <c r="AV55" s="209"/>
      <c r="AW55" s="9" t="str">
        <f t="shared" si="12"/>
        <v>0</v>
      </c>
      <c r="AX55" s="7" t="e">
        <f t="shared" si="1"/>
        <v>#DIV/0!</v>
      </c>
      <c r="AY55" s="18" t="e">
        <f t="shared" si="1"/>
        <v>#DIV/0!</v>
      </c>
      <c r="AZ55" s="231" t="e">
        <f t="shared" ref="AZ55" si="53">IF(BP55&gt;=4.5, " 5 ", IF(BP55&gt;=3.5," 4 ",IF(BP55&gt;=2.5," 3  ",IF(BP55&gt;=1.5," 2 ",IF(BP55&gt;=1,"1 ",IF(BP55&gt;=0,"0"))))))</f>
        <v>#DIV/0!</v>
      </c>
      <c r="BA55" s="4" t="e">
        <f t="shared" si="2"/>
        <v>#DIV/0!</v>
      </c>
      <c r="BB55" s="4" t="e">
        <f t="shared" si="13"/>
        <v>#DIV/0!</v>
      </c>
      <c r="BC55" s="4" t="e">
        <f t="shared" si="14"/>
        <v>#DIV/0!</v>
      </c>
      <c r="BD55" s="4">
        <f t="shared" si="15"/>
        <v>0</v>
      </c>
      <c r="BE55" s="12" t="e">
        <f t="shared" si="3"/>
        <v>#DIV/0!</v>
      </c>
      <c r="BF55" s="4" t="e">
        <f t="shared" si="16"/>
        <v>#DIV/0!</v>
      </c>
      <c r="BG55" s="4" t="e">
        <f t="shared" si="17"/>
        <v>#DIV/0!</v>
      </c>
      <c r="BH55" s="4" t="e">
        <f t="shared" si="18"/>
        <v>#DIV/0!</v>
      </c>
      <c r="BI55" s="4">
        <f t="shared" si="19"/>
        <v>0</v>
      </c>
      <c r="BJ55" s="12" t="e">
        <f t="shared" si="4"/>
        <v>#DIV/0!</v>
      </c>
      <c r="BK55" s="12" t="e">
        <f t="shared" si="5"/>
        <v>#DIV/0!</v>
      </c>
      <c r="BL55" s="12" t="e">
        <f>(BE55+BJ55)/2</f>
        <v>#DIV/0!</v>
      </c>
      <c r="BM55" s="10" t="e">
        <f t="shared" si="21"/>
        <v>#DIV/0!</v>
      </c>
      <c r="BN55" s="176" t="e">
        <f t="shared" si="31"/>
        <v>#DIV/0!</v>
      </c>
      <c r="BO55" s="12"/>
      <c r="BP55" s="11" t="e">
        <f t="shared" si="25"/>
        <v>#DIV/0!</v>
      </c>
      <c r="BQ55" s="6"/>
      <c r="BR55" s="6"/>
    </row>
    <row r="56" spans="1:70" ht="20.25" customHeight="1" thickBot="1">
      <c r="A56" s="327"/>
      <c r="B56" s="324"/>
      <c r="C56" s="324"/>
      <c r="D56" s="355"/>
      <c r="E56" s="25">
        <v>2</v>
      </c>
      <c r="F56" s="17"/>
      <c r="G56" s="17"/>
      <c r="H56" s="17"/>
      <c r="I56" s="17"/>
      <c r="J56" s="17"/>
      <c r="K56" s="8" t="e">
        <f t="shared" si="6"/>
        <v>#DIV/0!</v>
      </c>
      <c r="L56" s="17"/>
      <c r="M56" s="17"/>
      <c r="N56" s="17"/>
      <c r="O56" s="17"/>
      <c r="P56" s="17"/>
      <c r="Q56" s="9" t="e">
        <f t="shared" si="23"/>
        <v>#DIV/0!</v>
      </c>
      <c r="R56" s="17"/>
      <c r="S56" s="17"/>
      <c r="T56" s="17"/>
      <c r="U56" s="17"/>
      <c r="V56" s="17"/>
      <c r="W56" s="9" t="e">
        <f t="shared" si="7"/>
        <v>#DIV/0!</v>
      </c>
      <c r="X56" s="233"/>
      <c r="Y56" s="234"/>
      <c r="Z56" s="9" t="str">
        <f t="shared" si="8"/>
        <v>0</v>
      </c>
      <c r="AA56" s="7" t="e">
        <f t="shared" si="0"/>
        <v>#DIV/0!</v>
      </c>
      <c r="AB56" s="365"/>
      <c r="AC56" s="17"/>
      <c r="AD56" s="17"/>
      <c r="AE56" s="17"/>
      <c r="AF56" s="17"/>
      <c r="AG56" s="17"/>
      <c r="AH56" s="9" t="e">
        <f t="shared" si="9"/>
        <v>#DIV/0!</v>
      </c>
      <c r="AI56" s="17"/>
      <c r="AJ56" s="17"/>
      <c r="AK56" s="17"/>
      <c r="AL56" s="17"/>
      <c r="AM56" s="17"/>
      <c r="AN56" s="9" t="e">
        <f t="shared" si="10"/>
        <v>#DIV/0!</v>
      </c>
      <c r="AO56" s="17"/>
      <c r="AP56" s="17"/>
      <c r="AQ56" s="17"/>
      <c r="AR56" s="17"/>
      <c r="AS56" s="17"/>
      <c r="AT56" s="9" t="e">
        <f t="shared" si="11"/>
        <v>#DIV/0!</v>
      </c>
      <c r="AU56" s="208"/>
      <c r="AV56" s="209"/>
      <c r="AW56" s="9" t="str">
        <f t="shared" si="12"/>
        <v>0</v>
      </c>
      <c r="AX56" s="7" t="e">
        <f t="shared" si="1"/>
        <v>#DIV/0!</v>
      </c>
      <c r="AY56" s="18" t="e">
        <f t="shared" si="1"/>
        <v>#DIV/0!</v>
      </c>
      <c r="AZ56" s="232"/>
      <c r="BA56" s="4" t="e">
        <f t="shared" si="2"/>
        <v>#DIV/0!</v>
      </c>
      <c r="BB56" s="4" t="e">
        <f t="shared" si="13"/>
        <v>#DIV/0!</v>
      </c>
      <c r="BC56" s="4" t="e">
        <f t="shared" si="14"/>
        <v>#DIV/0!</v>
      </c>
      <c r="BD56" s="4">
        <f t="shared" si="15"/>
        <v>0</v>
      </c>
      <c r="BE56" s="12" t="e">
        <f t="shared" si="3"/>
        <v>#DIV/0!</v>
      </c>
      <c r="BF56" s="4" t="e">
        <f t="shared" si="16"/>
        <v>#DIV/0!</v>
      </c>
      <c r="BG56" s="4" t="e">
        <f t="shared" si="17"/>
        <v>#DIV/0!</v>
      </c>
      <c r="BH56" s="4" t="e">
        <f t="shared" si="18"/>
        <v>#DIV/0!</v>
      </c>
      <c r="BI56" s="4">
        <f t="shared" si="19"/>
        <v>0</v>
      </c>
      <c r="BJ56" s="12" t="e">
        <f t="shared" si="4"/>
        <v>#DIV/0!</v>
      </c>
      <c r="BK56" s="12" t="e">
        <f t="shared" si="5"/>
        <v>#DIV/0!</v>
      </c>
      <c r="BL56" s="12"/>
      <c r="BM56" s="10"/>
      <c r="BN56" s="176"/>
      <c r="BO56" s="12" t="e">
        <f t="shared" si="20"/>
        <v>#DIV/0!</v>
      </c>
      <c r="BP56" s="11"/>
      <c r="BQ56" s="6"/>
      <c r="BR56" s="6"/>
    </row>
    <row r="57" spans="1:70" ht="20.25" customHeight="1">
      <c r="A57" s="326">
        <v>23</v>
      </c>
      <c r="B57" s="324"/>
      <c r="C57" s="324"/>
      <c r="D57" s="355"/>
      <c r="E57" s="24">
        <v>1</v>
      </c>
      <c r="F57" s="17"/>
      <c r="G57" s="17"/>
      <c r="H57" s="17"/>
      <c r="I57" s="17"/>
      <c r="J57" s="17"/>
      <c r="K57" s="8" t="e">
        <f t="shared" si="6"/>
        <v>#DIV/0!</v>
      </c>
      <c r="L57" s="17"/>
      <c r="M57" s="17"/>
      <c r="N57" s="17"/>
      <c r="O57" s="17"/>
      <c r="P57" s="17"/>
      <c r="Q57" s="9" t="e">
        <f t="shared" si="23"/>
        <v>#DIV/0!</v>
      </c>
      <c r="R57" s="17"/>
      <c r="S57" s="17"/>
      <c r="T57" s="17"/>
      <c r="U57" s="17"/>
      <c r="V57" s="17"/>
      <c r="W57" s="9" t="e">
        <f t="shared" si="7"/>
        <v>#DIV/0!</v>
      </c>
      <c r="X57" s="233"/>
      <c r="Y57" s="234"/>
      <c r="Z57" s="9" t="str">
        <f t="shared" si="8"/>
        <v>0</v>
      </c>
      <c r="AA57" s="7" t="e">
        <f t="shared" si="0"/>
        <v>#DIV/0!</v>
      </c>
      <c r="AB57" s="365"/>
      <c r="AC57" s="17"/>
      <c r="AD57" s="17"/>
      <c r="AE57" s="17"/>
      <c r="AF57" s="17"/>
      <c r="AG57" s="17"/>
      <c r="AH57" s="9" t="e">
        <f t="shared" si="9"/>
        <v>#DIV/0!</v>
      </c>
      <c r="AI57" s="17"/>
      <c r="AJ57" s="17"/>
      <c r="AK57" s="17"/>
      <c r="AL57" s="17"/>
      <c r="AM57" s="17"/>
      <c r="AN57" s="9" t="e">
        <f t="shared" si="10"/>
        <v>#DIV/0!</v>
      </c>
      <c r="AO57" s="17"/>
      <c r="AP57" s="17"/>
      <c r="AQ57" s="17"/>
      <c r="AR57" s="17"/>
      <c r="AS57" s="17"/>
      <c r="AT57" s="9" t="e">
        <f t="shared" si="11"/>
        <v>#DIV/0!</v>
      </c>
      <c r="AU57" s="208"/>
      <c r="AV57" s="209"/>
      <c r="AW57" s="9" t="str">
        <f t="shared" si="12"/>
        <v>0</v>
      </c>
      <c r="AX57" s="7" t="e">
        <f t="shared" si="1"/>
        <v>#DIV/0!</v>
      </c>
      <c r="AY57" s="18" t="e">
        <f t="shared" si="1"/>
        <v>#DIV/0!</v>
      </c>
      <c r="AZ57" s="231" t="e">
        <f t="shared" ref="AZ57" si="54">IF(BP57&gt;=4.5, " 5 ", IF(BP57&gt;=3.5," 4 ",IF(BP57&gt;=2.5," 3  ",IF(BP57&gt;=1.5," 2 ",IF(BP57&gt;=1,"1 ",IF(BP57&gt;=0,"0"))))))</f>
        <v>#DIV/0!</v>
      </c>
      <c r="BA57" s="4" t="e">
        <f t="shared" si="2"/>
        <v>#DIV/0!</v>
      </c>
      <c r="BB57" s="4" t="e">
        <f t="shared" si="13"/>
        <v>#DIV/0!</v>
      </c>
      <c r="BC57" s="4" t="e">
        <f t="shared" si="14"/>
        <v>#DIV/0!</v>
      </c>
      <c r="BD57" s="4">
        <f t="shared" si="15"/>
        <v>0</v>
      </c>
      <c r="BE57" s="12" t="e">
        <f t="shared" si="3"/>
        <v>#DIV/0!</v>
      </c>
      <c r="BF57" s="4" t="e">
        <f t="shared" si="16"/>
        <v>#DIV/0!</v>
      </c>
      <c r="BG57" s="4" t="e">
        <f t="shared" si="17"/>
        <v>#DIV/0!</v>
      </c>
      <c r="BH57" s="4" t="e">
        <f t="shared" si="18"/>
        <v>#DIV/0!</v>
      </c>
      <c r="BI57" s="4">
        <f t="shared" si="19"/>
        <v>0</v>
      </c>
      <c r="BJ57" s="12" t="e">
        <f t="shared" si="4"/>
        <v>#DIV/0!</v>
      </c>
      <c r="BK57" s="12" t="e">
        <f t="shared" si="5"/>
        <v>#DIV/0!</v>
      </c>
      <c r="BL57" s="12" t="e">
        <f>(BE57+BJ57)/2</f>
        <v>#DIV/0!</v>
      </c>
      <c r="BM57" s="10" t="e">
        <f t="shared" si="21"/>
        <v>#DIV/0!</v>
      </c>
      <c r="BN57" s="176" t="e">
        <f t="shared" si="33"/>
        <v>#DIV/0!</v>
      </c>
      <c r="BO57" s="12"/>
      <c r="BP57" s="11" t="e">
        <f t="shared" si="25"/>
        <v>#DIV/0!</v>
      </c>
      <c r="BQ57" s="6"/>
      <c r="BR57" s="6"/>
    </row>
    <row r="58" spans="1:70" ht="20.25" customHeight="1" thickBot="1">
      <c r="A58" s="327"/>
      <c r="B58" s="324"/>
      <c r="C58" s="324"/>
      <c r="D58" s="355"/>
      <c r="E58" s="25">
        <v>2</v>
      </c>
      <c r="F58" s="17"/>
      <c r="G58" s="17"/>
      <c r="H58" s="17"/>
      <c r="I58" s="17"/>
      <c r="J58" s="17"/>
      <c r="K58" s="8" t="e">
        <f t="shared" si="6"/>
        <v>#DIV/0!</v>
      </c>
      <c r="L58" s="17"/>
      <c r="M58" s="17"/>
      <c r="N58" s="17"/>
      <c r="O58" s="17"/>
      <c r="P58" s="17"/>
      <c r="Q58" s="9" t="e">
        <f t="shared" si="23"/>
        <v>#DIV/0!</v>
      </c>
      <c r="R58" s="17"/>
      <c r="S58" s="17"/>
      <c r="T58" s="17"/>
      <c r="U58" s="17"/>
      <c r="V58" s="17"/>
      <c r="W58" s="9" t="e">
        <f t="shared" si="7"/>
        <v>#DIV/0!</v>
      </c>
      <c r="X58" s="233"/>
      <c r="Y58" s="234"/>
      <c r="Z58" s="9" t="str">
        <f t="shared" si="8"/>
        <v>0</v>
      </c>
      <c r="AA58" s="7" t="e">
        <f t="shared" si="0"/>
        <v>#DIV/0!</v>
      </c>
      <c r="AB58" s="365"/>
      <c r="AC58" s="17"/>
      <c r="AD58" s="17"/>
      <c r="AE58" s="17"/>
      <c r="AF58" s="17"/>
      <c r="AG58" s="17"/>
      <c r="AH58" s="9" t="e">
        <f t="shared" si="9"/>
        <v>#DIV/0!</v>
      </c>
      <c r="AI58" s="17"/>
      <c r="AJ58" s="17"/>
      <c r="AK58" s="17"/>
      <c r="AL58" s="17"/>
      <c r="AM58" s="17"/>
      <c r="AN58" s="9" t="e">
        <f t="shared" si="10"/>
        <v>#DIV/0!</v>
      </c>
      <c r="AO58" s="17"/>
      <c r="AP58" s="17"/>
      <c r="AQ58" s="17"/>
      <c r="AR58" s="17"/>
      <c r="AS58" s="17"/>
      <c r="AT58" s="9" t="e">
        <f t="shared" si="11"/>
        <v>#DIV/0!</v>
      </c>
      <c r="AU58" s="208"/>
      <c r="AV58" s="209"/>
      <c r="AW58" s="9" t="str">
        <f t="shared" si="12"/>
        <v>0</v>
      </c>
      <c r="AX58" s="7" t="e">
        <f t="shared" si="1"/>
        <v>#DIV/0!</v>
      </c>
      <c r="AY58" s="18" t="e">
        <f t="shared" si="1"/>
        <v>#DIV/0!</v>
      </c>
      <c r="AZ58" s="232"/>
      <c r="BA58" s="4" t="e">
        <f t="shared" si="2"/>
        <v>#DIV/0!</v>
      </c>
      <c r="BB58" s="4" t="e">
        <f t="shared" si="13"/>
        <v>#DIV/0!</v>
      </c>
      <c r="BC58" s="4" t="e">
        <f t="shared" si="14"/>
        <v>#DIV/0!</v>
      </c>
      <c r="BD58" s="4">
        <f t="shared" si="15"/>
        <v>0</v>
      </c>
      <c r="BE58" s="12" t="e">
        <f t="shared" si="3"/>
        <v>#DIV/0!</v>
      </c>
      <c r="BF58" s="4" t="e">
        <f t="shared" si="16"/>
        <v>#DIV/0!</v>
      </c>
      <c r="BG58" s="4" t="e">
        <f t="shared" si="17"/>
        <v>#DIV/0!</v>
      </c>
      <c r="BH58" s="4" t="e">
        <f t="shared" si="18"/>
        <v>#DIV/0!</v>
      </c>
      <c r="BI58" s="4">
        <f t="shared" si="19"/>
        <v>0</v>
      </c>
      <c r="BJ58" s="12" t="e">
        <f t="shared" si="4"/>
        <v>#DIV/0!</v>
      </c>
      <c r="BK58" s="12" t="e">
        <f t="shared" si="5"/>
        <v>#DIV/0!</v>
      </c>
      <c r="BL58" s="12"/>
      <c r="BM58" s="10"/>
      <c r="BN58" s="176"/>
      <c r="BO58" s="12" t="e">
        <f t="shared" si="20"/>
        <v>#DIV/0!</v>
      </c>
      <c r="BP58" s="11"/>
      <c r="BQ58" s="6"/>
      <c r="BR58" s="6"/>
    </row>
    <row r="59" spans="1:70" ht="20.25" customHeight="1">
      <c r="A59" s="326">
        <v>24</v>
      </c>
      <c r="B59" s="381"/>
      <c r="C59" s="381"/>
      <c r="D59" s="225"/>
      <c r="E59" s="24">
        <v>1</v>
      </c>
      <c r="F59" s="17"/>
      <c r="G59" s="17"/>
      <c r="H59" s="17"/>
      <c r="I59" s="17"/>
      <c r="J59" s="17"/>
      <c r="K59" s="8" t="e">
        <f t="shared" si="6"/>
        <v>#DIV/0!</v>
      </c>
      <c r="L59" s="17"/>
      <c r="M59" s="17"/>
      <c r="N59" s="17"/>
      <c r="O59" s="17"/>
      <c r="P59" s="17"/>
      <c r="Q59" s="9" t="e">
        <f t="shared" si="23"/>
        <v>#DIV/0!</v>
      </c>
      <c r="R59" s="17"/>
      <c r="S59" s="17"/>
      <c r="T59" s="17"/>
      <c r="U59" s="17"/>
      <c r="V59" s="17"/>
      <c r="W59" s="9" t="e">
        <f t="shared" si="7"/>
        <v>#DIV/0!</v>
      </c>
      <c r="X59" s="233"/>
      <c r="Y59" s="234"/>
      <c r="Z59" s="9" t="str">
        <f t="shared" si="8"/>
        <v>0</v>
      </c>
      <c r="AA59" s="7" t="e">
        <f t="shared" si="0"/>
        <v>#DIV/0!</v>
      </c>
      <c r="AB59" s="365"/>
      <c r="AC59" s="17"/>
      <c r="AD59" s="17"/>
      <c r="AE59" s="17"/>
      <c r="AF59" s="17"/>
      <c r="AG59" s="17"/>
      <c r="AH59" s="9" t="e">
        <f t="shared" si="9"/>
        <v>#DIV/0!</v>
      </c>
      <c r="AI59" s="17"/>
      <c r="AJ59" s="17"/>
      <c r="AK59" s="17"/>
      <c r="AL59" s="17"/>
      <c r="AM59" s="17"/>
      <c r="AN59" s="9" t="e">
        <f t="shared" si="10"/>
        <v>#DIV/0!</v>
      </c>
      <c r="AO59" s="17"/>
      <c r="AP59" s="17"/>
      <c r="AQ59" s="17"/>
      <c r="AR59" s="17"/>
      <c r="AS59" s="17"/>
      <c r="AT59" s="9" t="e">
        <f t="shared" si="11"/>
        <v>#DIV/0!</v>
      </c>
      <c r="AU59" s="208"/>
      <c r="AV59" s="209"/>
      <c r="AW59" s="9" t="str">
        <f t="shared" si="12"/>
        <v>0</v>
      </c>
      <c r="AX59" s="7" t="e">
        <f t="shared" si="1"/>
        <v>#DIV/0!</v>
      </c>
      <c r="AY59" s="18" t="e">
        <f t="shared" si="1"/>
        <v>#DIV/0!</v>
      </c>
      <c r="AZ59" s="231" t="e">
        <f t="shared" ref="AZ59" si="55">IF(BP59&gt;=4.5, " 5 ", IF(BP59&gt;=3.5," 4 ",IF(BP59&gt;=2.5," 3  ",IF(BP59&gt;=1.5," 2 ",IF(BP59&gt;=1,"1 ",IF(BP59&gt;=0,"0"))))))</f>
        <v>#DIV/0!</v>
      </c>
      <c r="BA59" s="4" t="e">
        <f t="shared" si="2"/>
        <v>#DIV/0!</v>
      </c>
      <c r="BB59" s="4" t="e">
        <f t="shared" si="13"/>
        <v>#DIV/0!</v>
      </c>
      <c r="BC59" s="4" t="e">
        <f t="shared" si="14"/>
        <v>#DIV/0!</v>
      </c>
      <c r="BD59" s="4">
        <f t="shared" si="15"/>
        <v>0</v>
      </c>
      <c r="BE59" s="12" t="e">
        <f t="shared" si="3"/>
        <v>#DIV/0!</v>
      </c>
      <c r="BF59" s="4" t="e">
        <f t="shared" si="16"/>
        <v>#DIV/0!</v>
      </c>
      <c r="BG59" s="4" t="e">
        <f t="shared" si="17"/>
        <v>#DIV/0!</v>
      </c>
      <c r="BH59" s="4" t="e">
        <f t="shared" si="18"/>
        <v>#DIV/0!</v>
      </c>
      <c r="BI59" s="4">
        <f t="shared" si="19"/>
        <v>0</v>
      </c>
      <c r="BJ59" s="12" t="e">
        <f t="shared" si="4"/>
        <v>#DIV/0!</v>
      </c>
      <c r="BK59" s="12" t="e">
        <f t="shared" si="5"/>
        <v>#DIV/0!</v>
      </c>
      <c r="BL59" s="12" t="e">
        <f>(BE59+BJ59)/2</f>
        <v>#DIV/0!</v>
      </c>
      <c r="BM59" s="10" t="e">
        <f t="shared" si="21"/>
        <v>#DIV/0!</v>
      </c>
      <c r="BN59" s="176" t="e">
        <f t="shared" si="35"/>
        <v>#DIV/0!</v>
      </c>
      <c r="BO59" s="12"/>
      <c r="BP59" s="11" t="e">
        <f t="shared" si="25"/>
        <v>#DIV/0!</v>
      </c>
      <c r="BQ59" s="6"/>
      <c r="BR59" s="6"/>
    </row>
    <row r="60" spans="1:70" ht="20.25" customHeight="1" thickBot="1">
      <c r="A60" s="327"/>
      <c r="B60" s="381"/>
      <c r="C60" s="381"/>
      <c r="D60" s="225"/>
      <c r="E60" s="25">
        <v>2</v>
      </c>
      <c r="F60" s="17"/>
      <c r="G60" s="17"/>
      <c r="H60" s="17"/>
      <c r="I60" s="17"/>
      <c r="J60" s="17"/>
      <c r="K60" s="8" t="e">
        <f t="shared" si="6"/>
        <v>#DIV/0!</v>
      </c>
      <c r="L60" s="17"/>
      <c r="M60" s="17"/>
      <c r="N60" s="17"/>
      <c r="O60" s="17"/>
      <c r="P60" s="17"/>
      <c r="Q60" s="9" t="e">
        <f t="shared" si="23"/>
        <v>#DIV/0!</v>
      </c>
      <c r="R60" s="17"/>
      <c r="S60" s="17"/>
      <c r="T60" s="17"/>
      <c r="U60" s="17"/>
      <c r="V60" s="17"/>
      <c r="W60" s="9" t="e">
        <f t="shared" si="7"/>
        <v>#DIV/0!</v>
      </c>
      <c r="X60" s="233"/>
      <c r="Y60" s="234"/>
      <c r="Z60" s="9" t="str">
        <f t="shared" si="8"/>
        <v>0</v>
      </c>
      <c r="AA60" s="7" t="e">
        <f t="shared" si="0"/>
        <v>#DIV/0!</v>
      </c>
      <c r="AB60" s="365"/>
      <c r="AC60" s="17"/>
      <c r="AD60" s="17"/>
      <c r="AE60" s="17"/>
      <c r="AF60" s="17"/>
      <c r="AG60" s="17"/>
      <c r="AH60" s="9" t="e">
        <f t="shared" si="9"/>
        <v>#DIV/0!</v>
      </c>
      <c r="AI60" s="17"/>
      <c r="AJ60" s="17"/>
      <c r="AK60" s="17"/>
      <c r="AL60" s="17"/>
      <c r="AM60" s="17"/>
      <c r="AN60" s="9" t="e">
        <f t="shared" si="10"/>
        <v>#DIV/0!</v>
      </c>
      <c r="AO60" s="17"/>
      <c r="AP60" s="17"/>
      <c r="AQ60" s="17"/>
      <c r="AR60" s="17"/>
      <c r="AS60" s="17"/>
      <c r="AT60" s="9" t="e">
        <f t="shared" si="11"/>
        <v>#DIV/0!</v>
      </c>
      <c r="AU60" s="208"/>
      <c r="AV60" s="209"/>
      <c r="AW60" s="9" t="str">
        <f t="shared" si="12"/>
        <v>0</v>
      </c>
      <c r="AX60" s="7" t="e">
        <f t="shared" si="1"/>
        <v>#DIV/0!</v>
      </c>
      <c r="AY60" s="18" t="e">
        <f t="shared" si="1"/>
        <v>#DIV/0!</v>
      </c>
      <c r="AZ60" s="232"/>
      <c r="BA60" s="4" t="e">
        <f t="shared" si="2"/>
        <v>#DIV/0!</v>
      </c>
      <c r="BB60" s="4" t="e">
        <f t="shared" si="13"/>
        <v>#DIV/0!</v>
      </c>
      <c r="BC60" s="4" t="e">
        <f t="shared" si="14"/>
        <v>#DIV/0!</v>
      </c>
      <c r="BD60" s="4">
        <f t="shared" si="15"/>
        <v>0</v>
      </c>
      <c r="BE60" s="12" t="e">
        <f t="shared" si="3"/>
        <v>#DIV/0!</v>
      </c>
      <c r="BF60" s="4" t="e">
        <f t="shared" si="16"/>
        <v>#DIV/0!</v>
      </c>
      <c r="BG60" s="4" t="e">
        <f t="shared" si="17"/>
        <v>#DIV/0!</v>
      </c>
      <c r="BH60" s="4" t="e">
        <f t="shared" si="18"/>
        <v>#DIV/0!</v>
      </c>
      <c r="BI60" s="4">
        <f t="shared" si="19"/>
        <v>0</v>
      </c>
      <c r="BJ60" s="12" t="e">
        <f t="shared" si="4"/>
        <v>#DIV/0!</v>
      </c>
      <c r="BK60" s="12" t="e">
        <f t="shared" si="5"/>
        <v>#DIV/0!</v>
      </c>
      <c r="BL60" s="12"/>
      <c r="BM60" s="10"/>
      <c r="BN60" s="176"/>
      <c r="BO60" s="12" t="e">
        <f t="shared" si="20"/>
        <v>#DIV/0!</v>
      </c>
      <c r="BP60" s="11"/>
      <c r="BQ60" s="6"/>
      <c r="BR60" s="6"/>
    </row>
    <row r="61" spans="1:70" ht="20.25" customHeight="1">
      <c r="A61" s="326">
        <v>25</v>
      </c>
      <c r="B61" s="377"/>
      <c r="C61" s="377"/>
      <c r="D61" s="225"/>
      <c r="E61" s="24">
        <v>1</v>
      </c>
      <c r="F61" s="17"/>
      <c r="G61" s="17"/>
      <c r="H61" s="17"/>
      <c r="I61" s="17"/>
      <c r="J61" s="17"/>
      <c r="K61" s="8" t="e">
        <f t="shared" si="6"/>
        <v>#DIV/0!</v>
      </c>
      <c r="L61" s="17"/>
      <c r="M61" s="17"/>
      <c r="N61" s="17"/>
      <c r="O61" s="17"/>
      <c r="P61" s="17"/>
      <c r="Q61" s="9" t="e">
        <f t="shared" si="23"/>
        <v>#DIV/0!</v>
      </c>
      <c r="R61" s="17"/>
      <c r="S61" s="17"/>
      <c r="T61" s="17"/>
      <c r="U61" s="17"/>
      <c r="V61" s="17"/>
      <c r="W61" s="9" t="e">
        <f t="shared" si="7"/>
        <v>#DIV/0!</v>
      </c>
      <c r="X61" s="233"/>
      <c r="Y61" s="234"/>
      <c r="Z61" s="9" t="str">
        <f t="shared" si="8"/>
        <v>0</v>
      </c>
      <c r="AA61" s="7" t="e">
        <f t="shared" si="0"/>
        <v>#DIV/0!</v>
      </c>
      <c r="AB61" s="365"/>
      <c r="AC61" s="17"/>
      <c r="AD61" s="17"/>
      <c r="AE61" s="17"/>
      <c r="AF61" s="17"/>
      <c r="AG61" s="17"/>
      <c r="AH61" s="9" t="e">
        <f t="shared" si="9"/>
        <v>#DIV/0!</v>
      </c>
      <c r="AI61" s="17"/>
      <c r="AJ61" s="17"/>
      <c r="AK61" s="17"/>
      <c r="AL61" s="17"/>
      <c r="AM61" s="17"/>
      <c r="AN61" s="9" t="e">
        <f t="shared" si="10"/>
        <v>#DIV/0!</v>
      </c>
      <c r="AO61" s="17"/>
      <c r="AP61" s="17"/>
      <c r="AQ61" s="17"/>
      <c r="AR61" s="17"/>
      <c r="AS61" s="17"/>
      <c r="AT61" s="9" t="e">
        <f t="shared" si="11"/>
        <v>#DIV/0!</v>
      </c>
      <c r="AU61" s="208"/>
      <c r="AV61" s="209"/>
      <c r="AW61" s="9" t="str">
        <f t="shared" si="12"/>
        <v>0</v>
      </c>
      <c r="AX61" s="7" t="e">
        <f t="shared" si="1"/>
        <v>#DIV/0!</v>
      </c>
      <c r="AY61" s="18" t="e">
        <f t="shared" si="1"/>
        <v>#DIV/0!</v>
      </c>
      <c r="AZ61" s="231" t="e">
        <f t="shared" ref="AZ61" si="56">IF(BP61&gt;=4.5, " 5 ", IF(BP61&gt;=3.5," 4 ",IF(BP61&gt;=2.5," 3  ",IF(BP61&gt;=1.5," 2 ",IF(BP61&gt;=1,"1 ",IF(BP61&gt;=0,"0"))))))</f>
        <v>#DIV/0!</v>
      </c>
      <c r="BA61" s="4" t="e">
        <f t="shared" si="2"/>
        <v>#DIV/0!</v>
      </c>
      <c r="BB61" s="4" t="e">
        <f t="shared" si="13"/>
        <v>#DIV/0!</v>
      </c>
      <c r="BC61" s="4" t="e">
        <f t="shared" si="14"/>
        <v>#DIV/0!</v>
      </c>
      <c r="BD61" s="4">
        <f t="shared" si="15"/>
        <v>0</v>
      </c>
      <c r="BE61" s="12" t="e">
        <f t="shared" si="3"/>
        <v>#DIV/0!</v>
      </c>
      <c r="BF61" s="4" t="e">
        <f t="shared" si="16"/>
        <v>#DIV/0!</v>
      </c>
      <c r="BG61" s="4" t="e">
        <f t="shared" si="17"/>
        <v>#DIV/0!</v>
      </c>
      <c r="BH61" s="4" t="e">
        <f t="shared" si="18"/>
        <v>#DIV/0!</v>
      </c>
      <c r="BI61" s="4">
        <f t="shared" si="19"/>
        <v>0</v>
      </c>
      <c r="BJ61" s="12" t="e">
        <f t="shared" si="4"/>
        <v>#DIV/0!</v>
      </c>
      <c r="BK61" s="12" t="e">
        <f t="shared" si="5"/>
        <v>#DIV/0!</v>
      </c>
      <c r="BL61" s="12" t="e">
        <f>(BE61+BJ61)/2</f>
        <v>#DIV/0!</v>
      </c>
      <c r="BM61" s="10" t="e">
        <f t="shared" si="21"/>
        <v>#DIV/0!</v>
      </c>
      <c r="BN61" s="176" t="e">
        <f t="shared" ref="BN61" si="57">ROUND(BO62,)</f>
        <v>#DIV/0!</v>
      </c>
      <c r="BO61" s="12"/>
      <c r="BP61" s="11" t="e">
        <f t="shared" si="25"/>
        <v>#DIV/0!</v>
      </c>
      <c r="BQ61" s="6"/>
      <c r="BR61" s="6"/>
    </row>
    <row r="62" spans="1:70" ht="17.25" customHeight="1" thickBot="1">
      <c r="A62" s="327"/>
      <c r="B62" s="377"/>
      <c r="C62" s="377"/>
      <c r="D62" s="225"/>
      <c r="E62" s="25">
        <v>2</v>
      </c>
      <c r="F62" s="17"/>
      <c r="G62" s="17"/>
      <c r="H62" s="17"/>
      <c r="I62" s="17"/>
      <c r="J62" s="17"/>
      <c r="K62" s="8" t="e">
        <f t="shared" si="6"/>
        <v>#DIV/0!</v>
      </c>
      <c r="L62" s="17"/>
      <c r="M62" s="17"/>
      <c r="N62" s="17"/>
      <c r="O62" s="17"/>
      <c r="P62" s="17"/>
      <c r="Q62" s="9" t="e">
        <f t="shared" si="23"/>
        <v>#DIV/0!</v>
      </c>
      <c r="R62" s="17"/>
      <c r="S62" s="17"/>
      <c r="T62" s="17"/>
      <c r="U62" s="17"/>
      <c r="V62" s="17"/>
      <c r="W62" s="9" t="e">
        <f t="shared" si="7"/>
        <v>#DIV/0!</v>
      </c>
      <c r="X62" s="233"/>
      <c r="Y62" s="234"/>
      <c r="Z62" s="9" t="str">
        <f t="shared" si="8"/>
        <v>0</v>
      </c>
      <c r="AA62" s="7" t="e">
        <f t="shared" si="0"/>
        <v>#DIV/0!</v>
      </c>
      <c r="AB62" s="365"/>
      <c r="AC62" s="17"/>
      <c r="AD62" s="17"/>
      <c r="AE62" s="17"/>
      <c r="AF62" s="17"/>
      <c r="AG62" s="17"/>
      <c r="AH62" s="9" t="e">
        <f t="shared" si="9"/>
        <v>#DIV/0!</v>
      </c>
      <c r="AI62" s="17"/>
      <c r="AJ62" s="17"/>
      <c r="AK62" s="17"/>
      <c r="AL62" s="17"/>
      <c r="AM62" s="17"/>
      <c r="AN62" s="9" t="e">
        <f t="shared" si="10"/>
        <v>#DIV/0!</v>
      </c>
      <c r="AO62" s="17"/>
      <c r="AP62" s="17"/>
      <c r="AQ62" s="17"/>
      <c r="AR62" s="17"/>
      <c r="AS62" s="17"/>
      <c r="AT62" s="9" t="e">
        <f t="shared" si="11"/>
        <v>#DIV/0!</v>
      </c>
      <c r="AU62" s="208"/>
      <c r="AV62" s="209"/>
      <c r="AW62" s="9" t="str">
        <f t="shared" si="12"/>
        <v>0</v>
      </c>
      <c r="AX62" s="7" t="e">
        <f t="shared" si="1"/>
        <v>#DIV/0!</v>
      </c>
      <c r="AY62" s="18" t="e">
        <f t="shared" si="1"/>
        <v>#DIV/0!</v>
      </c>
      <c r="AZ62" s="232"/>
      <c r="BA62" s="4" t="e">
        <f t="shared" si="2"/>
        <v>#DIV/0!</v>
      </c>
      <c r="BB62" s="4" t="e">
        <f t="shared" si="13"/>
        <v>#DIV/0!</v>
      </c>
      <c r="BC62" s="4" t="e">
        <f t="shared" si="14"/>
        <v>#DIV/0!</v>
      </c>
      <c r="BD62" s="4">
        <f t="shared" si="15"/>
        <v>0</v>
      </c>
      <c r="BE62" s="12" t="e">
        <f t="shared" si="3"/>
        <v>#DIV/0!</v>
      </c>
      <c r="BF62" s="4" t="e">
        <f t="shared" si="16"/>
        <v>#DIV/0!</v>
      </c>
      <c r="BG62" s="4" t="e">
        <f t="shared" si="17"/>
        <v>#DIV/0!</v>
      </c>
      <c r="BH62" s="4" t="e">
        <f t="shared" si="18"/>
        <v>#DIV/0!</v>
      </c>
      <c r="BI62" s="4">
        <f t="shared" si="19"/>
        <v>0</v>
      </c>
      <c r="BJ62" s="12" t="e">
        <f t="shared" si="4"/>
        <v>#DIV/0!</v>
      </c>
      <c r="BK62" s="12" t="e">
        <f t="shared" si="5"/>
        <v>#DIV/0!</v>
      </c>
      <c r="BL62" s="12"/>
      <c r="BM62" s="10"/>
      <c r="BN62" s="176"/>
      <c r="BO62" s="12" t="e">
        <f t="shared" si="20"/>
        <v>#DIV/0!</v>
      </c>
      <c r="BP62" s="11"/>
      <c r="BQ62" s="6"/>
      <c r="BR62" s="6"/>
    </row>
    <row r="63" spans="1:70" ht="21" customHeight="1">
      <c r="A63" s="326">
        <v>26</v>
      </c>
      <c r="B63" s="377"/>
      <c r="C63" s="377"/>
      <c r="D63" s="225"/>
      <c r="E63" s="24">
        <v>1</v>
      </c>
      <c r="F63" s="17"/>
      <c r="G63" s="17"/>
      <c r="H63" s="17"/>
      <c r="I63" s="17"/>
      <c r="J63" s="17"/>
      <c r="K63" s="8" t="e">
        <f t="shared" si="6"/>
        <v>#DIV/0!</v>
      </c>
      <c r="L63" s="17"/>
      <c r="M63" s="17"/>
      <c r="N63" s="17"/>
      <c r="O63" s="17"/>
      <c r="P63" s="17"/>
      <c r="Q63" s="9" t="e">
        <f t="shared" si="23"/>
        <v>#DIV/0!</v>
      </c>
      <c r="R63" s="17"/>
      <c r="S63" s="17"/>
      <c r="T63" s="17"/>
      <c r="U63" s="17"/>
      <c r="V63" s="17"/>
      <c r="W63" s="9" t="e">
        <f t="shared" si="7"/>
        <v>#DIV/0!</v>
      </c>
      <c r="X63" s="233"/>
      <c r="Y63" s="234"/>
      <c r="Z63" s="9" t="str">
        <f t="shared" si="8"/>
        <v>0</v>
      </c>
      <c r="AA63" s="7" t="e">
        <f t="shared" si="0"/>
        <v>#DIV/0!</v>
      </c>
      <c r="AB63" s="365"/>
      <c r="AC63" s="17"/>
      <c r="AD63" s="17"/>
      <c r="AE63" s="17"/>
      <c r="AF63" s="17"/>
      <c r="AG63" s="17"/>
      <c r="AH63" s="9" t="e">
        <f t="shared" si="9"/>
        <v>#DIV/0!</v>
      </c>
      <c r="AI63" s="17"/>
      <c r="AJ63" s="17"/>
      <c r="AK63" s="17"/>
      <c r="AL63" s="17"/>
      <c r="AM63" s="17"/>
      <c r="AN63" s="9" t="e">
        <f t="shared" si="10"/>
        <v>#DIV/0!</v>
      </c>
      <c r="AO63" s="17"/>
      <c r="AP63" s="17"/>
      <c r="AQ63" s="17"/>
      <c r="AR63" s="17"/>
      <c r="AS63" s="17"/>
      <c r="AT63" s="9" t="e">
        <f t="shared" si="11"/>
        <v>#DIV/0!</v>
      </c>
      <c r="AU63" s="208"/>
      <c r="AV63" s="209"/>
      <c r="AW63" s="9" t="str">
        <f t="shared" si="12"/>
        <v>0</v>
      </c>
      <c r="AX63" s="7" t="e">
        <f t="shared" si="1"/>
        <v>#DIV/0!</v>
      </c>
      <c r="AY63" s="18" t="e">
        <f t="shared" si="1"/>
        <v>#DIV/0!</v>
      </c>
      <c r="AZ63" s="231" t="e">
        <f t="shared" ref="AZ63" si="58">IF(BP63&gt;=4.5, " 5 ", IF(BP63&gt;=3.5," 4 ",IF(BP63&gt;=2.5," 3  ",IF(BP63&gt;=1.5," 2 ",IF(BP63&gt;=1,"1 ",IF(BP63&gt;=0,"0"))))))</f>
        <v>#DIV/0!</v>
      </c>
      <c r="BA63" s="4" t="e">
        <f t="shared" si="2"/>
        <v>#DIV/0!</v>
      </c>
      <c r="BB63" s="4" t="e">
        <f t="shared" si="13"/>
        <v>#DIV/0!</v>
      </c>
      <c r="BC63" s="4" t="e">
        <f t="shared" si="14"/>
        <v>#DIV/0!</v>
      </c>
      <c r="BD63" s="4">
        <f t="shared" si="15"/>
        <v>0</v>
      </c>
      <c r="BE63" s="12" t="e">
        <f t="shared" si="3"/>
        <v>#DIV/0!</v>
      </c>
      <c r="BF63" s="4" t="e">
        <f t="shared" si="16"/>
        <v>#DIV/0!</v>
      </c>
      <c r="BG63" s="4" t="e">
        <f t="shared" si="17"/>
        <v>#DIV/0!</v>
      </c>
      <c r="BH63" s="4" t="e">
        <f t="shared" si="18"/>
        <v>#DIV/0!</v>
      </c>
      <c r="BI63" s="4">
        <f t="shared" si="19"/>
        <v>0</v>
      </c>
      <c r="BJ63" s="12" t="e">
        <f t="shared" si="4"/>
        <v>#DIV/0!</v>
      </c>
      <c r="BK63" s="12" t="e">
        <f t="shared" si="5"/>
        <v>#DIV/0!</v>
      </c>
      <c r="BL63" s="12" t="e">
        <f>(BE63+BJ63)/2</f>
        <v>#DIV/0!</v>
      </c>
      <c r="BM63" s="10" t="e">
        <f t="shared" si="21"/>
        <v>#DIV/0!</v>
      </c>
      <c r="BN63" s="176" t="e">
        <f t="shared" si="31"/>
        <v>#DIV/0!</v>
      </c>
      <c r="BO63" s="12"/>
      <c r="BP63" s="11" t="e">
        <f t="shared" si="25"/>
        <v>#DIV/0!</v>
      </c>
      <c r="BQ63" s="6"/>
      <c r="BR63" s="6"/>
    </row>
    <row r="64" spans="1:70" ht="18" customHeight="1" thickBot="1">
      <c r="A64" s="327"/>
      <c r="B64" s="377"/>
      <c r="C64" s="377"/>
      <c r="D64" s="225"/>
      <c r="E64" s="25">
        <v>2</v>
      </c>
      <c r="F64" s="17"/>
      <c r="G64" s="17"/>
      <c r="H64" s="17"/>
      <c r="I64" s="17"/>
      <c r="J64" s="17"/>
      <c r="K64" s="8" t="e">
        <f t="shared" si="6"/>
        <v>#DIV/0!</v>
      </c>
      <c r="L64" s="17"/>
      <c r="M64" s="17"/>
      <c r="N64" s="17"/>
      <c r="O64" s="17"/>
      <c r="P64" s="17"/>
      <c r="Q64" s="9" t="e">
        <f t="shared" si="23"/>
        <v>#DIV/0!</v>
      </c>
      <c r="R64" s="17"/>
      <c r="S64" s="17"/>
      <c r="T64" s="17"/>
      <c r="U64" s="17"/>
      <c r="V64" s="17"/>
      <c r="W64" s="9" t="e">
        <f t="shared" si="7"/>
        <v>#DIV/0!</v>
      </c>
      <c r="X64" s="233"/>
      <c r="Y64" s="234"/>
      <c r="Z64" s="9" t="str">
        <f t="shared" si="8"/>
        <v>0</v>
      </c>
      <c r="AA64" s="7" t="e">
        <f t="shared" si="0"/>
        <v>#DIV/0!</v>
      </c>
      <c r="AB64" s="365"/>
      <c r="AC64" s="17"/>
      <c r="AD64" s="17"/>
      <c r="AE64" s="17"/>
      <c r="AF64" s="17"/>
      <c r="AG64" s="17"/>
      <c r="AH64" s="9" t="e">
        <f t="shared" si="9"/>
        <v>#DIV/0!</v>
      </c>
      <c r="AI64" s="17"/>
      <c r="AJ64" s="17"/>
      <c r="AK64" s="17"/>
      <c r="AL64" s="17"/>
      <c r="AM64" s="17"/>
      <c r="AN64" s="9" t="e">
        <f t="shared" si="10"/>
        <v>#DIV/0!</v>
      </c>
      <c r="AO64" s="17"/>
      <c r="AP64" s="17"/>
      <c r="AQ64" s="17"/>
      <c r="AR64" s="17"/>
      <c r="AS64" s="17"/>
      <c r="AT64" s="9" t="e">
        <f t="shared" si="11"/>
        <v>#DIV/0!</v>
      </c>
      <c r="AU64" s="208"/>
      <c r="AV64" s="209"/>
      <c r="AW64" s="9" t="str">
        <f t="shared" si="12"/>
        <v>0</v>
      </c>
      <c r="AX64" s="7" t="e">
        <f t="shared" si="1"/>
        <v>#DIV/0!</v>
      </c>
      <c r="AY64" s="18" t="e">
        <f t="shared" si="1"/>
        <v>#DIV/0!</v>
      </c>
      <c r="AZ64" s="232"/>
      <c r="BA64" s="4" t="e">
        <f t="shared" si="2"/>
        <v>#DIV/0!</v>
      </c>
      <c r="BB64" s="4" t="e">
        <f t="shared" si="13"/>
        <v>#DIV/0!</v>
      </c>
      <c r="BC64" s="4" t="e">
        <f t="shared" si="14"/>
        <v>#DIV/0!</v>
      </c>
      <c r="BD64" s="4">
        <f t="shared" si="15"/>
        <v>0</v>
      </c>
      <c r="BE64" s="12" t="e">
        <f t="shared" si="3"/>
        <v>#DIV/0!</v>
      </c>
      <c r="BF64" s="4" t="e">
        <f t="shared" si="16"/>
        <v>#DIV/0!</v>
      </c>
      <c r="BG64" s="4" t="e">
        <f t="shared" si="17"/>
        <v>#DIV/0!</v>
      </c>
      <c r="BH64" s="4" t="e">
        <f t="shared" si="18"/>
        <v>#DIV/0!</v>
      </c>
      <c r="BI64" s="4">
        <f t="shared" si="19"/>
        <v>0</v>
      </c>
      <c r="BJ64" s="12" t="e">
        <f t="shared" si="4"/>
        <v>#DIV/0!</v>
      </c>
      <c r="BK64" s="12" t="e">
        <f t="shared" si="5"/>
        <v>#DIV/0!</v>
      </c>
      <c r="BL64" s="12"/>
      <c r="BM64" s="10"/>
      <c r="BN64" s="176"/>
      <c r="BO64" s="12" t="e">
        <f t="shared" si="20"/>
        <v>#DIV/0!</v>
      </c>
      <c r="BP64" s="11"/>
      <c r="BQ64" s="6"/>
      <c r="BR64" s="6"/>
    </row>
    <row r="65" spans="1:70" ht="18" customHeight="1">
      <c r="A65" s="326">
        <v>27</v>
      </c>
      <c r="B65" s="328"/>
      <c r="C65" s="329"/>
      <c r="D65" s="225"/>
      <c r="E65" s="24">
        <v>1</v>
      </c>
      <c r="F65" s="17"/>
      <c r="G65" s="17"/>
      <c r="H65" s="17"/>
      <c r="I65" s="17"/>
      <c r="J65" s="17"/>
      <c r="K65" s="8" t="e">
        <f t="shared" si="6"/>
        <v>#DIV/0!</v>
      </c>
      <c r="L65" s="17"/>
      <c r="M65" s="17"/>
      <c r="N65" s="17"/>
      <c r="O65" s="17"/>
      <c r="P65" s="17"/>
      <c r="Q65" s="9" t="e">
        <f t="shared" si="23"/>
        <v>#DIV/0!</v>
      </c>
      <c r="R65" s="17"/>
      <c r="S65" s="17"/>
      <c r="T65" s="17"/>
      <c r="U65" s="17"/>
      <c r="V65" s="17"/>
      <c r="W65" s="9" t="e">
        <f t="shared" si="7"/>
        <v>#DIV/0!</v>
      </c>
      <c r="X65" s="233"/>
      <c r="Y65" s="234"/>
      <c r="Z65" s="9" t="str">
        <f t="shared" si="8"/>
        <v>0</v>
      </c>
      <c r="AA65" s="7" t="e">
        <f t="shared" si="0"/>
        <v>#DIV/0!</v>
      </c>
      <c r="AB65" s="365"/>
      <c r="AC65" s="17"/>
      <c r="AD65" s="17"/>
      <c r="AE65" s="17"/>
      <c r="AF65" s="17"/>
      <c r="AG65" s="17"/>
      <c r="AH65" s="9" t="e">
        <f t="shared" si="9"/>
        <v>#DIV/0!</v>
      </c>
      <c r="AI65" s="17"/>
      <c r="AJ65" s="17"/>
      <c r="AK65" s="17"/>
      <c r="AL65" s="17"/>
      <c r="AM65" s="17"/>
      <c r="AN65" s="9" t="e">
        <f t="shared" si="10"/>
        <v>#DIV/0!</v>
      </c>
      <c r="AO65" s="17"/>
      <c r="AP65" s="17"/>
      <c r="AQ65" s="17"/>
      <c r="AR65" s="17"/>
      <c r="AS65" s="17"/>
      <c r="AT65" s="9" t="e">
        <f t="shared" si="11"/>
        <v>#DIV/0!</v>
      </c>
      <c r="AU65" s="208"/>
      <c r="AV65" s="209"/>
      <c r="AW65" s="9" t="str">
        <f t="shared" si="12"/>
        <v>0</v>
      </c>
      <c r="AX65" s="7" t="e">
        <f t="shared" si="1"/>
        <v>#DIV/0!</v>
      </c>
      <c r="AY65" s="18" t="e">
        <f t="shared" si="1"/>
        <v>#DIV/0!</v>
      </c>
      <c r="AZ65" s="231" t="e">
        <f t="shared" ref="AZ65" si="59">IF(BP65&gt;=4.5, " 5 ", IF(BP65&gt;=3.5," 4 ",IF(BP65&gt;=2.5," 3  ",IF(BP65&gt;=1.5," 2 ",IF(BP65&gt;=1,"1 ",IF(BP65&gt;=0,"0"))))))</f>
        <v>#DIV/0!</v>
      </c>
      <c r="BA65" s="4" t="e">
        <f t="shared" si="2"/>
        <v>#DIV/0!</v>
      </c>
      <c r="BB65" s="4" t="e">
        <f t="shared" si="13"/>
        <v>#DIV/0!</v>
      </c>
      <c r="BC65" s="4" t="e">
        <f t="shared" si="14"/>
        <v>#DIV/0!</v>
      </c>
      <c r="BD65" s="4">
        <f t="shared" si="15"/>
        <v>0</v>
      </c>
      <c r="BE65" s="12" t="e">
        <f t="shared" si="3"/>
        <v>#DIV/0!</v>
      </c>
      <c r="BF65" s="4" t="e">
        <f t="shared" si="16"/>
        <v>#DIV/0!</v>
      </c>
      <c r="BG65" s="4" t="e">
        <f t="shared" si="17"/>
        <v>#DIV/0!</v>
      </c>
      <c r="BH65" s="4" t="e">
        <f t="shared" si="18"/>
        <v>#DIV/0!</v>
      </c>
      <c r="BI65" s="4">
        <f t="shared" si="19"/>
        <v>0</v>
      </c>
      <c r="BJ65" s="12" t="e">
        <f t="shared" si="4"/>
        <v>#DIV/0!</v>
      </c>
      <c r="BK65" s="12" t="e">
        <f t="shared" si="5"/>
        <v>#DIV/0!</v>
      </c>
      <c r="BL65" s="12" t="e">
        <f>(BE65+BJ65)/2</f>
        <v>#DIV/0!</v>
      </c>
      <c r="BM65" s="10" t="e">
        <f t="shared" si="21"/>
        <v>#DIV/0!</v>
      </c>
      <c r="BN65" s="176" t="e">
        <f t="shared" si="33"/>
        <v>#DIV/0!</v>
      </c>
      <c r="BO65" s="12"/>
      <c r="BP65" s="11" t="e">
        <f t="shared" si="25"/>
        <v>#DIV/0!</v>
      </c>
      <c r="BQ65" s="6"/>
      <c r="BR65" s="6"/>
    </row>
    <row r="66" spans="1:70" ht="18" customHeight="1" thickBot="1">
      <c r="A66" s="327"/>
      <c r="B66" s="330"/>
      <c r="C66" s="331"/>
      <c r="D66" s="225"/>
      <c r="E66" s="26">
        <v>2</v>
      </c>
      <c r="F66" s="17"/>
      <c r="G66" s="17"/>
      <c r="H66" s="17"/>
      <c r="I66" s="17"/>
      <c r="J66" s="17"/>
      <c r="K66" s="8" t="e">
        <f t="shared" si="6"/>
        <v>#DIV/0!</v>
      </c>
      <c r="L66" s="17"/>
      <c r="M66" s="17"/>
      <c r="N66" s="17"/>
      <c r="O66" s="17"/>
      <c r="P66" s="17"/>
      <c r="Q66" s="9" t="e">
        <f t="shared" si="23"/>
        <v>#DIV/0!</v>
      </c>
      <c r="R66" s="17"/>
      <c r="S66" s="17"/>
      <c r="T66" s="17"/>
      <c r="U66" s="17"/>
      <c r="V66" s="17"/>
      <c r="W66" s="9" t="e">
        <f t="shared" si="7"/>
        <v>#DIV/0!</v>
      </c>
      <c r="X66" s="233"/>
      <c r="Y66" s="234"/>
      <c r="Z66" s="9" t="str">
        <f t="shared" si="8"/>
        <v>0</v>
      </c>
      <c r="AA66" s="7" t="e">
        <f t="shared" si="0"/>
        <v>#DIV/0!</v>
      </c>
      <c r="AB66" s="365"/>
      <c r="AC66" s="17"/>
      <c r="AD66" s="17"/>
      <c r="AE66" s="17"/>
      <c r="AF66" s="17"/>
      <c r="AG66" s="17"/>
      <c r="AH66" s="9" t="e">
        <f t="shared" si="9"/>
        <v>#DIV/0!</v>
      </c>
      <c r="AI66" s="17"/>
      <c r="AJ66" s="17"/>
      <c r="AK66" s="17"/>
      <c r="AL66" s="17"/>
      <c r="AM66" s="17"/>
      <c r="AN66" s="9" t="e">
        <f t="shared" si="10"/>
        <v>#DIV/0!</v>
      </c>
      <c r="AO66" s="17"/>
      <c r="AP66" s="17"/>
      <c r="AQ66" s="17"/>
      <c r="AR66" s="17"/>
      <c r="AS66" s="17"/>
      <c r="AT66" s="9" t="e">
        <f t="shared" si="11"/>
        <v>#DIV/0!</v>
      </c>
      <c r="AU66" s="208"/>
      <c r="AV66" s="209"/>
      <c r="AW66" s="9" t="str">
        <f t="shared" si="12"/>
        <v>0</v>
      </c>
      <c r="AX66" s="7" t="e">
        <f t="shared" si="1"/>
        <v>#DIV/0!</v>
      </c>
      <c r="AY66" s="18" t="e">
        <f t="shared" si="1"/>
        <v>#DIV/0!</v>
      </c>
      <c r="AZ66" s="232"/>
      <c r="BA66" s="4" t="e">
        <f t="shared" si="2"/>
        <v>#DIV/0!</v>
      </c>
      <c r="BB66" s="4" t="e">
        <f t="shared" si="13"/>
        <v>#DIV/0!</v>
      </c>
      <c r="BC66" s="4" t="e">
        <f t="shared" si="14"/>
        <v>#DIV/0!</v>
      </c>
      <c r="BD66" s="4">
        <f t="shared" si="15"/>
        <v>0</v>
      </c>
      <c r="BE66" s="12" t="e">
        <f t="shared" si="3"/>
        <v>#DIV/0!</v>
      </c>
      <c r="BF66" s="4" t="e">
        <f t="shared" si="16"/>
        <v>#DIV/0!</v>
      </c>
      <c r="BG66" s="4" t="e">
        <f t="shared" si="17"/>
        <v>#DIV/0!</v>
      </c>
      <c r="BH66" s="4" t="e">
        <f t="shared" si="18"/>
        <v>#DIV/0!</v>
      </c>
      <c r="BI66" s="4">
        <f t="shared" si="19"/>
        <v>0</v>
      </c>
      <c r="BJ66" s="12" t="e">
        <f t="shared" si="4"/>
        <v>#DIV/0!</v>
      </c>
      <c r="BK66" s="12" t="e">
        <f t="shared" si="5"/>
        <v>#DIV/0!</v>
      </c>
      <c r="BL66" s="12"/>
      <c r="BM66" s="10"/>
      <c r="BN66" s="176"/>
      <c r="BO66" s="12" t="e">
        <f t="shared" si="20"/>
        <v>#DIV/0!</v>
      </c>
      <c r="BP66" s="11"/>
      <c r="BQ66" s="6"/>
      <c r="BR66" s="6"/>
    </row>
    <row r="67" spans="1:70" ht="18.75" customHeight="1">
      <c r="A67" s="326">
        <v>28</v>
      </c>
      <c r="B67" s="328"/>
      <c r="C67" s="329"/>
      <c r="D67" s="225"/>
      <c r="E67" s="27">
        <v>1</v>
      </c>
      <c r="F67" s="17"/>
      <c r="G67" s="17"/>
      <c r="H67" s="17"/>
      <c r="I67" s="17"/>
      <c r="J67" s="17"/>
      <c r="K67" s="8" t="e">
        <f t="shared" si="6"/>
        <v>#DIV/0!</v>
      </c>
      <c r="L67" s="17"/>
      <c r="M67" s="17"/>
      <c r="N67" s="17"/>
      <c r="O67" s="17"/>
      <c r="P67" s="17"/>
      <c r="Q67" s="9" t="e">
        <f t="shared" si="23"/>
        <v>#DIV/0!</v>
      </c>
      <c r="R67" s="17"/>
      <c r="S67" s="17"/>
      <c r="T67" s="17"/>
      <c r="U67" s="17"/>
      <c r="V67" s="17"/>
      <c r="W67" s="9" t="e">
        <f t="shared" si="7"/>
        <v>#DIV/0!</v>
      </c>
      <c r="X67" s="233"/>
      <c r="Y67" s="234"/>
      <c r="Z67" s="9" t="str">
        <f t="shared" si="8"/>
        <v>0</v>
      </c>
      <c r="AA67" s="7" t="e">
        <f t="shared" si="0"/>
        <v>#DIV/0!</v>
      </c>
      <c r="AB67" s="365"/>
      <c r="AC67" s="17"/>
      <c r="AD67" s="17"/>
      <c r="AE67" s="17"/>
      <c r="AF67" s="17"/>
      <c r="AG67" s="17"/>
      <c r="AH67" s="9" t="e">
        <f t="shared" si="9"/>
        <v>#DIV/0!</v>
      </c>
      <c r="AI67" s="17"/>
      <c r="AJ67" s="17"/>
      <c r="AK67" s="17"/>
      <c r="AL67" s="17"/>
      <c r="AM67" s="17"/>
      <c r="AN67" s="9" t="e">
        <f t="shared" si="10"/>
        <v>#DIV/0!</v>
      </c>
      <c r="AO67" s="17"/>
      <c r="AP67" s="17"/>
      <c r="AQ67" s="17"/>
      <c r="AR67" s="17"/>
      <c r="AS67" s="17"/>
      <c r="AT67" s="9" t="e">
        <f t="shared" si="11"/>
        <v>#DIV/0!</v>
      </c>
      <c r="AU67" s="208"/>
      <c r="AV67" s="209"/>
      <c r="AW67" s="9" t="str">
        <f t="shared" si="12"/>
        <v>0</v>
      </c>
      <c r="AX67" s="7" t="e">
        <f t="shared" si="1"/>
        <v>#DIV/0!</v>
      </c>
      <c r="AY67" s="18" t="e">
        <f t="shared" si="1"/>
        <v>#DIV/0!</v>
      </c>
      <c r="AZ67" s="231" t="e">
        <f t="shared" ref="AZ67" si="60">IF(BP67&gt;=4.5, " 5 ", IF(BP67&gt;=3.5," 4 ",IF(BP67&gt;=2.5," 3  ",IF(BP67&gt;=1.5," 2 ",IF(BP67&gt;=1,"1 ",IF(BP67&gt;=0,"0"))))))</f>
        <v>#DIV/0!</v>
      </c>
      <c r="BA67" s="4" t="e">
        <f t="shared" si="2"/>
        <v>#DIV/0!</v>
      </c>
      <c r="BB67" s="4" t="e">
        <f t="shared" si="13"/>
        <v>#DIV/0!</v>
      </c>
      <c r="BC67" s="4" t="e">
        <f t="shared" si="14"/>
        <v>#DIV/0!</v>
      </c>
      <c r="BD67" s="4">
        <f t="shared" si="15"/>
        <v>0</v>
      </c>
      <c r="BE67" s="12" t="e">
        <f t="shared" si="3"/>
        <v>#DIV/0!</v>
      </c>
      <c r="BF67" s="4" t="e">
        <f t="shared" si="16"/>
        <v>#DIV/0!</v>
      </c>
      <c r="BG67" s="4" t="e">
        <f t="shared" si="17"/>
        <v>#DIV/0!</v>
      </c>
      <c r="BH67" s="4" t="e">
        <f t="shared" si="18"/>
        <v>#DIV/0!</v>
      </c>
      <c r="BI67" s="4">
        <f t="shared" si="19"/>
        <v>0</v>
      </c>
      <c r="BJ67" s="12" t="e">
        <f t="shared" si="4"/>
        <v>#DIV/0!</v>
      </c>
      <c r="BK67" s="12" t="e">
        <f t="shared" si="5"/>
        <v>#DIV/0!</v>
      </c>
      <c r="BL67" s="12" t="e">
        <f>(BE67+BJ67)/2</f>
        <v>#DIV/0!</v>
      </c>
      <c r="BM67" s="10" t="e">
        <f t="shared" si="21"/>
        <v>#DIV/0!</v>
      </c>
      <c r="BN67" s="176" t="e">
        <f t="shared" si="35"/>
        <v>#DIV/0!</v>
      </c>
      <c r="BO67" s="12"/>
      <c r="BP67" s="11" t="e">
        <f t="shared" si="25"/>
        <v>#DIV/0!</v>
      </c>
      <c r="BQ67" s="6"/>
      <c r="BR67" s="6"/>
    </row>
    <row r="68" spans="1:70" ht="19.5" customHeight="1" thickBot="1">
      <c r="A68" s="327"/>
      <c r="B68" s="330"/>
      <c r="C68" s="331"/>
      <c r="D68" s="225"/>
      <c r="E68" s="28">
        <v>2</v>
      </c>
      <c r="F68" s="17"/>
      <c r="G68" s="17"/>
      <c r="H68" s="17"/>
      <c r="I68" s="17"/>
      <c r="J68" s="17"/>
      <c r="K68" s="8" t="e">
        <f t="shared" si="6"/>
        <v>#DIV/0!</v>
      </c>
      <c r="L68" s="17"/>
      <c r="M68" s="17"/>
      <c r="N68" s="17"/>
      <c r="O68" s="17"/>
      <c r="P68" s="17"/>
      <c r="Q68" s="9" t="e">
        <f t="shared" si="23"/>
        <v>#DIV/0!</v>
      </c>
      <c r="R68" s="17"/>
      <c r="S68" s="17"/>
      <c r="T68" s="17"/>
      <c r="U68" s="17"/>
      <c r="V68" s="17"/>
      <c r="W68" s="9" t="e">
        <f t="shared" si="7"/>
        <v>#DIV/0!</v>
      </c>
      <c r="X68" s="233"/>
      <c r="Y68" s="234"/>
      <c r="Z68" s="9" t="str">
        <f t="shared" si="8"/>
        <v>0</v>
      </c>
      <c r="AA68" s="7" t="e">
        <f t="shared" si="0"/>
        <v>#DIV/0!</v>
      </c>
      <c r="AB68" s="365"/>
      <c r="AC68" s="17"/>
      <c r="AD68" s="17"/>
      <c r="AE68" s="17"/>
      <c r="AF68" s="17"/>
      <c r="AG68" s="17"/>
      <c r="AH68" s="9" t="e">
        <f t="shared" si="9"/>
        <v>#DIV/0!</v>
      </c>
      <c r="AI68" s="17"/>
      <c r="AJ68" s="17"/>
      <c r="AK68" s="17"/>
      <c r="AL68" s="17"/>
      <c r="AM68" s="17"/>
      <c r="AN68" s="9" t="e">
        <f t="shared" si="10"/>
        <v>#DIV/0!</v>
      </c>
      <c r="AO68" s="17"/>
      <c r="AP68" s="17"/>
      <c r="AQ68" s="17"/>
      <c r="AR68" s="17"/>
      <c r="AS68" s="17"/>
      <c r="AT68" s="9" t="e">
        <f t="shared" si="11"/>
        <v>#DIV/0!</v>
      </c>
      <c r="AU68" s="208"/>
      <c r="AV68" s="209"/>
      <c r="AW68" s="9" t="str">
        <f t="shared" si="12"/>
        <v>0</v>
      </c>
      <c r="AX68" s="7" t="e">
        <f t="shared" si="1"/>
        <v>#DIV/0!</v>
      </c>
      <c r="AY68" s="18" t="e">
        <f t="shared" si="1"/>
        <v>#DIV/0!</v>
      </c>
      <c r="AZ68" s="232"/>
      <c r="BA68" s="4" t="e">
        <f t="shared" si="2"/>
        <v>#DIV/0!</v>
      </c>
      <c r="BB68" s="4" t="e">
        <f t="shared" si="13"/>
        <v>#DIV/0!</v>
      </c>
      <c r="BC68" s="4" t="e">
        <f t="shared" si="14"/>
        <v>#DIV/0!</v>
      </c>
      <c r="BD68" s="4">
        <f t="shared" si="15"/>
        <v>0</v>
      </c>
      <c r="BE68" s="12" t="e">
        <f t="shared" si="3"/>
        <v>#DIV/0!</v>
      </c>
      <c r="BF68" s="4" t="e">
        <f t="shared" si="16"/>
        <v>#DIV/0!</v>
      </c>
      <c r="BG68" s="4" t="e">
        <f t="shared" si="17"/>
        <v>#DIV/0!</v>
      </c>
      <c r="BH68" s="4" t="e">
        <f t="shared" si="18"/>
        <v>#DIV/0!</v>
      </c>
      <c r="BI68" s="4">
        <f t="shared" si="19"/>
        <v>0</v>
      </c>
      <c r="BJ68" s="12" t="e">
        <f t="shared" si="4"/>
        <v>#DIV/0!</v>
      </c>
      <c r="BK68" s="12" t="e">
        <f t="shared" si="5"/>
        <v>#DIV/0!</v>
      </c>
      <c r="BL68" s="12"/>
      <c r="BM68" s="10"/>
      <c r="BN68" s="176"/>
      <c r="BO68" s="12" t="e">
        <f t="shared" si="20"/>
        <v>#DIV/0!</v>
      </c>
      <c r="BP68" s="11"/>
      <c r="BQ68" s="6"/>
      <c r="BR68" s="6"/>
    </row>
    <row r="69" spans="1:70" ht="18.75" customHeight="1">
      <c r="A69" s="326">
        <v>29</v>
      </c>
      <c r="B69" s="328"/>
      <c r="C69" s="329"/>
      <c r="D69" s="225"/>
      <c r="E69" s="27">
        <v>1</v>
      </c>
      <c r="F69" s="17"/>
      <c r="G69" s="17"/>
      <c r="H69" s="17"/>
      <c r="I69" s="17"/>
      <c r="J69" s="17"/>
      <c r="K69" s="8" t="e">
        <f t="shared" si="6"/>
        <v>#DIV/0!</v>
      </c>
      <c r="L69" s="17"/>
      <c r="M69" s="17"/>
      <c r="N69" s="17"/>
      <c r="O69" s="17"/>
      <c r="P69" s="17"/>
      <c r="Q69" s="9" t="e">
        <f t="shared" si="23"/>
        <v>#DIV/0!</v>
      </c>
      <c r="R69" s="17"/>
      <c r="S69" s="17"/>
      <c r="T69" s="17"/>
      <c r="U69" s="17"/>
      <c r="V69" s="17"/>
      <c r="W69" s="9" t="e">
        <f t="shared" si="7"/>
        <v>#DIV/0!</v>
      </c>
      <c r="X69" s="233"/>
      <c r="Y69" s="234"/>
      <c r="Z69" s="9" t="str">
        <f t="shared" si="8"/>
        <v>0</v>
      </c>
      <c r="AA69" s="7" t="e">
        <f t="shared" si="0"/>
        <v>#DIV/0!</v>
      </c>
      <c r="AB69" s="365"/>
      <c r="AC69" s="17"/>
      <c r="AD69" s="17"/>
      <c r="AE69" s="17"/>
      <c r="AF69" s="17"/>
      <c r="AG69" s="17"/>
      <c r="AH69" s="9" t="e">
        <f t="shared" si="9"/>
        <v>#DIV/0!</v>
      </c>
      <c r="AI69" s="17"/>
      <c r="AJ69" s="17"/>
      <c r="AK69" s="17"/>
      <c r="AL69" s="17"/>
      <c r="AM69" s="17"/>
      <c r="AN69" s="9" t="e">
        <f t="shared" si="10"/>
        <v>#DIV/0!</v>
      </c>
      <c r="AO69" s="17"/>
      <c r="AP69" s="17"/>
      <c r="AQ69" s="17"/>
      <c r="AR69" s="17"/>
      <c r="AS69" s="17"/>
      <c r="AT69" s="9" t="e">
        <f t="shared" si="11"/>
        <v>#DIV/0!</v>
      </c>
      <c r="AU69" s="208"/>
      <c r="AV69" s="209"/>
      <c r="AW69" s="9" t="str">
        <f t="shared" si="12"/>
        <v>0</v>
      </c>
      <c r="AX69" s="7" t="e">
        <f t="shared" si="1"/>
        <v>#DIV/0!</v>
      </c>
      <c r="AY69" s="18" t="e">
        <f t="shared" si="1"/>
        <v>#DIV/0!</v>
      </c>
      <c r="AZ69" s="231" t="e">
        <f t="shared" ref="AZ69" si="61">IF(BP69&gt;=4.5, " 5 ", IF(BP69&gt;=3.5," 4 ",IF(BP69&gt;=2.5," 3  ",IF(BP69&gt;=1.5," 2 ",IF(BP69&gt;=1,"1 ",IF(BP69&gt;=0,"0"))))))</f>
        <v>#DIV/0!</v>
      </c>
      <c r="BA69" s="4" t="e">
        <f t="shared" si="2"/>
        <v>#DIV/0!</v>
      </c>
      <c r="BB69" s="4" t="e">
        <f t="shared" si="13"/>
        <v>#DIV/0!</v>
      </c>
      <c r="BC69" s="4" t="e">
        <f t="shared" si="14"/>
        <v>#DIV/0!</v>
      </c>
      <c r="BD69" s="4">
        <f t="shared" si="15"/>
        <v>0</v>
      </c>
      <c r="BE69" s="12" t="e">
        <f t="shared" si="3"/>
        <v>#DIV/0!</v>
      </c>
      <c r="BF69" s="4" t="e">
        <f t="shared" si="16"/>
        <v>#DIV/0!</v>
      </c>
      <c r="BG69" s="4" t="e">
        <f t="shared" si="17"/>
        <v>#DIV/0!</v>
      </c>
      <c r="BH69" s="4" t="e">
        <f t="shared" si="18"/>
        <v>#DIV/0!</v>
      </c>
      <c r="BI69" s="4">
        <f t="shared" si="19"/>
        <v>0</v>
      </c>
      <c r="BJ69" s="12" t="e">
        <f t="shared" si="4"/>
        <v>#DIV/0!</v>
      </c>
      <c r="BK69" s="12" t="e">
        <f t="shared" si="5"/>
        <v>#DIV/0!</v>
      </c>
      <c r="BL69" s="12" t="e">
        <f>(BE69+BJ69)/2</f>
        <v>#DIV/0!</v>
      </c>
      <c r="BM69" s="10" t="e">
        <f t="shared" si="21"/>
        <v>#DIV/0!</v>
      </c>
      <c r="BN69" s="176" t="e">
        <f t="shared" ref="BN69" si="62">ROUND(BO70,)</f>
        <v>#DIV/0!</v>
      </c>
      <c r="BO69" s="12"/>
      <c r="BP69" s="11" t="e">
        <f t="shared" si="25"/>
        <v>#DIV/0!</v>
      </c>
      <c r="BQ69" s="6"/>
      <c r="BR69" s="6"/>
    </row>
    <row r="70" spans="1:70" ht="17.25" customHeight="1" thickBot="1">
      <c r="A70" s="327"/>
      <c r="B70" s="330"/>
      <c r="C70" s="331"/>
      <c r="D70" s="225"/>
      <c r="E70" s="29">
        <v>2</v>
      </c>
      <c r="F70" s="17"/>
      <c r="G70" s="17"/>
      <c r="H70" s="17"/>
      <c r="I70" s="17"/>
      <c r="J70" s="17"/>
      <c r="K70" s="8" t="e">
        <f t="shared" si="6"/>
        <v>#DIV/0!</v>
      </c>
      <c r="L70" s="17"/>
      <c r="M70" s="17"/>
      <c r="N70" s="17"/>
      <c r="O70" s="17"/>
      <c r="P70" s="17"/>
      <c r="Q70" s="9" t="e">
        <f t="shared" si="23"/>
        <v>#DIV/0!</v>
      </c>
      <c r="R70" s="17"/>
      <c r="S70" s="17"/>
      <c r="T70" s="17"/>
      <c r="U70" s="17"/>
      <c r="V70" s="17"/>
      <c r="W70" s="9" t="e">
        <f t="shared" si="7"/>
        <v>#DIV/0!</v>
      </c>
      <c r="X70" s="233"/>
      <c r="Y70" s="234"/>
      <c r="Z70" s="9" t="str">
        <f t="shared" si="8"/>
        <v>0</v>
      </c>
      <c r="AA70" s="7" t="e">
        <f t="shared" si="0"/>
        <v>#DIV/0!</v>
      </c>
      <c r="AB70" s="365"/>
      <c r="AC70" s="17"/>
      <c r="AD70" s="17"/>
      <c r="AE70" s="17"/>
      <c r="AF70" s="17"/>
      <c r="AG70" s="17"/>
      <c r="AH70" s="9" t="e">
        <f t="shared" si="9"/>
        <v>#DIV/0!</v>
      </c>
      <c r="AI70" s="17"/>
      <c r="AJ70" s="17"/>
      <c r="AK70" s="17"/>
      <c r="AL70" s="17"/>
      <c r="AM70" s="17"/>
      <c r="AN70" s="9" t="e">
        <f t="shared" si="10"/>
        <v>#DIV/0!</v>
      </c>
      <c r="AO70" s="17"/>
      <c r="AP70" s="17"/>
      <c r="AQ70" s="17"/>
      <c r="AR70" s="17"/>
      <c r="AS70" s="17"/>
      <c r="AT70" s="9" t="e">
        <f t="shared" si="11"/>
        <v>#DIV/0!</v>
      </c>
      <c r="AU70" s="208"/>
      <c r="AV70" s="209"/>
      <c r="AW70" s="9" t="str">
        <f t="shared" si="12"/>
        <v>0</v>
      </c>
      <c r="AX70" s="7" t="e">
        <f t="shared" si="1"/>
        <v>#DIV/0!</v>
      </c>
      <c r="AY70" s="18" t="e">
        <f t="shared" si="1"/>
        <v>#DIV/0!</v>
      </c>
      <c r="AZ70" s="232"/>
      <c r="BA70" s="4" t="e">
        <f t="shared" si="2"/>
        <v>#DIV/0!</v>
      </c>
      <c r="BB70" s="4" t="e">
        <f t="shared" si="13"/>
        <v>#DIV/0!</v>
      </c>
      <c r="BC70" s="4" t="e">
        <f t="shared" si="14"/>
        <v>#DIV/0!</v>
      </c>
      <c r="BD70" s="4">
        <f t="shared" si="15"/>
        <v>0</v>
      </c>
      <c r="BE70" s="12" t="e">
        <f t="shared" si="3"/>
        <v>#DIV/0!</v>
      </c>
      <c r="BF70" s="4" t="e">
        <f t="shared" si="16"/>
        <v>#DIV/0!</v>
      </c>
      <c r="BG70" s="4" t="e">
        <f t="shared" si="17"/>
        <v>#DIV/0!</v>
      </c>
      <c r="BH70" s="4" t="e">
        <f t="shared" si="18"/>
        <v>#DIV/0!</v>
      </c>
      <c r="BI70" s="4">
        <f t="shared" si="19"/>
        <v>0</v>
      </c>
      <c r="BJ70" s="12" t="e">
        <f t="shared" si="4"/>
        <v>#DIV/0!</v>
      </c>
      <c r="BK70" s="12" t="e">
        <f t="shared" si="5"/>
        <v>#DIV/0!</v>
      </c>
      <c r="BL70" s="12"/>
      <c r="BM70" s="10"/>
      <c r="BN70" s="176"/>
      <c r="BO70" s="12" t="e">
        <f t="shared" si="20"/>
        <v>#DIV/0!</v>
      </c>
      <c r="BP70" s="11"/>
      <c r="BQ70" s="6"/>
      <c r="BR70" s="6"/>
    </row>
    <row r="71" spans="1:70" ht="17.25" customHeight="1">
      <c r="A71" s="326">
        <v>30</v>
      </c>
      <c r="B71" s="328"/>
      <c r="C71" s="329"/>
      <c r="D71" s="225"/>
      <c r="E71" s="24">
        <v>1</v>
      </c>
      <c r="F71" s="17"/>
      <c r="G71" s="17"/>
      <c r="H71" s="17"/>
      <c r="I71" s="17"/>
      <c r="J71" s="17"/>
      <c r="K71" s="8" t="e">
        <f t="shared" si="6"/>
        <v>#DIV/0!</v>
      </c>
      <c r="L71" s="17"/>
      <c r="M71" s="17"/>
      <c r="N71" s="17"/>
      <c r="O71" s="17"/>
      <c r="P71" s="17"/>
      <c r="Q71" s="9" t="e">
        <f t="shared" si="23"/>
        <v>#DIV/0!</v>
      </c>
      <c r="R71" s="17"/>
      <c r="S71" s="17"/>
      <c r="T71" s="17"/>
      <c r="U71" s="17"/>
      <c r="V71" s="17"/>
      <c r="W71" s="9" t="e">
        <f t="shared" si="7"/>
        <v>#DIV/0!</v>
      </c>
      <c r="X71" s="233"/>
      <c r="Y71" s="234"/>
      <c r="Z71" s="9" t="str">
        <f t="shared" si="8"/>
        <v>0</v>
      </c>
      <c r="AA71" s="7" t="e">
        <f t="shared" si="0"/>
        <v>#DIV/0!</v>
      </c>
      <c r="AB71" s="365"/>
      <c r="AC71" s="17"/>
      <c r="AD71" s="17"/>
      <c r="AE71" s="17"/>
      <c r="AF71" s="17"/>
      <c r="AG71" s="17"/>
      <c r="AH71" s="9" t="e">
        <f t="shared" si="9"/>
        <v>#DIV/0!</v>
      </c>
      <c r="AI71" s="17"/>
      <c r="AJ71" s="17"/>
      <c r="AK71" s="17"/>
      <c r="AL71" s="17"/>
      <c r="AM71" s="17"/>
      <c r="AN71" s="9" t="e">
        <f t="shared" si="10"/>
        <v>#DIV/0!</v>
      </c>
      <c r="AO71" s="17"/>
      <c r="AP71" s="17"/>
      <c r="AQ71" s="17"/>
      <c r="AR71" s="17"/>
      <c r="AS71" s="17"/>
      <c r="AT71" s="9" t="e">
        <f t="shared" si="11"/>
        <v>#DIV/0!</v>
      </c>
      <c r="AU71" s="208"/>
      <c r="AV71" s="209"/>
      <c r="AW71" s="9" t="str">
        <f t="shared" si="12"/>
        <v>0</v>
      </c>
      <c r="AX71" s="7" t="e">
        <f t="shared" si="1"/>
        <v>#DIV/0!</v>
      </c>
      <c r="AY71" s="18" t="e">
        <f t="shared" si="1"/>
        <v>#DIV/0!</v>
      </c>
      <c r="AZ71" s="231" t="e">
        <f t="shared" ref="AZ71" si="63">IF(BP71&gt;=4.5, " 5 ", IF(BP71&gt;=3.5," 4 ",IF(BP71&gt;=2.5," 3  ",IF(BP71&gt;=1.5," 2 ",IF(BP71&gt;=1,"1 ",IF(BP71&gt;=0,"0"))))))</f>
        <v>#DIV/0!</v>
      </c>
      <c r="BA71" s="4" t="e">
        <f t="shared" si="2"/>
        <v>#DIV/0!</v>
      </c>
      <c r="BB71" s="4" t="e">
        <f t="shared" si="13"/>
        <v>#DIV/0!</v>
      </c>
      <c r="BC71" s="4" t="e">
        <f t="shared" si="14"/>
        <v>#DIV/0!</v>
      </c>
      <c r="BD71" s="4">
        <f t="shared" si="15"/>
        <v>0</v>
      </c>
      <c r="BE71" s="12" t="e">
        <f t="shared" si="3"/>
        <v>#DIV/0!</v>
      </c>
      <c r="BF71" s="4" t="e">
        <f t="shared" si="16"/>
        <v>#DIV/0!</v>
      </c>
      <c r="BG71" s="4" t="e">
        <f t="shared" si="17"/>
        <v>#DIV/0!</v>
      </c>
      <c r="BH71" s="4" t="e">
        <f t="shared" si="18"/>
        <v>#DIV/0!</v>
      </c>
      <c r="BI71" s="4">
        <f t="shared" si="19"/>
        <v>0</v>
      </c>
      <c r="BJ71" s="12" t="e">
        <f t="shared" si="4"/>
        <v>#DIV/0!</v>
      </c>
      <c r="BK71" s="12" t="e">
        <f t="shared" si="5"/>
        <v>#DIV/0!</v>
      </c>
      <c r="BL71" s="12" t="e">
        <f>(BE71+BJ71)/2</f>
        <v>#DIV/0!</v>
      </c>
      <c r="BM71" s="10" t="e">
        <f t="shared" si="21"/>
        <v>#DIV/0!</v>
      </c>
      <c r="BN71" s="176" t="e">
        <f t="shared" si="31"/>
        <v>#DIV/0!</v>
      </c>
      <c r="BO71" s="12"/>
      <c r="BP71" s="11" t="e">
        <f t="shared" si="25"/>
        <v>#DIV/0!</v>
      </c>
      <c r="BQ71" s="6"/>
      <c r="BR71" s="6"/>
    </row>
    <row r="72" spans="1:70" ht="17.25" customHeight="1" thickBot="1">
      <c r="A72" s="327"/>
      <c r="B72" s="330"/>
      <c r="C72" s="331"/>
      <c r="D72" s="225"/>
      <c r="E72" s="25">
        <v>2</v>
      </c>
      <c r="F72" s="17"/>
      <c r="G72" s="17"/>
      <c r="H72" s="17"/>
      <c r="I72" s="17"/>
      <c r="J72" s="17"/>
      <c r="K72" s="8" t="e">
        <f t="shared" si="6"/>
        <v>#DIV/0!</v>
      </c>
      <c r="L72" s="17"/>
      <c r="M72" s="17"/>
      <c r="N72" s="17"/>
      <c r="O72" s="17"/>
      <c r="P72" s="17"/>
      <c r="Q72" s="9" t="e">
        <f t="shared" si="23"/>
        <v>#DIV/0!</v>
      </c>
      <c r="R72" s="17"/>
      <c r="S72" s="17"/>
      <c r="T72" s="17"/>
      <c r="U72" s="17"/>
      <c r="V72" s="17"/>
      <c r="W72" s="9" t="e">
        <f>AVERAGE(R72:V72)</f>
        <v>#DIV/0!</v>
      </c>
      <c r="X72" s="233"/>
      <c r="Y72" s="234"/>
      <c r="Z72" s="9" t="str">
        <f t="shared" si="8"/>
        <v>0</v>
      </c>
      <c r="AA72" s="7" t="e">
        <f t="shared" si="0"/>
        <v>#DIV/0!</v>
      </c>
      <c r="AB72" s="366"/>
      <c r="AC72" s="17"/>
      <c r="AD72" s="17"/>
      <c r="AE72" s="17"/>
      <c r="AF72" s="17"/>
      <c r="AG72" s="17"/>
      <c r="AH72" s="9" t="e">
        <f t="shared" si="9"/>
        <v>#DIV/0!</v>
      </c>
      <c r="AI72" s="17"/>
      <c r="AJ72" s="17"/>
      <c r="AK72" s="17"/>
      <c r="AL72" s="17"/>
      <c r="AM72" s="17"/>
      <c r="AN72" s="9" t="e">
        <f t="shared" si="10"/>
        <v>#DIV/0!</v>
      </c>
      <c r="AO72" s="17"/>
      <c r="AP72" s="17"/>
      <c r="AQ72" s="17"/>
      <c r="AR72" s="17"/>
      <c r="AS72" s="17"/>
      <c r="AT72" s="9" t="e">
        <f t="shared" si="11"/>
        <v>#DIV/0!</v>
      </c>
      <c r="AU72" s="208"/>
      <c r="AV72" s="209"/>
      <c r="AW72" s="9" t="str">
        <f t="shared" si="12"/>
        <v>0</v>
      </c>
      <c r="AX72" s="7" t="e">
        <f t="shared" si="1"/>
        <v>#DIV/0!</v>
      </c>
      <c r="AY72" s="18" t="e">
        <f t="shared" si="1"/>
        <v>#DIV/0!</v>
      </c>
      <c r="AZ72" s="232"/>
      <c r="BA72" s="4" t="e">
        <f t="shared" si="2"/>
        <v>#DIV/0!</v>
      </c>
      <c r="BB72" s="4" t="e">
        <f t="shared" si="13"/>
        <v>#DIV/0!</v>
      </c>
      <c r="BC72" s="4" t="e">
        <f t="shared" si="14"/>
        <v>#DIV/0!</v>
      </c>
      <c r="BD72" s="4">
        <f t="shared" si="15"/>
        <v>0</v>
      </c>
      <c r="BE72" s="12" t="e">
        <f t="shared" si="3"/>
        <v>#DIV/0!</v>
      </c>
      <c r="BF72" s="4" t="e">
        <f t="shared" si="16"/>
        <v>#DIV/0!</v>
      </c>
      <c r="BG72" s="4" t="e">
        <f t="shared" si="17"/>
        <v>#DIV/0!</v>
      </c>
      <c r="BH72" s="4" t="e">
        <f t="shared" si="18"/>
        <v>#DIV/0!</v>
      </c>
      <c r="BI72" s="4">
        <f t="shared" si="19"/>
        <v>0</v>
      </c>
      <c r="BJ72" s="12" t="e">
        <f t="shared" si="4"/>
        <v>#DIV/0!</v>
      </c>
      <c r="BK72" s="12" t="e">
        <f t="shared" si="5"/>
        <v>#DIV/0!</v>
      </c>
      <c r="BL72" s="12"/>
      <c r="BM72" s="10"/>
      <c r="BN72" s="176"/>
      <c r="BO72" s="12" t="e">
        <f t="shared" si="20"/>
        <v>#DIV/0!</v>
      </c>
      <c r="BP72" s="11"/>
      <c r="BQ72" s="6"/>
      <c r="BR72" s="6"/>
    </row>
  </sheetData>
  <sheetProtection sheet="1" selectLockedCells="1"/>
  <mergeCells count="414">
    <mergeCell ref="A69:A70"/>
    <mergeCell ref="B69:C70"/>
    <mergeCell ref="D69:D70"/>
    <mergeCell ref="X69:Y69"/>
    <mergeCell ref="AU69:AV69"/>
    <mergeCell ref="AZ69:AZ70"/>
    <mergeCell ref="BN69:BN70"/>
    <mergeCell ref="AZ71:AZ72"/>
    <mergeCell ref="BN71:BN72"/>
    <mergeCell ref="X72:Y72"/>
    <mergeCell ref="AU72:AV72"/>
    <mergeCell ref="X70:Y70"/>
    <mergeCell ref="AU70:AV70"/>
    <mergeCell ref="A71:A72"/>
    <mergeCell ref="B71:C72"/>
    <mergeCell ref="D71:D72"/>
    <mergeCell ref="X71:Y71"/>
    <mergeCell ref="AU71:AV71"/>
    <mergeCell ref="BN65:BN66"/>
    <mergeCell ref="X66:Y66"/>
    <mergeCell ref="AU66:AV66"/>
    <mergeCell ref="A67:A68"/>
    <mergeCell ref="B67:C68"/>
    <mergeCell ref="D67:D68"/>
    <mergeCell ref="X67:Y67"/>
    <mergeCell ref="AU67:AV67"/>
    <mergeCell ref="AZ67:AZ68"/>
    <mergeCell ref="BN67:BN68"/>
    <mergeCell ref="X68:Y68"/>
    <mergeCell ref="AU68:AV68"/>
    <mergeCell ref="A65:A66"/>
    <mergeCell ref="B65:C66"/>
    <mergeCell ref="D65:D66"/>
    <mergeCell ref="X65:Y65"/>
    <mergeCell ref="AU65:AV65"/>
    <mergeCell ref="AZ65:AZ66"/>
    <mergeCell ref="BN61:BN62"/>
    <mergeCell ref="X62:Y62"/>
    <mergeCell ref="AU62:AV62"/>
    <mergeCell ref="A63:A64"/>
    <mergeCell ref="B63:C64"/>
    <mergeCell ref="D63:D64"/>
    <mergeCell ref="X63:Y63"/>
    <mergeCell ref="AU63:AV63"/>
    <mergeCell ref="AZ63:AZ64"/>
    <mergeCell ref="BN63:BN64"/>
    <mergeCell ref="A61:A62"/>
    <mergeCell ref="B61:C62"/>
    <mergeCell ref="D61:D62"/>
    <mergeCell ref="X61:Y61"/>
    <mergeCell ref="AU61:AV61"/>
    <mergeCell ref="AZ61:AZ62"/>
    <mergeCell ref="X64:Y64"/>
    <mergeCell ref="AU64:AV64"/>
    <mergeCell ref="X58:Y58"/>
    <mergeCell ref="AU58:AV58"/>
    <mergeCell ref="A59:A60"/>
    <mergeCell ref="B59:C60"/>
    <mergeCell ref="D59:D60"/>
    <mergeCell ref="X59:Y59"/>
    <mergeCell ref="AU59:AV59"/>
    <mergeCell ref="BN55:BN56"/>
    <mergeCell ref="X56:Y56"/>
    <mergeCell ref="AU56:AV56"/>
    <mergeCell ref="A57:A58"/>
    <mergeCell ref="B57:C58"/>
    <mergeCell ref="D57:D58"/>
    <mergeCell ref="X57:Y57"/>
    <mergeCell ref="AU57:AV57"/>
    <mergeCell ref="AZ57:AZ58"/>
    <mergeCell ref="BN57:BN58"/>
    <mergeCell ref="AZ59:AZ60"/>
    <mergeCell ref="BN59:BN60"/>
    <mergeCell ref="X60:Y60"/>
    <mergeCell ref="AU60:AV60"/>
    <mergeCell ref="BN53:BN54"/>
    <mergeCell ref="X54:Y54"/>
    <mergeCell ref="AU54:AV54"/>
    <mergeCell ref="A55:A56"/>
    <mergeCell ref="B55:C56"/>
    <mergeCell ref="D55:D56"/>
    <mergeCell ref="X55:Y55"/>
    <mergeCell ref="AU55:AV55"/>
    <mergeCell ref="AZ55:AZ56"/>
    <mergeCell ref="A53:A54"/>
    <mergeCell ref="B53:C54"/>
    <mergeCell ref="D53:D54"/>
    <mergeCell ref="X53:Y53"/>
    <mergeCell ref="AU53:AV53"/>
    <mergeCell ref="AZ53:AZ54"/>
    <mergeCell ref="BN49:BN50"/>
    <mergeCell ref="X50:Y50"/>
    <mergeCell ref="AU50:AV50"/>
    <mergeCell ref="A51:A52"/>
    <mergeCell ref="B51:C52"/>
    <mergeCell ref="D51:D52"/>
    <mergeCell ref="X51:Y51"/>
    <mergeCell ref="AU51:AV51"/>
    <mergeCell ref="AZ51:AZ52"/>
    <mergeCell ref="BN51:BN52"/>
    <mergeCell ref="A49:A50"/>
    <mergeCell ref="B49:C50"/>
    <mergeCell ref="D49:D50"/>
    <mergeCell ref="X49:Y49"/>
    <mergeCell ref="AU49:AV49"/>
    <mergeCell ref="AZ49:AZ50"/>
    <mergeCell ref="X52:Y52"/>
    <mergeCell ref="AU52:AV52"/>
    <mergeCell ref="X46:Y46"/>
    <mergeCell ref="AU46:AV46"/>
    <mergeCell ref="A47:A48"/>
    <mergeCell ref="B47:C48"/>
    <mergeCell ref="D47:D48"/>
    <mergeCell ref="X47:Y47"/>
    <mergeCell ref="AU47:AV47"/>
    <mergeCell ref="BN43:BN44"/>
    <mergeCell ref="X44:Y44"/>
    <mergeCell ref="AU44:AV44"/>
    <mergeCell ref="A45:A46"/>
    <mergeCell ref="B45:C46"/>
    <mergeCell ref="D45:D46"/>
    <mergeCell ref="X45:Y45"/>
    <mergeCell ref="AU45:AV45"/>
    <mergeCell ref="AZ45:AZ46"/>
    <mergeCell ref="BN45:BN46"/>
    <mergeCell ref="AZ47:AZ48"/>
    <mergeCell ref="BN47:BN48"/>
    <mergeCell ref="X48:Y48"/>
    <mergeCell ref="AU48:AV48"/>
    <mergeCell ref="BN41:BN42"/>
    <mergeCell ref="X42:Y42"/>
    <mergeCell ref="AU42:AV42"/>
    <mergeCell ref="A43:A44"/>
    <mergeCell ref="B43:C44"/>
    <mergeCell ref="D43:D44"/>
    <mergeCell ref="X43:Y43"/>
    <mergeCell ref="AU43:AV43"/>
    <mergeCell ref="AZ43:AZ44"/>
    <mergeCell ref="A41:A42"/>
    <mergeCell ref="B41:C42"/>
    <mergeCell ref="D41:D42"/>
    <mergeCell ref="X41:Y41"/>
    <mergeCell ref="AU41:AV41"/>
    <mergeCell ref="AZ41:AZ42"/>
    <mergeCell ref="BN37:BN38"/>
    <mergeCell ref="X38:Y38"/>
    <mergeCell ref="AU38:AV38"/>
    <mergeCell ref="A39:A40"/>
    <mergeCell ref="B39:C40"/>
    <mergeCell ref="D39:D40"/>
    <mergeCell ref="X39:Y39"/>
    <mergeCell ref="AU39:AV39"/>
    <mergeCell ref="AZ39:AZ40"/>
    <mergeCell ref="BN39:BN40"/>
    <mergeCell ref="A37:A38"/>
    <mergeCell ref="B37:C38"/>
    <mergeCell ref="D37:D38"/>
    <mergeCell ref="X37:Y37"/>
    <mergeCell ref="AU37:AV37"/>
    <mergeCell ref="AZ37:AZ38"/>
    <mergeCell ref="X40:Y40"/>
    <mergeCell ref="AU40:AV40"/>
    <mergeCell ref="X34:Y34"/>
    <mergeCell ref="AU34:AV34"/>
    <mergeCell ref="A35:A36"/>
    <mergeCell ref="B35:C36"/>
    <mergeCell ref="D35:D36"/>
    <mergeCell ref="X35:Y35"/>
    <mergeCell ref="AU35:AV35"/>
    <mergeCell ref="BN31:BN32"/>
    <mergeCell ref="X32:Y32"/>
    <mergeCell ref="AU32:AV32"/>
    <mergeCell ref="A33:A34"/>
    <mergeCell ref="B33:C34"/>
    <mergeCell ref="D33:D34"/>
    <mergeCell ref="X33:Y33"/>
    <mergeCell ref="AU33:AV33"/>
    <mergeCell ref="AZ33:AZ34"/>
    <mergeCell ref="BN33:BN34"/>
    <mergeCell ref="AZ35:AZ36"/>
    <mergeCell ref="BN35:BN36"/>
    <mergeCell ref="X36:Y36"/>
    <mergeCell ref="AU36:AV36"/>
    <mergeCell ref="BN29:BN30"/>
    <mergeCell ref="X30:Y30"/>
    <mergeCell ref="AU30:AV30"/>
    <mergeCell ref="A31:A32"/>
    <mergeCell ref="B31:C32"/>
    <mergeCell ref="D31:D32"/>
    <mergeCell ref="X31:Y31"/>
    <mergeCell ref="AU31:AV31"/>
    <mergeCell ref="AZ31:AZ32"/>
    <mergeCell ref="A29:A30"/>
    <mergeCell ref="B29:C30"/>
    <mergeCell ref="D29:D30"/>
    <mergeCell ref="X29:Y29"/>
    <mergeCell ref="AU29:AV29"/>
    <mergeCell ref="AZ29:AZ30"/>
    <mergeCell ref="BN25:BN26"/>
    <mergeCell ref="X26:Y26"/>
    <mergeCell ref="AU26:AV26"/>
    <mergeCell ref="A27:A28"/>
    <mergeCell ref="B27:C28"/>
    <mergeCell ref="D27:D28"/>
    <mergeCell ref="X27:Y27"/>
    <mergeCell ref="AU27:AV27"/>
    <mergeCell ref="AZ27:AZ28"/>
    <mergeCell ref="BN27:BN28"/>
    <mergeCell ref="A25:A26"/>
    <mergeCell ref="B25:C26"/>
    <mergeCell ref="D25:D26"/>
    <mergeCell ref="X25:Y25"/>
    <mergeCell ref="AU25:AV25"/>
    <mergeCell ref="AZ25:AZ26"/>
    <mergeCell ref="X28:Y28"/>
    <mergeCell ref="AU28:AV28"/>
    <mergeCell ref="X22:Y22"/>
    <mergeCell ref="AU22:AV22"/>
    <mergeCell ref="A23:A24"/>
    <mergeCell ref="B23:C24"/>
    <mergeCell ref="D23:D24"/>
    <mergeCell ref="X23:Y23"/>
    <mergeCell ref="AU23:AV23"/>
    <mergeCell ref="BN19:BN20"/>
    <mergeCell ref="X20:Y20"/>
    <mergeCell ref="AU20:AV20"/>
    <mergeCell ref="A21:A22"/>
    <mergeCell ref="B21:C22"/>
    <mergeCell ref="D21:D22"/>
    <mergeCell ref="X21:Y21"/>
    <mergeCell ref="AU21:AV21"/>
    <mergeCell ref="AZ21:AZ22"/>
    <mergeCell ref="BN21:BN22"/>
    <mergeCell ref="AZ23:AZ24"/>
    <mergeCell ref="BN23:BN24"/>
    <mergeCell ref="X24:Y24"/>
    <mergeCell ref="AU24:AV24"/>
    <mergeCell ref="BN17:BN18"/>
    <mergeCell ref="X18:Y18"/>
    <mergeCell ref="AU18:AV18"/>
    <mergeCell ref="A19:A20"/>
    <mergeCell ref="B19:C20"/>
    <mergeCell ref="D19:D20"/>
    <mergeCell ref="X19:Y19"/>
    <mergeCell ref="AU19:AV19"/>
    <mergeCell ref="AZ19:AZ20"/>
    <mergeCell ref="X16:Y16"/>
    <mergeCell ref="AU16:AV16"/>
    <mergeCell ref="A17:A18"/>
    <mergeCell ref="B17:C18"/>
    <mergeCell ref="D17:D18"/>
    <mergeCell ref="X17:Y17"/>
    <mergeCell ref="AU17:AV17"/>
    <mergeCell ref="BN13:BN14"/>
    <mergeCell ref="X14:Y14"/>
    <mergeCell ref="AU14:AV14"/>
    <mergeCell ref="A15:A16"/>
    <mergeCell ref="B15:C16"/>
    <mergeCell ref="D15:D16"/>
    <mergeCell ref="X15:Y15"/>
    <mergeCell ref="AU15:AV15"/>
    <mergeCell ref="AZ15:AZ16"/>
    <mergeCell ref="BN15:BN16"/>
    <mergeCell ref="A13:A14"/>
    <mergeCell ref="B13:C14"/>
    <mergeCell ref="D13:D14"/>
    <mergeCell ref="X13:Y13"/>
    <mergeCell ref="AU13:AV13"/>
    <mergeCell ref="AZ13:AZ14"/>
    <mergeCell ref="AZ17:AZ18"/>
    <mergeCell ref="AT9:AT12"/>
    <mergeCell ref="AU9:AV11"/>
    <mergeCell ref="AW9:AW12"/>
    <mergeCell ref="AX9:AX11"/>
    <mergeCell ref="AY9:AY12"/>
    <mergeCell ref="AZ9:AZ12"/>
    <mergeCell ref="AU12:AV12"/>
    <mergeCell ref="AB9:AB72"/>
    <mergeCell ref="AC9:AG11"/>
    <mergeCell ref="AH9:AH12"/>
    <mergeCell ref="AI9:AM11"/>
    <mergeCell ref="AN9:AN12"/>
    <mergeCell ref="AO9:AS11"/>
    <mergeCell ref="AC12:AG12"/>
    <mergeCell ref="AI12:AM12"/>
    <mergeCell ref="AO12:AS12"/>
    <mergeCell ref="Q9:Q12"/>
    <mergeCell ref="R9:V11"/>
    <mergeCell ref="W9:W12"/>
    <mergeCell ref="X9:Y11"/>
    <mergeCell ref="Z9:Z12"/>
    <mergeCell ref="AA9:AA11"/>
    <mergeCell ref="R12:V12"/>
    <mergeCell ref="X12:Y12"/>
    <mergeCell ref="A9:C10"/>
    <mergeCell ref="D9:D12"/>
    <mergeCell ref="E9:E12"/>
    <mergeCell ref="F9:J11"/>
    <mergeCell ref="K9:K12"/>
    <mergeCell ref="L9:P11"/>
    <mergeCell ref="A11:A12"/>
    <mergeCell ref="B11:C12"/>
    <mergeCell ref="F12:J12"/>
    <mergeCell ref="L12:P12"/>
    <mergeCell ref="A8:C8"/>
    <mergeCell ref="D8:R8"/>
    <mergeCell ref="S8:AC8"/>
    <mergeCell ref="AD8:AF8"/>
    <mergeCell ref="AG8:AN8"/>
    <mergeCell ref="AO8:AQ8"/>
    <mergeCell ref="AM7:AN7"/>
    <mergeCell ref="AO7:AQ7"/>
    <mergeCell ref="AR7:AS7"/>
    <mergeCell ref="A6:C7"/>
    <mergeCell ref="D6:R7"/>
    <mergeCell ref="AT7:AU7"/>
    <mergeCell ref="AW7:AX7"/>
    <mergeCell ref="AY7:AZ7"/>
    <mergeCell ref="AT6:AU6"/>
    <mergeCell ref="AW6:AX6"/>
    <mergeCell ref="AY6:AZ6"/>
    <mergeCell ref="S7:W7"/>
    <mergeCell ref="X7:Y7"/>
    <mergeCell ref="Z7:AA7"/>
    <mergeCell ref="AD7:AF7"/>
    <mergeCell ref="AG7:AH7"/>
    <mergeCell ref="AI7:AJ7"/>
    <mergeCell ref="AK7:AL7"/>
    <mergeCell ref="AG6:AH6"/>
    <mergeCell ref="AI6:AJ6"/>
    <mergeCell ref="AK6:AL6"/>
    <mergeCell ref="AM6:AN6"/>
    <mergeCell ref="AO6:AQ6"/>
    <mergeCell ref="AR6:AS6"/>
    <mergeCell ref="S6:W6"/>
    <mergeCell ref="X6:Y6"/>
    <mergeCell ref="Z6:AA6"/>
    <mergeCell ref="AD6:AF6"/>
    <mergeCell ref="AT5:AU5"/>
    <mergeCell ref="AW5:AX5"/>
    <mergeCell ref="AT4:AU4"/>
    <mergeCell ref="AW4:AX4"/>
    <mergeCell ref="AY4:AZ4"/>
    <mergeCell ref="AK4:AL4"/>
    <mergeCell ref="AM4:AN4"/>
    <mergeCell ref="AO4:AQ4"/>
    <mergeCell ref="AR4:AS4"/>
    <mergeCell ref="A4:C5"/>
    <mergeCell ref="D4:R4"/>
    <mergeCell ref="S4:W4"/>
    <mergeCell ref="X4:Y4"/>
    <mergeCell ref="Z4:AA4"/>
    <mergeCell ref="AD4:AF4"/>
    <mergeCell ref="AK3:AL3"/>
    <mergeCell ref="AM3:AN3"/>
    <mergeCell ref="AO3:AQ3"/>
    <mergeCell ref="A1:A3"/>
    <mergeCell ref="B1:R1"/>
    <mergeCell ref="S1:X1"/>
    <mergeCell ref="Y1:AF1"/>
    <mergeCell ref="AG1:AQ1"/>
    <mergeCell ref="D5:R5"/>
    <mergeCell ref="S5:W5"/>
    <mergeCell ref="X5:Y5"/>
    <mergeCell ref="Z5:AA5"/>
    <mergeCell ref="AD5:AF5"/>
    <mergeCell ref="AG5:AH5"/>
    <mergeCell ref="AI5:AJ5"/>
    <mergeCell ref="AG4:AH4"/>
    <mergeCell ref="AI4:AJ4"/>
    <mergeCell ref="AK5:AL5"/>
    <mergeCell ref="BM2:BM12"/>
    <mergeCell ref="BN2:BN12"/>
    <mergeCell ref="BO2:BO12"/>
    <mergeCell ref="BP2:BP12"/>
    <mergeCell ref="S3:W3"/>
    <mergeCell ref="X3:Y3"/>
    <mergeCell ref="Z3:AA3"/>
    <mergeCell ref="AD3:AF3"/>
    <mergeCell ref="AG3:AH3"/>
    <mergeCell ref="AI3:AJ3"/>
    <mergeCell ref="AW2:AX2"/>
    <mergeCell ref="AY2:AZ2"/>
    <mergeCell ref="BE2:BE12"/>
    <mergeCell ref="BJ2:BJ12"/>
    <mergeCell ref="BK2:BK12"/>
    <mergeCell ref="BL2:BL12"/>
    <mergeCell ref="AY3:AZ3"/>
    <mergeCell ref="AY5:AZ5"/>
    <mergeCell ref="AR8:AX8"/>
    <mergeCell ref="AY8:AZ8"/>
    <mergeCell ref="AI2:AJ2"/>
    <mergeCell ref="AM5:AN5"/>
    <mergeCell ref="AO5:AQ5"/>
    <mergeCell ref="AR5:AS5"/>
    <mergeCell ref="AR1:AZ1"/>
    <mergeCell ref="B2:C3"/>
    <mergeCell ref="D2:H3"/>
    <mergeCell ref="I2:L3"/>
    <mergeCell ref="M2:O3"/>
    <mergeCell ref="AK2:AL2"/>
    <mergeCell ref="AM2:AN2"/>
    <mergeCell ref="AO2:AQ2"/>
    <mergeCell ref="AR2:AS2"/>
    <mergeCell ref="AT2:AU2"/>
    <mergeCell ref="P2:R3"/>
    <mergeCell ref="S2:W2"/>
    <mergeCell ref="X2:Y2"/>
    <mergeCell ref="Z2:AA2"/>
    <mergeCell ref="AD2:AF2"/>
    <mergeCell ref="AG2:AH2"/>
    <mergeCell ref="AR3:AS3"/>
    <mergeCell ref="AT3:AU3"/>
    <mergeCell ref="AW3:AX3"/>
  </mergeCells>
  <pageMargins left="0.21030092592592592" right="4.5717592592592594E-2" top="0.37037037037037035" bottom="0.25" header="7.9166666666666673E-3" footer="0"/>
  <pageSetup scale="80" fitToWidth="0" fitToHeight="0" orientation="landscape" r:id="rId1"/>
  <headerFooter>
    <oddHeader>&amp;L                                                                                                                         &amp;18     DITARI PERSONAL I MËSIMDHËNËSIT-ES</oddHeader>
  </headerFooter>
  <rowBreaks count="1" manualBreakCount="1">
    <brk id="36" max="5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5F08-865C-4683-BA40-B9FD12B545C8}">
  <sheetPr>
    <tabColor rgb="FF002060"/>
  </sheetPr>
  <dimension ref="A1:BR72"/>
  <sheetViews>
    <sheetView tabSelected="1" view="pageLayout" zoomScale="90" zoomScaleNormal="80" zoomScalePageLayoutView="90" workbookViewId="0">
      <selection activeCell="D5" sqref="D5:R5"/>
    </sheetView>
  </sheetViews>
  <sheetFormatPr defaultColWidth="3" defaultRowHeight="20.25" customHeight="1"/>
  <cols>
    <col min="1" max="1" width="4.5" customWidth="1"/>
    <col min="2" max="2" width="1.1640625" hidden="1" customWidth="1"/>
    <col min="3" max="3" width="22.1640625" customWidth="1"/>
    <col min="4" max="4" width="3.6640625" style="11" customWidth="1"/>
    <col min="5" max="5" width="3" customWidth="1"/>
    <col min="11" max="11" width="3.5" bestFit="1" customWidth="1"/>
    <col min="17" max="17" width="3.5" bestFit="1" customWidth="1"/>
    <col min="25" max="25" width="3.6640625" customWidth="1"/>
    <col min="27" max="27" width="4.83203125" customWidth="1"/>
    <col min="28" max="29" width="4" customWidth="1"/>
    <col min="37" max="37" width="2.33203125" customWidth="1"/>
    <col min="48" max="48" width="4.6640625" customWidth="1"/>
    <col min="49" max="49" width="3" customWidth="1"/>
    <col min="50" max="50" width="5.1640625" customWidth="1"/>
    <col min="51" max="51" width="4.33203125" customWidth="1"/>
    <col min="52" max="52" width="7.1640625" customWidth="1"/>
    <col min="53" max="53" width="7.1640625" style="4" hidden="1" customWidth="1"/>
    <col min="54" max="54" width="6.83203125" style="4" hidden="1" customWidth="1"/>
    <col min="55" max="56" width="5.6640625" style="4" hidden="1" customWidth="1"/>
    <col min="57" max="57" width="8.1640625" style="10" hidden="1" customWidth="1"/>
    <col min="58" max="58" width="6.1640625" style="4" hidden="1" customWidth="1"/>
    <col min="59" max="59" width="9.1640625" style="4" hidden="1" customWidth="1"/>
    <col min="60" max="60" width="6.33203125" style="4" hidden="1" customWidth="1"/>
    <col min="61" max="61" width="5.6640625" style="4" hidden="1" customWidth="1"/>
    <col min="62" max="62" width="6.5" style="11" hidden="1" customWidth="1"/>
    <col min="63" max="63" width="8.33203125" hidden="1" customWidth="1"/>
    <col min="64" max="64" width="8.6640625" hidden="1" customWidth="1"/>
    <col min="65" max="65" width="6.5" hidden="1" customWidth="1"/>
    <col min="66" max="66" width="5.1640625" hidden="1" customWidth="1"/>
    <col min="67" max="67" width="6.6640625" hidden="1" customWidth="1"/>
    <col min="68" max="68" width="6.1640625" hidden="1" customWidth="1"/>
    <col min="70" max="70" width="7" customWidth="1"/>
  </cols>
  <sheetData>
    <row r="1" spans="1:70" ht="20.25" customHeight="1">
      <c r="A1" s="248" t="s">
        <v>30</v>
      </c>
      <c r="B1" s="268" t="s">
        <v>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210" t="s">
        <v>7</v>
      </c>
      <c r="T1" s="211"/>
      <c r="U1" s="211"/>
      <c r="V1" s="211"/>
      <c r="W1" s="211"/>
      <c r="X1" s="212"/>
      <c r="Y1" s="177" t="s">
        <v>46</v>
      </c>
      <c r="Z1" s="177"/>
      <c r="AA1" s="177"/>
      <c r="AB1" s="177"/>
      <c r="AC1" s="177"/>
      <c r="AD1" s="177"/>
      <c r="AE1" s="177"/>
      <c r="AF1" s="178"/>
      <c r="AG1" s="179" t="s">
        <v>47</v>
      </c>
      <c r="AH1" s="180"/>
      <c r="AI1" s="180"/>
      <c r="AJ1" s="180"/>
      <c r="AK1" s="180"/>
      <c r="AL1" s="180"/>
      <c r="AM1" s="180"/>
      <c r="AN1" s="180"/>
      <c r="AO1" s="180"/>
      <c r="AP1" s="180"/>
      <c r="AQ1" s="181"/>
      <c r="AR1" s="182" t="s">
        <v>23</v>
      </c>
      <c r="AS1" s="183"/>
      <c r="AT1" s="183"/>
      <c r="AU1" s="183"/>
      <c r="AV1" s="183"/>
      <c r="AW1" s="183"/>
      <c r="AX1" s="183"/>
      <c r="AY1" s="183"/>
      <c r="AZ1" s="184"/>
    </row>
    <row r="2" spans="1:70" ht="20.25" customHeight="1">
      <c r="A2" s="248"/>
      <c r="B2" s="250"/>
      <c r="C2" s="250"/>
      <c r="D2" s="271" t="s">
        <v>9</v>
      </c>
      <c r="E2" s="272"/>
      <c r="F2" s="272"/>
      <c r="G2" s="272"/>
      <c r="H2" s="273"/>
      <c r="I2" s="225" t="s">
        <v>51</v>
      </c>
      <c r="J2" s="225"/>
      <c r="K2" s="225"/>
      <c r="L2" s="225"/>
      <c r="M2" s="267" t="s">
        <v>6</v>
      </c>
      <c r="N2" s="267"/>
      <c r="O2" s="267"/>
      <c r="P2" s="268" t="s">
        <v>139</v>
      </c>
      <c r="Q2" s="268"/>
      <c r="R2" s="269"/>
      <c r="S2" s="291" t="s">
        <v>43</v>
      </c>
      <c r="T2" s="292"/>
      <c r="U2" s="292"/>
      <c r="V2" s="292"/>
      <c r="W2" s="293"/>
      <c r="X2" s="264" t="s">
        <v>44</v>
      </c>
      <c r="Y2" s="254"/>
      <c r="Z2" s="254" t="s">
        <v>45</v>
      </c>
      <c r="AA2" s="254"/>
      <c r="AB2" s="30" t="s">
        <v>53</v>
      </c>
      <c r="AC2" s="30" t="s">
        <v>52</v>
      </c>
      <c r="AD2" s="285" t="s">
        <v>15</v>
      </c>
      <c r="AE2" s="285"/>
      <c r="AF2" s="286"/>
      <c r="AG2" s="295" t="s">
        <v>44</v>
      </c>
      <c r="AH2" s="296"/>
      <c r="AI2" s="296" t="s">
        <v>45</v>
      </c>
      <c r="AJ2" s="296"/>
      <c r="AK2" s="221" t="s">
        <v>53</v>
      </c>
      <c r="AL2" s="221"/>
      <c r="AM2" s="221" t="s">
        <v>52</v>
      </c>
      <c r="AN2" s="221"/>
      <c r="AO2" s="222" t="s">
        <v>15</v>
      </c>
      <c r="AP2" s="222"/>
      <c r="AQ2" s="223"/>
      <c r="AR2" s="229" t="s">
        <v>44</v>
      </c>
      <c r="AS2" s="230"/>
      <c r="AT2" s="312" t="s">
        <v>45</v>
      </c>
      <c r="AU2" s="312"/>
      <c r="AV2" s="31" t="s">
        <v>53</v>
      </c>
      <c r="AW2" s="206" t="s">
        <v>52</v>
      </c>
      <c r="AX2" s="206"/>
      <c r="AY2" s="196" t="s">
        <v>57</v>
      </c>
      <c r="AZ2" s="197"/>
      <c r="BA2" s="13"/>
      <c r="BE2" s="240" t="s">
        <v>40</v>
      </c>
      <c r="BJ2" s="240" t="s">
        <v>39</v>
      </c>
      <c r="BK2" s="240" t="s">
        <v>38</v>
      </c>
      <c r="BL2" s="240" t="s">
        <v>41</v>
      </c>
      <c r="BM2" s="240" t="s">
        <v>41</v>
      </c>
      <c r="BN2" s="240" t="s">
        <v>42</v>
      </c>
      <c r="BO2" s="240" t="s">
        <v>42</v>
      </c>
      <c r="BP2" s="240" t="s">
        <v>50</v>
      </c>
    </row>
    <row r="3" spans="1:70" ht="20.25" customHeight="1">
      <c r="A3" s="248"/>
      <c r="B3" s="250"/>
      <c r="C3" s="250"/>
      <c r="D3" s="274"/>
      <c r="E3" s="275"/>
      <c r="F3" s="275"/>
      <c r="G3" s="275"/>
      <c r="H3" s="276"/>
      <c r="I3" s="225"/>
      <c r="J3" s="225"/>
      <c r="K3" s="225"/>
      <c r="L3" s="225"/>
      <c r="M3" s="267"/>
      <c r="N3" s="267"/>
      <c r="O3" s="267"/>
      <c r="P3" s="268"/>
      <c r="Q3" s="268"/>
      <c r="R3" s="269"/>
      <c r="S3" s="258" t="s">
        <v>11</v>
      </c>
      <c r="T3" s="259"/>
      <c r="U3" s="259"/>
      <c r="V3" s="259"/>
      <c r="W3" s="260"/>
      <c r="X3" s="265">
        <f>COUNTIF($BM$13:$BM$72,"5")</f>
        <v>0</v>
      </c>
      <c r="Y3" s="266"/>
      <c r="Z3" s="255" t="e">
        <f>X3/$AD$3</f>
        <v>#DIV/0!</v>
      </c>
      <c r="AA3" s="255"/>
      <c r="AB3" s="30">
        <f>COUNTIFS($BM$13:$BM$72,"5",$D$13:$D$72,"M")</f>
        <v>0</v>
      </c>
      <c r="AC3" s="30">
        <f>COUNTIFS($BM$13:$BM$72,"5",$D$13:$D$72,"F")</f>
        <v>0</v>
      </c>
      <c r="AD3" s="287">
        <f>SUM(X3:Y7)</f>
        <v>0</v>
      </c>
      <c r="AE3" s="287"/>
      <c r="AF3" s="288"/>
      <c r="AG3" s="370">
        <f>COUNTIF($BN$13:$BN$71,"5")</f>
        <v>0</v>
      </c>
      <c r="AH3" s="371"/>
      <c r="AI3" s="305" t="e">
        <f>AG3/$AO$3</f>
        <v>#DIV/0!</v>
      </c>
      <c r="AJ3" s="305"/>
      <c r="AK3" s="221">
        <f>COUNTIFS($BN$13:$BN$72,"5",$D$13:$D$72,"M")</f>
        <v>0</v>
      </c>
      <c r="AL3" s="221"/>
      <c r="AM3" s="221">
        <f>COUNTIFS($BN$13:$BN$72,"5",$D$13:$D$72,"F")</f>
        <v>0</v>
      </c>
      <c r="AN3" s="221"/>
      <c r="AO3" s="213">
        <f>SUM(AG3:AH7)</f>
        <v>0</v>
      </c>
      <c r="AP3" s="213"/>
      <c r="AQ3" s="214"/>
      <c r="AR3" s="367">
        <f>COUNTIF($AZ$13:$AZ$72,"5")</f>
        <v>0</v>
      </c>
      <c r="AS3" s="368"/>
      <c r="AT3" s="313" t="e">
        <f>AR3/$AY$3</f>
        <v>#DIV/0!</v>
      </c>
      <c r="AU3" s="313"/>
      <c r="AV3" s="35">
        <f>COUNTIFS($AZ$13:$AZ$72,"5",$D$13:$D$72,"M")</f>
        <v>0</v>
      </c>
      <c r="AW3" s="369">
        <f>COUNTIFS($AZ$13:$AZ$72,"5",$D$13:$D$72,"f")</f>
        <v>0</v>
      </c>
      <c r="AX3" s="369"/>
      <c r="AY3" s="198">
        <f>SUM(AR3:AS7)</f>
        <v>0</v>
      </c>
      <c r="AZ3" s="199"/>
      <c r="BA3" s="16"/>
      <c r="BE3" s="240"/>
      <c r="BJ3" s="240"/>
      <c r="BK3" s="240"/>
      <c r="BL3" s="240"/>
      <c r="BM3" s="240"/>
      <c r="BN3" s="240"/>
      <c r="BO3" s="240"/>
      <c r="BP3" s="240"/>
    </row>
    <row r="4" spans="1:70" ht="18" customHeight="1">
      <c r="A4" s="248"/>
      <c r="B4" s="248"/>
      <c r="C4" s="248"/>
      <c r="D4" s="277" t="s">
        <v>29</v>
      </c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9"/>
      <c r="S4" s="258" t="s">
        <v>12</v>
      </c>
      <c r="T4" s="259"/>
      <c r="U4" s="259"/>
      <c r="V4" s="259"/>
      <c r="W4" s="260"/>
      <c r="X4" s="265">
        <f>COUNTIF($BM$13:$BM$72,"4")</f>
        <v>0</v>
      </c>
      <c r="Y4" s="266"/>
      <c r="Z4" s="256" t="e">
        <f>X4/$AD$3</f>
        <v>#DIV/0!</v>
      </c>
      <c r="AA4" s="256"/>
      <c r="AB4" s="30">
        <f>COUNTIFS($BM$13:$BM$72,"4",$D$13:$D$72,"M")</f>
        <v>0</v>
      </c>
      <c r="AC4" s="30">
        <f>COUNTIFS($BM$13:$BM$72,"4",$D$13:$D$72,"F")</f>
        <v>0</v>
      </c>
      <c r="AD4" s="289" t="s">
        <v>48</v>
      </c>
      <c r="AE4" s="289"/>
      <c r="AF4" s="290"/>
      <c r="AG4" s="370">
        <f>COUNTIF($BN$13:$BN$71,"4")</f>
        <v>0</v>
      </c>
      <c r="AH4" s="371"/>
      <c r="AI4" s="305" t="e">
        <f>AG4/$AO$3</f>
        <v>#DIV/0!</v>
      </c>
      <c r="AJ4" s="305"/>
      <c r="AK4" s="221">
        <f>COUNTIFS($BN$13:$BN$72,"4",$D$13:$D$72,"M")</f>
        <v>0</v>
      </c>
      <c r="AL4" s="221"/>
      <c r="AM4" s="221">
        <f>COUNTIFS($BN$13:$BN$72,"4",$D$13:$D$72,"F")</f>
        <v>0</v>
      </c>
      <c r="AN4" s="221"/>
      <c r="AO4" s="215" t="s">
        <v>48</v>
      </c>
      <c r="AP4" s="215"/>
      <c r="AQ4" s="216"/>
      <c r="AR4" s="367">
        <f>COUNTIF($AZ$13:$AZ$72,"4")</f>
        <v>0</v>
      </c>
      <c r="AS4" s="368"/>
      <c r="AT4" s="313" t="e">
        <f>AR4/$AY$3</f>
        <v>#DIV/0!</v>
      </c>
      <c r="AU4" s="313"/>
      <c r="AV4" s="35">
        <f>COUNTIFS($AZ$13:$AZ$72,"4",$D$13:$D$72,"M")</f>
        <v>0</v>
      </c>
      <c r="AW4" s="369">
        <f>COUNTIFS($AZ$13:$AZ$72,"4",$D$13:$D$72,"F")</f>
        <v>0</v>
      </c>
      <c r="AX4" s="369"/>
      <c r="AY4" s="200" t="s">
        <v>48</v>
      </c>
      <c r="AZ4" s="201"/>
      <c r="BA4" s="15"/>
      <c r="BE4" s="240"/>
      <c r="BJ4" s="240"/>
      <c r="BK4" s="240"/>
      <c r="BL4" s="240"/>
      <c r="BM4" s="240"/>
      <c r="BN4" s="240"/>
      <c r="BO4" s="240"/>
      <c r="BP4" s="240"/>
    </row>
    <row r="5" spans="1:70" ht="19.5" customHeight="1">
      <c r="A5" s="248"/>
      <c r="B5" s="248"/>
      <c r="C5" s="248"/>
      <c r="D5" s="280" t="s">
        <v>2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2"/>
      <c r="S5" s="258" t="s">
        <v>13</v>
      </c>
      <c r="T5" s="259"/>
      <c r="U5" s="259"/>
      <c r="V5" s="259"/>
      <c r="W5" s="260"/>
      <c r="X5" s="265">
        <f>COUNTIF($BM$13:$BM$72,"3")</f>
        <v>0</v>
      </c>
      <c r="Y5" s="266"/>
      <c r="Z5" s="256" t="e">
        <f>X5/$AD$3</f>
        <v>#DIV/0!</v>
      </c>
      <c r="AA5" s="256"/>
      <c r="AB5" s="30">
        <f>COUNTIFS($BM$13:$BM$72,"3",$D$13:$D$72,"M")</f>
        <v>0</v>
      </c>
      <c r="AC5" s="30">
        <f>COUNTIFS($BM$13:$BM$72,"3",$D$13:$D$72,"F")</f>
        <v>0</v>
      </c>
      <c r="AD5" s="319">
        <f>SUM(X3:Y6)</f>
        <v>0</v>
      </c>
      <c r="AE5" s="319"/>
      <c r="AF5" s="320"/>
      <c r="AG5" s="370">
        <f>COUNTIF($BN$13:$BN$71,"3")</f>
        <v>0</v>
      </c>
      <c r="AH5" s="371"/>
      <c r="AI5" s="305" t="e">
        <f>AG5/$AO$3</f>
        <v>#DIV/0!</v>
      </c>
      <c r="AJ5" s="305"/>
      <c r="AK5" s="221">
        <f>COUNTIFS($BN$13:$BN$72,"3",$D$13:$D$72,"M")</f>
        <v>0</v>
      </c>
      <c r="AL5" s="221"/>
      <c r="AM5" s="221">
        <f>COUNTIFS($BN$13:$BN$72,"3",$D$13:$D$72,"F")</f>
        <v>0</v>
      </c>
      <c r="AN5" s="221"/>
      <c r="AO5" s="217">
        <f>SUM(AG3:AH6)</f>
        <v>0</v>
      </c>
      <c r="AP5" s="217"/>
      <c r="AQ5" s="218"/>
      <c r="AR5" s="367">
        <f>COUNTIF($AZ$13:$AZ$72,"3")</f>
        <v>0</v>
      </c>
      <c r="AS5" s="368"/>
      <c r="AT5" s="313" t="e">
        <f>AR5/$AY$3</f>
        <v>#DIV/0!</v>
      </c>
      <c r="AU5" s="313"/>
      <c r="AV5" s="35">
        <f>COUNTIFS($AZ$13:$AZ$72,"3",$D$13:$D$72,"M")</f>
        <v>0</v>
      </c>
      <c r="AW5" s="369">
        <f>COUNTIFS($AZ$13:$AZ$72,"3",$D$13:$D$72,"F")</f>
        <v>0</v>
      </c>
      <c r="AX5" s="369"/>
      <c r="AY5" s="202">
        <f>SUM(AQ3:AR6)</f>
        <v>0</v>
      </c>
      <c r="AZ5" s="203"/>
      <c r="BA5" s="14"/>
      <c r="BE5" s="240"/>
      <c r="BJ5" s="240"/>
      <c r="BK5" s="240"/>
      <c r="BL5" s="240"/>
      <c r="BM5" s="240"/>
      <c r="BN5" s="240"/>
      <c r="BO5" s="240"/>
      <c r="BP5" s="240"/>
    </row>
    <row r="6" spans="1:70" ht="17.25" customHeight="1">
      <c r="A6" s="241" t="s">
        <v>3</v>
      </c>
      <c r="B6" s="241"/>
      <c r="C6" s="241"/>
      <c r="D6" s="242" t="s">
        <v>4</v>
      </c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  <c r="S6" s="258" t="s">
        <v>14</v>
      </c>
      <c r="T6" s="259"/>
      <c r="U6" s="259"/>
      <c r="V6" s="259"/>
      <c r="W6" s="260"/>
      <c r="X6" s="265">
        <f>COUNTIF($BM$13:$BM$72,"2")</f>
        <v>0</v>
      </c>
      <c r="Y6" s="266"/>
      <c r="Z6" s="255" t="e">
        <f>X6/$AD$3</f>
        <v>#DIV/0!</v>
      </c>
      <c r="AA6" s="255"/>
      <c r="AB6" s="30">
        <f>COUNTIFS($BM$13:$BM$72,"2",$D$13:$D$72,"M")</f>
        <v>0</v>
      </c>
      <c r="AC6" s="30">
        <f>COUNTIFS($BM$13:$BM$72,"2",$D$13:$D$72,"F")</f>
        <v>0</v>
      </c>
      <c r="AD6" s="289" t="s">
        <v>49</v>
      </c>
      <c r="AE6" s="289"/>
      <c r="AF6" s="290"/>
      <c r="AG6" s="370">
        <f>COUNTIF($BN$13:$BN$71,"2")</f>
        <v>0</v>
      </c>
      <c r="AH6" s="371"/>
      <c r="AI6" s="305" t="e">
        <f>AG6/$AO$3</f>
        <v>#DIV/0!</v>
      </c>
      <c r="AJ6" s="305"/>
      <c r="AK6" s="221">
        <f>COUNTIFS($BN$13:$BN$72,"2",$D$13:$D$72,"M")</f>
        <v>0</v>
      </c>
      <c r="AL6" s="221"/>
      <c r="AM6" s="221">
        <f>COUNTIFS($BN$13:$BN$72,"2",$D$13:$D$72,"F")</f>
        <v>0</v>
      </c>
      <c r="AN6" s="221"/>
      <c r="AO6" s="215" t="s">
        <v>49</v>
      </c>
      <c r="AP6" s="215"/>
      <c r="AQ6" s="216"/>
      <c r="AR6" s="367">
        <f>COUNTIF($AZ$13:$AZ$72,"2")</f>
        <v>0</v>
      </c>
      <c r="AS6" s="368"/>
      <c r="AT6" s="313" t="e">
        <f>AR6/$AY$3</f>
        <v>#DIV/0!</v>
      </c>
      <c r="AU6" s="313"/>
      <c r="AV6" s="35">
        <f>COUNTIFS($AZ$13:$AZ$72,"2",$D$13:$D$72,"M")</f>
        <v>0</v>
      </c>
      <c r="AW6" s="369">
        <f>COUNTIFS($AZ$13:$AZ$72,"2",$D$13:$D$72,"F")</f>
        <v>0</v>
      </c>
      <c r="AX6" s="369"/>
      <c r="AY6" s="200" t="s">
        <v>49</v>
      </c>
      <c r="AZ6" s="201"/>
      <c r="BA6" s="15"/>
      <c r="BE6" s="240"/>
      <c r="BJ6" s="240"/>
      <c r="BK6" s="240"/>
      <c r="BL6" s="240"/>
      <c r="BM6" s="240"/>
      <c r="BN6" s="240"/>
      <c r="BO6" s="240"/>
      <c r="BP6" s="240"/>
    </row>
    <row r="7" spans="1:70" ht="16.5" customHeight="1" thickBot="1">
      <c r="A7" s="241"/>
      <c r="B7" s="241"/>
      <c r="C7" s="241"/>
      <c r="D7" s="245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  <c r="S7" s="261" t="s">
        <v>21</v>
      </c>
      <c r="T7" s="262"/>
      <c r="U7" s="262"/>
      <c r="V7" s="262"/>
      <c r="W7" s="263"/>
      <c r="X7" s="283">
        <f>COUNTIF($BM$13:$BM$72,"1")</f>
        <v>0</v>
      </c>
      <c r="Y7" s="284"/>
      <c r="Z7" s="257" t="e">
        <f>X7/$AD$3</f>
        <v>#DIV/0!</v>
      </c>
      <c r="AA7" s="257"/>
      <c r="AB7" s="30">
        <f>COUNTIFS($BM$13:$BM$72,"1",$D$13:$D$72,"M")</f>
        <v>0</v>
      </c>
      <c r="AC7" s="30">
        <f>COUNTIFS($BM$13:$BM$72,"1",$D$13:$D$72,"F")</f>
        <v>0</v>
      </c>
      <c r="AD7" s="317">
        <f>X7</f>
        <v>0</v>
      </c>
      <c r="AE7" s="317"/>
      <c r="AF7" s="318"/>
      <c r="AG7" s="373">
        <f>COUNTIF($BN$13:$BN$71,"1")</f>
        <v>0</v>
      </c>
      <c r="AH7" s="374"/>
      <c r="AI7" s="294" t="e">
        <f>AG7/$AO$3</f>
        <v>#DIV/0!</v>
      </c>
      <c r="AJ7" s="294"/>
      <c r="AK7" s="270">
        <f>COUNTIFS($BN$13:$BN$72,"1",$D$13:$D$72,"M")</f>
        <v>0</v>
      </c>
      <c r="AL7" s="270"/>
      <c r="AM7" s="270">
        <f>COUNTIFS($BN$13:$BN$72,"1",$D$13:$D$72,"F")</f>
        <v>0</v>
      </c>
      <c r="AN7" s="270"/>
      <c r="AO7" s="219">
        <f>AG7</f>
        <v>0</v>
      </c>
      <c r="AP7" s="219"/>
      <c r="AQ7" s="220"/>
      <c r="AR7" s="375">
        <f>COUNTIF($AZ$13:$AZ$72,"1")</f>
        <v>0</v>
      </c>
      <c r="AS7" s="376"/>
      <c r="AT7" s="314" t="e">
        <f>AR7/$AY$3</f>
        <v>#DIV/0!</v>
      </c>
      <c r="AU7" s="314"/>
      <c r="AV7" s="36">
        <f>COUNTIFS($AZ$13:$AZ$72,"1",$D$13:$D$72,"M")</f>
        <v>0</v>
      </c>
      <c r="AW7" s="372">
        <f>COUNTIFS($AZ$13:$AZ$72,"1",$D$13:$D$72,"F")</f>
        <v>0</v>
      </c>
      <c r="AX7" s="372"/>
      <c r="AY7" s="204">
        <f>AR7</f>
        <v>0</v>
      </c>
      <c r="AZ7" s="205"/>
      <c r="BA7" s="14"/>
      <c r="BE7" s="240"/>
      <c r="BJ7" s="240"/>
      <c r="BK7" s="240"/>
      <c r="BL7" s="240"/>
      <c r="BM7" s="240"/>
      <c r="BN7" s="240"/>
      <c r="BO7" s="240"/>
      <c r="BP7" s="240"/>
    </row>
    <row r="8" spans="1:70" ht="17.25" customHeight="1" thickBot="1">
      <c r="A8" s="249" t="s">
        <v>22</v>
      </c>
      <c r="B8" s="249"/>
      <c r="C8" s="249"/>
      <c r="D8" s="237" t="s">
        <v>5</v>
      </c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185" t="s">
        <v>55</v>
      </c>
      <c r="T8" s="186"/>
      <c r="U8" s="186"/>
      <c r="V8" s="186"/>
      <c r="W8" s="186"/>
      <c r="X8" s="186"/>
      <c r="Y8" s="186"/>
      <c r="Z8" s="186"/>
      <c r="AA8" s="186"/>
      <c r="AB8" s="186"/>
      <c r="AC8" s="187"/>
      <c r="AD8" s="251" t="e">
        <f>AVERAGEIF(BL13:BL72,"&gt;=1")</f>
        <v>#DIV/0!</v>
      </c>
      <c r="AE8" s="252"/>
      <c r="AF8" s="253"/>
      <c r="AG8" s="188" t="s">
        <v>54</v>
      </c>
      <c r="AH8" s="189"/>
      <c r="AI8" s="189"/>
      <c r="AJ8" s="189"/>
      <c r="AK8" s="189"/>
      <c r="AL8" s="189"/>
      <c r="AM8" s="189"/>
      <c r="AN8" s="190"/>
      <c r="AO8" s="226" t="e">
        <f>AVERAGEIF(BN13:BN72,"&gt;=1")</f>
        <v>#DIV/0!</v>
      </c>
      <c r="AP8" s="227"/>
      <c r="AQ8" s="228"/>
      <c r="AR8" s="193" t="s">
        <v>24</v>
      </c>
      <c r="AS8" s="194"/>
      <c r="AT8" s="194"/>
      <c r="AU8" s="194"/>
      <c r="AV8" s="194"/>
      <c r="AW8" s="194"/>
      <c r="AX8" s="195"/>
      <c r="AY8" s="191" t="e">
        <f>AVERAGEIF(BK13:BK72,"&gt;=1")</f>
        <v>#DIV/0!</v>
      </c>
      <c r="AZ8" s="192"/>
      <c r="BA8" s="14"/>
      <c r="BE8" s="240"/>
      <c r="BJ8" s="240"/>
      <c r="BK8" s="240"/>
      <c r="BL8" s="240"/>
      <c r="BM8" s="240"/>
      <c r="BN8" s="240"/>
      <c r="BO8" s="240"/>
      <c r="BP8" s="240"/>
    </row>
    <row r="9" spans="1:70" ht="15.75" customHeight="1">
      <c r="A9" s="347" t="s">
        <v>28</v>
      </c>
      <c r="B9" s="347"/>
      <c r="C9" s="348"/>
      <c r="D9" s="378" t="s">
        <v>56</v>
      </c>
      <c r="E9" s="235" t="s">
        <v>7</v>
      </c>
      <c r="F9" s="301" t="s">
        <v>27</v>
      </c>
      <c r="G9" s="301"/>
      <c r="H9" s="301"/>
      <c r="I9" s="301"/>
      <c r="J9" s="301"/>
      <c r="K9" s="352" t="s">
        <v>1</v>
      </c>
      <c r="L9" s="340" t="s">
        <v>26</v>
      </c>
      <c r="M9" s="341"/>
      <c r="N9" s="341"/>
      <c r="O9" s="341"/>
      <c r="P9" s="342"/>
      <c r="Q9" s="352" t="s">
        <v>1</v>
      </c>
      <c r="R9" s="224" t="s">
        <v>25</v>
      </c>
      <c r="S9" s="224"/>
      <c r="T9" s="224"/>
      <c r="U9" s="224"/>
      <c r="V9" s="224"/>
      <c r="W9" s="352" t="s">
        <v>1</v>
      </c>
      <c r="X9" s="224" t="s">
        <v>10</v>
      </c>
      <c r="Y9" s="224"/>
      <c r="Z9" s="352" t="s">
        <v>1</v>
      </c>
      <c r="AA9" s="306" t="s">
        <v>34</v>
      </c>
      <c r="AB9" s="365" t="s">
        <v>37</v>
      </c>
      <c r="AC9" s="301" t="s">
        <v>27</v>
      </c>
      <c r="AD9" s="301"/>
      <c r="AE9" s="301"/>
      <c r="AF9" s="301"/>
      <c r="AG9" s="301"/>
      <c r="AH9" s="299" t="s">
        <v>1</v>
      </c>
      <c r="AI9" s="301" t="s">
        <v>26</v>
      </c>
      <c r="AJ9" s="301"/>
      <c r="AK9" s="301"/>
      <c r="AL9" s="301"/>
      <c r="AM9" s="301"/>
      <c r="AN9" s="299" t="s">
        <v>1</v>
      </c>
      <c r="AO9" s="224" t="s">
        <v>25</v>
      </c>
      <c r="AP9" s="224"/>
      <c r="AQ9" s="224"/>
      <c r="AR9" s="224"/>
      <c r="AS9" s="224"/>
      <c r="AT9" s="299" t="s">
        <v>1</v>
      </c>
      <c r="AU9" s="224" t="s">
        <v>10</v>
      </c>
      <c r="AV9" s="224"/>
      <c r="AW9" s="299" t="s">
        <v>1</v>
      </c>
      <c r="AX9" s="306" t="s">
        <v>33</v>
      </c>
      <c r="AY9" s="308" t="s">
        <v>32</v>
      </c>
      <c r="AZ9" s="363" t="s">
        <v>36</v>
      </c>
      <c r="BE9" s="240"/>
      <c r="BJ9" s="240"/>
      <c r="BK9" s="240"/>
      <c r="BL9" s="240"/>
      <c r="BM9" s="240"/>
      <c r="BN9" s="240"/>
      <c r="BO9" s="240"/>
      <c r="BP9" s="240"/>
    </row>
    <row r="10" spans="1:70" ht="18" customHeight="1">
      <c r="A10" s="349"/>
      <c r="B10" s="349"/>
      <c r="C10" s="350"/>
      <c r="D10" s="379"/>
      <c r="E10" s="235"/>
      <c r="F10" s="302"/>
      <c r="G10" s="302"/>
      <c r="H10" s="302"/>
      <c r="I10" s="302"/>
      <c r="J10" s="302"/>
      <c r="K10" s="352"/>
      <c r="L10" s="340"/>
      <c r="M10" s="341"/>
      <c r="N10" s="341"/>
      <c r="O10" s="341"/>
      <c r="P10" s="342"/>
      <c r="Q10" s="352"/>
      <c r="R10" s="225"/>
      <c r="S10" s="225"/>
      <c r="T10" s="225"/>
      <c r="U10" s="225"/>
      <c r="V10" s="225"/>
      <c r="W10" s="352"/>
      <c r="X10" s="225"/>
      <c r="Y10" s="225"/>
      <c r="Z10" s="352"/>
      <c r="AA10" s="307"/>
      <c r="AB10" s="365"/>
      <c r="AC10" s="302"/>
      <c r="AD10" s="302"/>
      <c r="AE10" s="302"/>
      <c r="AF10" s="302"/>
      <c r="AG10" s="302"/>
      <c r="AH10" s="300"/>
      <c r="AI10" s="302"/>
      <c r="AJ10" s="302"/>
      <c r="AK10" s="302"/>
      <c r="AL10" s="302"/>
      <c r="AM10" s="302"/>
      <c r="AN10" s="300"/>
      <c r="AO10" s="225"/>
      <c r="AP10" s="225"/>
      <c r="AQ10" s="225"/>
      <c r="AR10" s="225"/>
      <c r="AS10" s="225"/>
      <c r="AT10" s="300"/>
      <c r="AU10" s="225"/>
      <c r="AV10" s="225"/>
      <c r="AW10" s="300"/>
      <c r="AX10" s="307"/>
      <c r="AY10" s="309"/>
      <c r="AZ10" s="363"/>
      <c r="BE10" s="240"/>
      <c r="BJ10" s="240"/>
      <c r="BK10" s="240"/>
      <c r="BL10" s="240"/>
      <c r="BM10" s="240"/>
      <c r="BN10" s="240"/>
      <c r="BO10" s="240"/>
      <c r="BP10" s="240"/>
    </row>
    <row r="11" spans="1:70" ht="18" customHeight="1">
      <c r="A11" s="334" t="s">
        <v>8</v>
      </c>
      <c r="B11" s="359" t="s">
        <v>35</v>
      </c>
      <c r="C11" s="360"/>
      <c r="D11" s="379"/>
      <c r="E11" s="235"/>
      <c r="F11" s="302"/>
      <c r="G11" s="302"/>
      <c r="H11" s="302"/>
      <c r="I11" s="302"/>
      <c r="J11" s="302"/>
      <c r="K11" s="352"/>
      <c r="L11" s="343"/>
      <c r="M11" s="344"/>
      <c r="N11" s="344"/>
      <c r="O11" s="344"/>
      <c r="P11" s="345"/>
      <c r="Q11" s="352"/>
      <c r="R11" s="225"/>
      <c r="S11" s="225"/>
      <c r="T11" s="225"/>
      <c r="U11" s="225"/>
      <c r="V11" s="225"/>
      <c r="W11" s="352"/>
      <c r="X11" s="225"/>
      <c r="Y11" s="225"/>
      <c r="Z11" s="352"/>
      <c r="AA11" s="307"/>
      <c r="AB11" s="365"/>
      <c r="AC11" s="302"/>
      <c r="AD11" s="302"/>
      <c r="AE11" s="302"/>
      <c r="AF11" s="302"/>
      <c r="AG11" s="302"/>
      <c r="AH11" s="300"/>
      <c r="AI11" s="302"/>
      <c r="AJ11" s="302"/>
      <c r="AK11" s="302"/>
      <c r="AL11" s="302"/>
      <c r="AM11" s="302"/>
      <c r="AN11" s="300"/>
      <c r="AO11" s="225"/>
      <c r="AP11" s="225"/>
      <c r="AQ11" s="225"/>
      <c r="AR11" s="225"/>
      <c r="AS11" s="225"/>
      <c r="AT11" s="300"/>
      <c r="AU11" s="225"/>
      <c r="AV11" s="225"/>
      <c r="AW11" s="300"/>
      <c r="AX11" s="307"/>
      <c r="AY11" s="309"/>
      <c r="AZ11" s="363"/>
      <c r="BE11" s="240"/>
      <c r="BJ11" s="240"/>
      <c r="BK11" s="240"/>
      <c r="BL11" s="240"/>
      <c r="BM11" s="240"/>
      <c r="BN11" s="240"/>
      <c r="BO11" s="240"/>
      <c r="BP11" s="240"/>
    </row>
    <row r="12" spans="1:70" ht="24.75" customHeight="1">
      <c r="A12" s="335"/>
      <c r="B12" s="361"/>
      <c r="C12" s="362"/>
      <c r="D12" s="380"/>
      <c r="E12" s="236"/>
      <c r="F12" s="346">
        <v>0.25</v>
      </c>
      <c r="G12" s="346"/>
      <c r="H12" s="346"/>
      <c r="I12" s="346"/>
      <c r="J12" s="346"/>
      <c r="K12" s="299"/>
      <c r="L12" s="346">
        <v>0.15</v>
      </c>
      <c r="M12" s="346"/>
      <c r="N12" s="346"/>
      <c r="O12" s="346"/>
      <c r="P12" s="346"/>
      <c r="Q12" s="299"/>
      <c r="R12" s="346">
        <v>0.3</v>
      </c>
      <c r="S12" s="346"/>
      <c r="T12" s="346"/>
      <c r="U12" s="346"/>
      <c r="V12" s="346"/>
      <c r="W12" s="299"/>
      <c r="X12" s="351">
        <v>0.3</v>
      </c>
      <c r="Y12" s="351"/>
      <c r="Z12" s="299"/>
      <c r="AA12" s="32">
        <f>F12+L12+R12+X12</f>
        <v>1</v>
      </c>
      <c r="AB12" s="365"/>
      <c r="AC12" s="346">
        <v>0.25</v>
      </c>
      <c r="AD12" s="346"/>
      <c r="AE12" s="346"/>
      <c r="AF12" s="346"/>
      <c r="AG12" s="346"/>
      <c r="AH12" s="300"/>
      <c r="AI12" s="346">
        <v>0.15</v>
      </c>
      <c r="AJ12" s="346"/>
      <c r="AK12" s="346"/>
      <c r="AL12" s="346"/>
      <c r="AM12" s="346"/>
      <c r="AN12" s="300"/>
      <c r="AO12" s="346">
        <v>0.3</v>
      </c>
      <c r="AP12" s="346"/>
      <c r="AQ12" s="346"/>
      <c r="AR12" s="346"/>
      <c r="AS12" s="346"/>
      <c r="AT12" s="300"/>
      <c r="AU12" s="351">
        <v>0.3</v>
      </c>
      <c r="AV12" s="351"/>
      <c r="AW12" s="300"/>
      <c r="AX12" s="34">
        <f>AC12+AI12+AO12+AU12</f>
        <v>1</v>
      </c>
      <c r="AY12" s="309"/>
      <c r="AZ12" s="364"/>
      <c r="BE12" s="240"/>
      <c r="BJ12" s="240"/>
      <c r="BK12" s="240"/>
      <c r="BL12" s="240"/>
      <c r="BM12" s="240"/>
      <c r="BN12" s="240"/>
      <c r="BO12" s="240"/>
      <c r="BP12" s="240"/>
    </row>
    <row r="13" spans="1:70" ht="18.75" customHeight="1">
      <c r="A13" s="336">
        <v>1</v>
      </c>
      <c r="B13" s="338"/>
      <c r="C13" s="338"/>
      <c r="D13" s="225"/>
      <c r="E13" s="19">
        <v>1</v>
      </c>
      <c r="F13" s="17"/>
      <c r="G13" s="17"/>
      <c r="H13" s="17"/>
      <c r="I13" s="17"/>
      <c r="J13" s="17"/>
      <c r="K13" s="8" t="e">
        <f>AVERAGE(F13:J13)</f>
        <v>#DIV/0!</v>
      </c>
      <c r="L13" s="17"/>
      <c r="M13" s="17"/>
      <c r="N13" s="17"/>
      <c r="O13" s="17"/>
      <c r="P13" s="17"/>
      <c r="Q13" s="9" t="e">
        <f>AVERAGE(L13:P13)</f>
        <v>#DIV/0!</v>
      </c>
      <c r="R13" s="17"/>
      <c r="S13" s="17"/>
      <c r="T13" s="17"/>
      <c r="U13" s="17"/>
      <c r="V13" s="17"/>
      <c r="W13" s="9" t="e">
        <f>AVERAGE(R13:V13)</f>
        <v>#DIV/0!</v>
      </c>
      <c r="X13" s="233"/>
      <c r="Y13" s="234"/>
      <c r="Z13" s="9" t="str">
        <f>IF(X13&gt;=85,"5",IF(X13&gt;=65,"4",IF(X13&gt;=55,"3",IF(X13&gt;=40,"2",IF(X13&gt;=1,"1",IF(X13&gt;="","0"))))))</f>
        <v>0</v>
      </c>
      <c r="AA13" s="7" t="e">
        <f t="shared" ref="AA13:AA72" si="0">IF(BE13&gt;=4.5, " 5 ", IF(BE13&gt;=3.5," 4 ",IF(BE13&gt;=2.5," 3  ",IF(BE13&gt;=1.5," 2 ",IF(BE13&gt;=1,"1 ",IF(BE13&gt;=0,"0"))))))</f>
        <v>#DIV/0!</v>
      </c>
      <c r="AB13" s="365"/>
      <c r="AC13" s="17"/>
      <c r="AD13" s="17"/>
      <c r="AE13" s="17"/>
      <c r="AF13" s="17"/>
      <c r="AG13" s="17"/>
      <c r="AH13" s="9" t="e">
        <f>AVERAGE(AC13:AG13)</f>
        <v>#DIV/0!</v>
      </c>
      <c r="AI13" s="17"/>
      <c r="AJ13" s="17"/>
      <c r="AK13" s="17"/>
      <c r="AL13" s="17"/>
      <c r="AM13" s="17"/>
      <c r="AN13" s="9" t="e">
        <f>AVERAGE(AI13:AM13)</f>
        <v>#DIV/0!</v>
      </c>
      <c r="AO13" s="17"/>
      <c r="AP13" s="17"/>
      <c r="AQ13" s="17"/>
      <c r="AR13" s="17"/>
      <c r="AS13" s="17"/>
      <c r="AT13" s="9" t="e">
        <f>AVERAGE(AO13:AS13)</f>
        <v>#DIV/0!</v>
      </c>
      <c r="AU13" s="208"/>
      <c r="AV13" s="209"/>
      <c r="AW13" s="9" t="str">
        <f>IF(AU13&gt;=85,"5",IF(AU13&gt;=65,"4",IF(AU13&gt;=55,"3",IF(AU13&gt;=40,"2",IF(AU13&gt;=1,"1",IF(AU13&gt;="","0"))))))</f>
        <v>0</v>
      </c>
      <c r="AX13" s="7" t="e">
        <f t="shared" ref="AX13:AY72" si="1">IF(BJ13&gt;=4.5, " 5 ", IF(BJ13&gt;=3.5," 4 ",IF(BJ13&gt;=2.5," 3  ",IF(BJ13&gt;=1.5," 2 ",IF(BJ13&gt;=1,"1 ",IF(BJ13&gt;=0,"0"))))))</f>
        <v>#DIV/0!</v>
      </c>
      <c r="AY13" s="18" t="e">
        <f>IF(BK13&gt;=4.5, " 5 ", IF(BK13&gt;=3.5," 4 ",IF(BK13&gt;=2.5," 3  ",IF(BK13&gt;=1.5," 2 ",IF(BK13&gt;=1,"1 ",IF(BK13&gt;=0,"0"))))))</f>
        <v>#DIV/0!</v>
      </c>
      <c r="AZ13" s="231" t="e">
        <f>IF(BP13&gt;=4.5, " 5 ", IF(BP13&gt;=3.5," 4 ",IF(BP13&gt;=2.5," 3  ",IF(BP13&gt;=1.5," 2 ",IF(BP13&gt;=1,"1 ",IF(BP13&gt;=0,"0"))))))</f>
        <v>#DIV/0!</v>
      </c>
      <c r="BA13" s="4" t="e">
        <f t="shared" ref="BA13:BA72" si="2">$K13*$F$12</f>
        <v>#DIV/0!</v>
      </c>
      <c r="BB13" s="4" t="e">
        <f>Q13*L12</f>
        <v>#DIV/0!</v>
      </c>
      <c r="BC13" s="4" t="e">
        <f>$W13*$R$12</f>
        <v>#DIV/0!</v>
      </c>
      <c r="BD13" s="4">
        <f>$Z13*$X$12</f>
        <v>0</v>
      </c>
      <c r="BE13" s="12" t="e">
        <f t="shared" ref="BE13:BE72" si="3">BA13+BB13+BC13+BD13</f>
        <v>#DIV/0!</v>
      </c>
      <c r="BF13" s="4" t="e">
        <f>$AH13*$AC$12</f>
        <v>#DIV/0!</v>
      </c>
      <c r="BG13" s="4" t="e">
        <f>$AN13*$AI$12</f>
        <v>#DIV/0!</v>
      </c>
      <c r="BH13" s="4" t="e">
        <f>$AT13*$AO$12</f>
        <v>#DIV/0!</v>
      </c>
      <c r="BI13" s="4">
        <f>$AW13*$AU$12</f>
        <v>0</v>
      </c>
      <c r="BJ13" s="12" t="e">
        <f t="shared" ref="BJ13:BJ72" si="4">(BF13+BG13+BH13+BI13)</f>
        <v>#DIV/0!</v>
      </c>
      <c r="BK13" s="12" t="e">
        <f t="shared" ref="BK13:BK72" si="5">(BE13+BJ13)/2</f>
        <v>#DIV/0!</v>
      </c>
      <c r="BL13" s="12" t="e">
        <f>(BE13+BJ13)/2</f>
        <v>#DIV/0!</v>
      </c>
      <c r="BM13" s="10" t="e">
        <f>ROUND(BL13,)</f>
        <v>#DIV/0!</v>
      </c>
      <c r="BN13" s="176" t="e">
        <f>ROUND(BO14,)</f>
        <v>#DIV/0!</v>
      </c>
      <c r="BO13" s="12" t="e">
        <f t="shared" ref="BO13:BO72" si="6">(BE13+BJ13)/2</f>
        <v>#DIV/0!</v>
      </c>
      <c r="BP13" s="11" t="e">
        <f>(AY13+AY14)/2</f>
        <v>#DIV/0!</v>
      </c>
      <c r="BQ13" s="6"/>
      <c r="BR13" s="6"/>
    </row>
    <row r="14" spans="1:70" ht="17.25" customHeight="1" thickBot="1">
      <c r="A14" s="337"/>
      <c r="B14" s="321"/>
      <c r="C14" s="321"/>
      <c r="D14" s="225"/>
      <c r="E14" s="20">
        <v>2</v>
      </c>
      <c r="F14" s="17"/>
      <c r="G14" s="17"/>
      <c r="H14" s="17"/>
      <c r="I14" s="17"/>
      <c r="J14" s="17"/>
      <c r="K14" s="8" t="e">
        <f t="shared" ref="K14:K72" si="7">AVERAGE(F14:J14)</f>
        <v>#DIV/0!</v>
      </c>
      <c r="L14" s="17"/>
      <c r="M14" s="17"/>
      <c r="N14" s="17"/>
      <c r="O14" s="17"/>
      <c r="P14" s="17"/>
      <c r="Q14" s="9" t="e">
        <f>AVERAGE(L14:P14)</f>
        <v>#DIV/0!</v>
      </c>
      <c r="R14" s="17"/>
      <c r="S14" s="17"/>
      <c r="T14" s="17"/>
      <c r="U14" s="17"/>
      <c r="V14" s="17"/>
      <c r="W14" s="9" t="e">
        <f t="shared" ref="W14:W71" si="8">AVERAGE(R14:V14)</f>
        <v>#DIV/0!</v>
      </c>
      <c r="X14" s="233"/>
      <c r="Y14" s="234"/>
      <c r="Z14" s="9" t="str">
        <f t="shared" ref="Z14:Z72" si="9">IF(X14&gt;=85,"5",IF(X14&gt;=65,"4",IF(X14&gt;=55,"3",IF(X14&gt;=40,"2",IF(X14&gt;=1,"1",IF(X14&gt;="","0"))))))</f>
        <v>0</v>
      </c>
      <c r="AA14" s="7" t="e">
        <f t="shared" si="0"/>
        <v>#DIV/0!</v>
      </c>
      <c r="AB14" s="365"/>
      <c r="AC14" s="17"/>
      <c r="AD14" s="17"/>
      <c r="AE14" s="17"/>
      <c r="AF14" s="17"/>
      <c r="AG14" s="17"/>
      <c r="AH14" s="9" t="e">
        <f t="shared" ref="AH14:AH72" si="10">AVERAGE(AC14:AG14)</f>
        <v>#DIV/0!</v>
      </c>
      <c r="AI14" s="17"/>
      <c r="AJ14" s="17"/>
      <c r="AK14" s="17"/>
      <c r="AL14" s="17"/>
      <c r="AM14" s="17"/>
      <c r="AN14" s="9" t="e">
        <f t="shared" ref="AN14:AN72" si="11">AVERAGE(AI14:AM14)</f>
        <v>#DIV/0!</v>
      </c>
      <c r="AO14" s="17"/>
      <c r="AP14" s="17"/>
      <c r="AQ14" s="17"/>
      <c r="AR14" s="17"/>
      <c r="AS14" s="17"/>
      <c r="AT14" s="9" t="e">
        <f t="shared" ref="AT14:AT72" si="12">AVERAGE(AO14:AS14)</f>
        <v>#DIV/0!</v>
      </c>
      <c r="AU14" s="208"/>
      <c r="AV14" s="209"/>
      <c r="AW14" s="9" t="str">
        <f t="shared" ref="AW14:AW72" si="13">IF(AU14&gt;=85,"5",IF(AU14&gt;=65,"4",IF(AU14&gt;=55,"3",IF(AU14&gt;=40,"2",IF(AU14&gt;=1,"1",IF(AU14&gt;="","0"))))))</f>
        <v>0</v>
      </c>
      <c r="AX14" s="7" t="e">
        <f t="shared" si="1"/>
        <v>#DIV/0!</v>
      </c>
      <c r="AY14" s="18" t="e">
        <f>IF(BK14&gt;=4.5, " 5 ", IF(BK14&gt;=3.5," 4 ",IF(BK14&gt;=2.5," 3  ",IF(BK14&gt;=1.5," 2 ",IF(BK14&gt;=1,"1 ",IF(BK14&gt;=0,"0"))))))</f>
        <v>#DIV/0!</v>
      </c>
      <c r="AZ14" s="232"/>
      <c r="BA14" s="4" t="e">
        <f t="shared" si="2"/>
        <v>#DIV/0!</v>
      </c>
      <c r="BB14" s="4" t="e">
        <f t="shared" ref="BB14:BB72" si="14">$Q14*$L$12</f>
        <v>#DIV/0!</v>
      </c>
      <c r="BC14" s="4" t="e">
        <f t="shared" ref="BC14:BC72" si="15">$W14*$R$12</f>
        <v>#DIV/0!</v>
      </c>
      <c r="BD14" s="4">
        <f t="shared" ref="BD14:BD72" si="16">$Z14*$X$12</f>
        <v>0</v>
      </c>
      <c r="BE14" s="12" t="e">
        <f t="shared" si="3"/>
        <v>#DIV/0!</v>
      </c>
      <c r="BF14" s="4" t="e">
        <f t="shared" ref="BF14:BF72" si="17">$AH14*$AC$12</f>
        <v>#DIV/0!</v>
      </c>
      <c r="BG14" s="4" t="e">
        <f t="shared" ref="BG14:BG72" si="18">$AN14*$AI$12</f>
        <v>#DIV/0!</v>
      </c>
      <c r="BH14" s="4" t="e">
        <f t="shared" ref="BH14:BH72" si="19">$AT14*$AO$12</f>
        <v>#DIV/0!</v>
      </c>
      <c r="BI14" s="4">
        <f t="shared" ref="BI14:BI72" si="20">$AW14*$AU$12</f>
        <v>0</v>
      </c>
      <c r="BJ14" s="12" t="e">
        <f t="shared" si="4"/>
        <v>#DIV/0!</v>
      </c>
      <c r="BK14" s="12" t="e">
        <f t="shared" si="5"/>
        <v>#DIV/0!</v>
      </c>
      <c r="BL14" s="12"/>
      <c r="BM14" s="10"/>
      <c r="BN14" s="176"/>
      <c r="BO14" s="12" t="e">
        <f t="shared" si="6"/>
        <v>#DIV/0!</v>
      </c>
      <c r="BP14" s="11"/>
      <c r="BQ14" s="6"/>
      <c r="BR14" s="6"/>
    </row>
    <row r="15" spans="1:70" ht="20.25" customHeight="1">
      <c r="A15" s="332">
        <v>2</v>
      </c>
      <c r="B15" s="321"/>
      <c r="C15" s="321"/>
      <c r="D15" s="225"/>
      <c r="E15" s="21">
        <v>1</v>
      </c>
      <c r="F15" s="17"/>
      <c r="G15" s="17"/>
      <c r="H15" s="17"/>
      <c r="I15" s="17"/>
      <c r="J15" s="17"/>
      <c r="K15" s="8" t="e">
        <f t="shared" si="7"/>
        <v>#DIV/0!</v>
      </c>
      <c r="L15" s="17"/>
      <c r="M15" s="17"/>
      <c r="N15" s="17"/>
      <c r="O15" s="17"/>
      <c r="P15" s="17"/>
      <c r="Q15" s="9" t="e">
        <f>AVERAGE(L15:P15)</f>
        <v>#DIV/0!</v>
      </c>
      <c r="R15" s="17"/>
      <c r="S15" s="17"/>
      <c r="T15" s="17"/>
      <c r="U15" s="17"/>
      <c r="V15" s="17"/>
      <c r="W15" s="9" t="e">
        <f t="shared" si="8"/>
        <v>#DIV/0!</v>
      </c>
      <c r="X15" s="233"/>
      <c r="Y15" s="234"/>
      <c r="Z15" s="9" t="str">
        <f t="shared" si="9"/>
        <v>0</v>
      </c>
      <c r="AA15" s="7" t="e">
        <f t="shared" si="0"/>
        <v>#DIV/0!</v>
      </c>
      <c r="AB15" s="365"/>
      <c r="AC15" s="17"/>
      <c r="AD15" s="17"/>
      <c r="AE15" s="17"/>
      <c r="AF15" s="17"/>
      <c r="AG15" s="17"/>
      <c r="AH15" s="9" t="e">
        <f t="shared" si="10"/>
        <v>#DIV/0!</v>
      </c>
      <c r="AI15" s="17"/>
      <c r="AJ15" s="17"/>
      <c r="AK15" s="17"/>
      <c r="AL15" s="17"/>
      <c r="AM15" s="17"/>
      <c r="AN15" s="9" t="e">
        <f t="shared" si="11"/>
        <v>#DIV/0!</v>
      </c>
      <c r="AO15" s="17"/>
      <c r="AP15" s="17"/>
      <c r="AQ15" s="17"/>
      <c r="AR15" s="17"/>
      <c r="AS15" s="17"/>
      <c r="AT15" s="9" t="e">
        <f t="shared" si="12"/>
        <v>#DIV/0!</v>
      </c>
      <c r="AU15" s="208"/>
      <c r="AV15" s="209"/>
      <c r="AW15" s="9" t="str">
        <f t="shared" si="13"/>
        <v>0</v>
      </c>
      <c r="AX15" s="7" t="e">
        <f t="shared" si="1"/>
        <v>#DIV/0!</v>
      </c>
      <c r="AY15" s="18" t="e">
        <f>IF(BK15&gt;=4.5, " 5 ", IF(BK15&gt;=3.5," 4 ",IF(BK15&gt;=2.5," 3  ",IF(BK15&gt;=1.5," 2 ",IF(BK15&gt;=1,"1 ",IF(BK15&gt;=0,"0"))))))</f>
        <v>#DIV/0!</v>
      </c>
      <c r="AZ15" s="231" t="e">
        <f>IF(BP15&gt;=4.5, " 5 ", IF(BP15&gt;=3.5," 4 ",IF(BP15&gt;=2.5," 3  ",IF(BP15&gt;=1.5," 2 ",IF(BP15&gt;=1,"1 ",IF(BP15&gt;=0,"0"))))))</f>
        <v>#DIV/0!</v>
      </c>
      <c r="BA15" s="4" t="e">
        <f t="shared" si="2"/>
        <v>#DIV/0!</v>
      </c>
      <c r="BB15" s="4" t="e">
        <f t="shared" si="14"/>
        <v>#DIV/0!</v>
      </c>
      <c r="BC15" s="4" t="e">
        <f t="shared" si="15"/>
        <v>#DIV/0!</v>
      </c>
      <c r="BD15" s="4">
        <f t="shared" si="16"/>
        <v>0</v>
      </c>
      <c r="BE15" s="12" t="e">
        <f t="shared" si="3"/>
        <v>#DIV/0!</v>
      </c>
      <c r="BF15" s="4" t="e">
        <f t="shared" si="17"/>
        <v>#DIV/0!</v>
      </c>
      <c r="BG15" s="4" t="e">
        <f t="shared" si="18"/>
        <v>#DIV/0!</v>
      </c>
      <c r="BH15" s="4" t="e">
        <f t="shared" si="19"/>
        <v>#DIV/0!</v>
      </c>
      <c r="BI15" s="4">
        <f t="shared" si="20"/>
        <v>0</v>
      </c>
      <c r="BJ15" s="12" t="e">
        <f t="shared" si="4"/>
        <v>#DIV/0!</v>
      </c>
      <c r="BK15" s="12" t="e">
        <f t="shared" si="5"/>
        <v>#DIV/0!</v>
      </c>
      <c r="BL15" s="12" t="e">
        <f>(BE15+BJ15)/2</f>
        <v>#DIV/0!</v>
      </c>
      <c r="BM15" s="10" t="e">
        <f t="shared" ref="BM15:BM71" si="21">ROUND(BL15,)</f>
        <v>#DIV/0!</v>
      </c>
      <c r="BN15" s="176" t="e">
        <f t="shared" ref="BN15" si="22">ROUND(BO16,)</f>
        <v>#DIV/0!</v>
      </c>
      <c r="BO15" s="12" t="e">
        <f t="shared" si="6"/>
        <v>#DIV/0!</v>
      </c>
      <c r="BP15" s="11" t="e">
        <f>(AY15+AY16)/2</f>
        <v>#DIV/0!</v>
      </c>
      <c r="BQ15" s="6"/>
      <c r="BR15" s="6"/>
    </row>
    <row r="16" spans="1:70" ht="20.25" customHeight="1" thickBot="1">
      <c r="A16" s="333"/>
      <c r="B16" s="321"/>
      <c r="C16" s="321"/>
      <c r="D16" s="225"/>
      <c r="E16" s="20">
        <v>2</v>
      </c>
      <c r="F16" s="17"/>
      <c r="G16" s="17"/>
      <c r="H16" s="17"/>
      <c r="I16" s="17"/>
      <c r="J16" s="17"/>
      <c r="K16" s="8" t="e">
        <f t="shared" si="7"/>
        <v>#DIV/0!</v>
      </c>
      <c r="L16" s="17"/>
      <c r="M16" s="17"/>
      <c r="N16" s="17"/>
      <c r="O16" s="17"/>
      <c r="P16" s="17"/>
      <c r="Q16" s="9" t="e">
        <f>AVERAGE(L16:P16)</f>
        <v>#DIV/0!</v>
      </c>
      <c r="R16" s="17"/>
      <c r="S16" s="17"/>
      <c r="T16" s="17"/>
      <c r="U16" s="17"/>
      <c r="V16" s="17"/>
      <c r="W16" s="9" t="e">
        <f t="shared" si="8"/>
        <v>#DIV/0!</v>
      </c>
      <c r="X16" s="233"/>
      <c r="Y16" s="234"/>
      <c r="Z16" s="9" t="str">
        <f t="shared" si="9"/>
        <v>0</v>
      </c>
      <c r="AA16" s="7" t="e">
        <f t="shared" si="0"/>
        <v>#DIV/0!</v>
      </c>
      <c r="AB16" s="365"/>
      <c r="AC16" s="17"/>
      <c r="AD16" s="17"/>
      <c r="AE16" s="17"/>
      <c r="AF16" s="17"/>
      <c r="AG16" s="17"/>
      <c r="AH16" s="9" t="e">
        <f t="shared" si="10"/>
        <v>#DIV/0!</v>
      </c>
      <c r="AI16" s="17"/>
      <c r="AJ16" s="17"/>
      <c r="AK16" s="17"/>
      <c r="AL16" s="17"/>
      <c r="AM16" s="17"/>
      <c r="AN16" s="9" t="e">
        <f t="shared" si="11"/>
        <v>#DIV/0!</v>
      </c>
      <c r="AO16" s="17"/>
      <c r="AP16" s="17"/>
      <c r="AQ16" s="17"/>
      <c r="AR16" s="17"/>
      <c r="AS16" s="17"/>
      <c r="AT16" s="9" t="e">
        <f t="shared" si="12"/>
        <v>#DIV/0!</v>
      </c>
      <c r="AU16" s="208"/>
      <c r="AV16" s="209"/>
      <c r="AW16" s="9" t="str">
        <f t="shared" si="13"/>
        <v>0</v>
      </c>
      <c r="AX16" s="7" t="e">
        <f t="shared" si="1"/>
        <v>#DIV/0!</v>
      </c>
      <c r="AY16" s="18" t="e">
        <f>IF(BK16&gt;=4.5, " 5 ", IF(BK16&gt;=3.5," 4 ",IF(BK16&gt;=2.5," 3  ",IF(BK16&gt;=1.5," 2 ",IF(BK16&gt;=1,"1 ",IF(BK16&gt;=0,"0"))))))</f>
        <v>#DIV/0!</v>
      </c>
      <c r="AZ16" s="232"/>
      <c r="BA16" s="4" t="e">
        <f t="shared" si="2"/>
        <v>#DIV/0!</v>
      </c>
      <c r="BB16" s="4" t="e">
        <f t="shared" si="14"/>
        <v>#DIV/0!</v>
      </c>
      <c r="BC16" s="4" t="e">
        <f t="shared" si="15"/>
        <v>#DIV/0!</v>
      </c>
      <c r="BD16" s="4">
        <f t="shared" si="16"/>
        <v>0</v>
      </c>
      <c r="BE16" s="12" t="e">
        <f t="shared" si="3"/>
        <v>#DIV/0!</v>
      </c>
      <c r="BF16" s="4" t="e">
        <f t="shared" si="17"/>
        <v>#DIV/0!</v>
      </c>
      <c r="BG16" s="4" t="e">
        <f t="shared" si="18"/>
        <v>#DIV/0!</v>
      </c>
      <c r="BH16" s="4" t="e">
        <f t="shared" si="19"/>
        <v>#DIV/0!</v>
      </c>
      <c r="BI16" s="4">
        <f t="shared" si="20"/>
        <v>0</v>
      </c>
      <c r="BJ16" s="12" t="e">
        <f t="shared" si="4"/>
        <v>#DIV/0!</v>
      </c>
      <c r="BK16" s="12" t="e">
        <f t="shared" si="5"/>
        <v>#DIV/0!</v>
      </c>
      <c r="BL16" s="12"/>
      <c r="BM16" s="10"/>
      <c r="BN16" s="176"/>
      <c r="BO16" s="12" t="e">
        <f t="shared" si="6"/>
        <v>#DIV/0!</v>
      </c>
      <c r="BP16" s="11"/>
      <c r="BQ16" s="6"/>
      <c r="BR16" s="6"/>
    </row>
    <row r="17" spans="1:70" ht="20.25" customHeight="1">
      <c r="A17" s="332">
        <v>3</v>
      </c>
      <c r="B17" s="321"/>
      <c r="C17" s="321"/>
      <c r="D17" s="225"/>
      <c r="E17" s="21">
        <v>1</v>
      </c>
      <c r="F17" s="17"/>
      <c r="G17" s="17"/>
      <c r="H17" s="17"/>
      <c r="I17" s="17"/>
      <c r="J17" s="17"/>
      <c r="K17" s="8" t="e">
        <f t="shared" si="7"/>
        <v>#DIV/0!</v>
      </c>
      <c r="L17" s="17"/>
      <c r="M17" s="17"/>
      <c r="N17" s="17"/>
      <c r="O17" s="17"/>
      <c r="P17" s="17"/>
      <c r="Q17" s="9" t="e">
        <f t="shared" ref="Q17:Q72" si="23">AVERAGE(L17:P17)</f>
        <v>#DIV/0!</v>
      </c>
      <c r="R17" s="17"/>
      <c r="S17" s="17"/>
      <c r="T17" s="17"/>
      <c r="U17" s="17"/>
      <c r="V17" s="17"/>
      <c r="W17" s="9" t="e">
        <f t="shared" si="8"/>
        <v>#DIV/0!</v>
      </c>
      <c r="X17" s="233"/>
      <c r="Y17" s="234"/>
      <c r="Z17" s="9" t="str">
        <f t="shared" si="9"/>
        <v>0</v>
      </c>
      <c r="AA17" s="7" t="e">
        <f t="shared" si="0"/>
        <v>#DIV/0!</v>
      </c>
      <c r="AB17" s="365"/>
      <c r="AC17" s="17"/>
      <c r="AD17" s="17"/>
      <c r="AE17" s="17"/>
      <c r="AF17" s="17"/>
      <c r="AG17" s="17"/>
      <c r="AH17" s="9" t="e">
        <f t="shared" si="10"/>
        <v>#DIV/0!</v>
      </c>
      <c r="AI17" s="17"/>
      <c r="AJ17" s="17"/>
      <c r="AK17" s="17"/>
      <c r="AL17" s="17"/>
      <c r="AM17" s="17"/>
      <c r="AN17" s="9" t="e">
        <f t="shared" si="11"/>
        <v>#DIV/0!</v>
      </c>
      <c r="AO17" s="17"/>
      <c r="AP17" s="17"/>
      <c r="AQ17" s="17"/>
      <c r="AR17" s="17"/>
      <c r="AS17" s="17"/>
      <c r="AT17" s="9" t="e">
        <f t="shared" si="12"/>
        <v>#DIV/0!</v>
      </c>
      <c r="AU17" s="208"/>
      <c r="AV17" s="209"/>
      <c r="AW17" s="9" t="str">
        <f t="shared" si="13"/>
        <v>0</v>
      </c>
      <c r="AX17" s="7" t="e">
        <f t="shared" si="1"/>
        <v>#DIV/0!</v>
      </c>
      <c r="AY17" s="18" t="e">
        <f t="shared" si="1"/>
        <v>#DIV/0!</v>
      </c>
      <c r="AZ17" s="231" t="e">
        <f>IF(BP17&gt;=4.5, " 5 ", IF(BP17&gt;=3.5," 4 ",IF(BP17&gt;=2.5," 3  ",IF(BP17&gt;=1.5," 2 ",IF(BP17&gt;=1,"1 ",IF(BP17&gt;=0,"0"))))))</f>
        <v>#DIV/0!</v>
      </c>
      <c r="BA17" s="4" t="e">
        <f t="shared" si="2"/>
        <v>#DIV/0!</v>
      </c>
      <c r="BB17" s="4" t="e">
        <f t="shared" si="14"/>
        <v>#DIV/0!</v>
      </c>
      <c r="BC17" s="4" t="e">
        <f t="shared" si="15"/>
        <v>#DIV/0!</v>
      </c>
      <c r="BD17" s="4">
        <f t="shared" si="16"/>
        <v>0</v>
      </c>
      <c r="BE17" s="12" t="e">
        <f t="shared" si="3"/>
        <v>#DIV/0!</v>
      </c>
      <c r="BF17" s="4" t="e">
        <f t="shared" si="17"/>
        <v>#DIV/0!</v>
      </c>
      <c r="BG17" s="4" t="e">
        <f t="shared" si="18"/>
        <v>#DIV/0!</v>
      </c>
      <c r="BH17" s="4" t="e">
        <f t="shared" si="19"/>
        <v>#DIV/0!</v>
      </c>
      <c r="BI17" s="4">
        <f t="shared" si="20"/>
        <v>0</v>
      </c>
      <c r="BJ17" s="12" t="e">
        <f t="shared" si="4"/>
        <v>#DIV/0!</v>
      </c>
      <c r="BK17" s="12" t="e">
        <f t="shared" si="5"/>
        <v>#DIV/0!</v>
      </c>
      <c r="BL17" s="12" t="e">
        <f>(BE17+BJ17)/2</f>
        <v>#DIV/0!</v>
      </c>
      <c r="BM17" s="10" t="e">
        <f t="shared" si="21"/>
        <v>#DIV/0!</v>
      </c>
      <c r="BN17" s="176" t="e">
        <f t="shared" ref="BN17" si="24">ROUND(BO18,)</f>
        <v>#DIV/0!</v>
      </c>
      <c r="BO17" s="12" t="e">
        <f t="shared" si="6"/>
        <v>#DIV/0!</v>
      </c>
      <c r="BP17" s="11" t="e">
        <f t="shared" ref="BP17:BP71" si="25">(AY17+AY18)/2</f>
        <v>#DIV/0!</v>
      </c>
      <c r="BQ17" s="6"/>
      <c r="BR17" s="6"/>
    </row>
    <row r="18" spans="1:70" ht="20.25" customHeight="1" thickBot="1">
      <c r="A18" s="333"/>
      <c r="B18" s="321"/>
      <c r="C18" s="321"/>
      <c r="D18" s="225"/>
      <c r="E18" s="20">
        <v>2</v>
      </c>
      <c r="F18" s="17"/>
      <c r="G18" s="17"/>
      <c r="H18" s="17"/>
      <c r="I18" s="17"/>
      <c r="J18" s="17"/>
      <c r="K18" s="8" t="e">
        <f t="shared" si="7"/>
        <v>#DIV/0!</v>
      </c>
      <c r="L18" s="17"/>
      <c r="M18" s="17"/>
      <c r="N18" s="17"/>
      <c r="O18" s="17"/>
      <c r="P18" s="17"/>
      <c r="Q18" s="9" t="e">
        <f t="shared" si="23"/>
        <v>#DIV/0!</v>
      </c>
      <c r="R18" s="17"/>
      <c r="S18" s="17"/>
      <c r="T18" s="17"/>
      <c r="U18" s="17"/>
      <c r="V18" s="17"/>
      <c r="W18" s="9" t="e">
        <f t="shared" si="8"/>
        <v>#DIV/0!</v>
      </c>
      <c r="X18" s="233"/>
      <c r="Y18" s="234"/>
      <c r="Z18" s="9" t="str">
        <f t="shared" si="9"/>
        <v>0</v>
      </c>
      <c r="AA18" s="7" t="e">
        <f t="shared" si="0"/>
        <v>#DIV/0!</v>
      </c>
      <c r="AB18" s="365"/>
      <c r="AC18" s="17"/>
      <c r="AD18" s="17"/>
      <c r="AE18" s="17"/>
      <c r="AF18" s="17"/>
      <c r="AG18" s="17"/>
      <c r="AH18" s="9" t="e">
        <f t="shared" si="10"/>
        <v>#DIV/0!</v>
      </c>
      <c r="AI18" s="17"/>
      <c r="AJ18" s="17"/>
      <c r="AK18" s="17"/>
      <c r="AL18" s="17"/>
      <c r="AM18" s="17"/>
      <c r="AN18" s="9" t="e">
        <f t="shared" si="11"/>
        <v>#DIV/0!</v>
      </c>
      <c r="AO18" s="17"/>
      <c r="AP18" s="17"/>
      <c r="AQ18" s="17"/>
      <c r="AR18" s="17"/>
      <c r="AS18" s="17"/>
      <c r="AT18" s="9" t="e">
        <f t="shared" si="12"/>
        <v>#DIV/0!</v>
      </c>
      <c r="AU18" s="208"/>
      <c r="AV18" s="209"/>
      <c r="AW18" s="9" t="str">
        <f t="shared" si="13"/>
        <v>0</v>
      </c>
      <c r="AX18" s="7" t="e">
        <f t="shared" si="1"/>
        <v>#DIV/0!</v>
      </c>
      <c r="AY18" s="18" t="e">
        <f t="shared" si="1"/>
        <v>#DIV/0!</v>
      </c>
      <c r="AZ18" s="232"/>
      <c r="BA18" s="4" t="e">
        <f t="shared" si="2"/>
        <v>#DIV/0!</v>
      </c>
      <c r="BB18" s="4" t="e">
        <f t="shared" si="14"/>
        <v>#DIV/0!</v>
      </c>
      <c r="BC18" s="4" t="e">
        <f t="shared" si="15"/>
        <v>#DIV/0!</v>
      </c>
      <c r="BD18" s="4">
        <f t="shared" si="16"/>
        <v>0</v>
      </c>
      <c r="BE18" s="12" t="e">
        <f t="shared" si="3"/>
        <v>#DIV/0!</v>
      </c>
      <c r="BF18" s="4" t="e">
        <f t="shared" si="17"/>
        <v>#DIV/0!</v>
      </c>
      <c r="BG18" s="4" t="e">
        <f t="shared" si="18"/>
        <v>#DIV/0!</v>
      </c>
      <c r="BH18" s="4" t="e">
        <f t="shared" si="19"/>
        <v>#DIV/0!</v>
      </c>
      <c r="BI18" s="4">
        <f t="shared" si="20"/>
        <v>0</v>
      </c>
      <c r="BJ18" s="12" t="e">
        <f t="shared" si="4"/>
        <v>#DIV/0!</v>
      </c>
      <c r="BK18" s="12" t="e">
        <f t="shared" si="5"/>
        <v>#DIV/0!</v>
      </c>
      <c r="BL18" s="12"/>
      <c r="BM18" s="10"/>
      <c r="BN18" s="176"/>
      <c r="BO18" s="12" t="e">
        <f t="shared" si="6"/>
        <v>#DIV/0!</v>
      </c>
      <c r="BP18" s="11"/>
      <c r="BQ18" s="6"/>
      <c r="BR18" s="6"/>
    </row>
    <row r="19" spans="1:70" ht="17.25" customHeight="1">
      <c r="A19" s="332">
        <v>4</v>
      </c>
      <c r="B19" s="321"/>
      <c r="C19" s="321"/>
      <c r="D19" s="225"/>
      <c r="E19" s="21">
        <v>1</v>
      </c>
      <c r="F19" s="17"/>
      <c r="G19" s="17"/>
      <c r="H19" s="17"/>
      <c r="I19" s="17"/>
      <c r="J19" s="17"/>
      <c r="K19" s="8" t="e">
        <f t="shared" si="7"/>
        <v>#DIV/0!</v>
      </c>
      <c r="L19" s="17"/>
      <c r="M19" s="17"/>
      <c r="N19" s="17"/>
      <c r="O19" s="17"/>
      <c r="P19" s="17"/>
      <c r="Q19" s="9" t="e">
        <f t="shared" si="23"/>
        <v>#DIV/0!</v>
      </c>
      <c r="R19" s="17"/>
      <c r="S19" s="17"/>
      <c r="T19" s="17"/>
      <c r="U19" s="17"/>
      <c r="V19" s="17"/>
      <c r="W19" s="9" t="e">
        <f t="shared" si="8"/>
        <v>#DIV/0!</v>
      </c>
      <c r="X19" s="233"/>
      <c r="Y19" s="234"/>
      <c r="Z19" s="9" t="str">
        <f t="shared" si="9"/>
        <v>0</v>
      </c>
      <c r="AA19" s="7" t="e">
        <f t="shared" si="0"/>
        <v>#DIV/0!</v>
      </c>
      <c r="AB19" s="365"/>
      <c r="AC19" s="17"/>
      <c r="AD19" s="17"/>
      <c r="AE19" s="17"/>
      <c r="AF19" s="17"/>
      <c r="AG19" s="17"/>
      <c r="AH19" s="9" t="e">
        <f t="shared" si="10"/>
        <v>#DIV/0!</v>
      </c>
      <c r="AI19" s="17"/>
      <c r="AJ19" s="17"/>
      <c r="AK19" s="17"/>
      <c r="AL19" s="17"/>
      <c r="AM19" s="17"/>
      <c r="AN19" s="9" t="e">
        <f t="shared" si="11"/>
        <v>#DIV/0!</v>
      </c>
      <c r="AO19" s="17"/>
      <c r="AP19" s="17"/>
      <c r="AQ19" s="17"/>
      <c r="AR19" s="17"/>
      <c r="AS19" s="17"/>
      <c r="AT19" s="9" t="e">
        <f t="shared" si="12"/>
        <v>#DIV/0!</v>
      </c>
      <c r="AU19" s="208"/>
      <c r="AV19" s="209"/>
      <c r="AW19" s="9" t="str">
        <f t="shared" si="13"/>
        <v>0</v>
      </c>
      <c r="AX19" s="7" t="e">
        <f t="shared" si="1"/>
        <v>#DIV/0!</v>
      </c>
      <c r="AY19" s="18" t="e">
        <f t="shared" si="1"/>
        <v>#DIV/0!</v>
      </c>
      <c r="AZ19" s="231" t="e">
        <f t="shared" ref="AZ19" si="26">IF(BP19&gt;=4.5, " 5 ", IF(BP19&gt;=3.5," 4 ",IF(BP19&gt;=2.5," 3  ",IF(BP19&gt;=1.5," 2 ",IF(BP19&gt;=1,"1 ",IF(BP19&gt;=0,"0"))))))</f>
        <v>#DIV/0!</v>
      </c>
      <c r="BA19" s="4" t="e">
        <f t="shared" si="2"/>
        <v>#DIV/0!</v>
      </c>
      <c r="BB19" s="4" t="e">
        <f t="shared" si="14"/>
        <v>#DIV/0!</v>
      </c>
      <c r="BC19" s="4" t="e">
        <f t="shared" si="15"/>
        <v>#DIV/0!</v>
      </c>
      <c r="BD19" s="4">
        <f t="shared" si="16"/>
        <v>0</v>
      </c>
      <c r="BE19" s="12" t="e">
        <f t="shared" si="3"/>
        <v>#DIV/0!</v>
      </c>
      <c r="BF19" s="4" t="e">
        <f t="shared" si="17"/>
        <v>#DIV/0!</v>
      </c>
      <c r="BG19" s="4" t="e">
        <f t="shared" si="18"/>
        <v>#DIV/0!</v>
      </c>
      <c r="BH19" s="4" t="e">
        <f t="shared" si="19"/>
        <v>#DIV/0!</v>
      </c>
      <c r="BI19" s="4">
        <f t="shared" si="20"/>
        <v>0</v>
      </c>
      <c r="BJ19" s="12" t="e">
        <f t="shared" si="4"/>
        <v>#DIV/0!</v>
      </c>
      <c r="BK19" s="12" t="e">
        <f t="shared" si="5"/>
        <v>#DIV/0!</v>
      </c>
      <c r="BL19" s="12" t="e">
        <f>(BE19+BJ19)/2</f>
        <v>#DIV/0!</v>
      </c>
      <c r="BM19" s="10" t="e">
        <f t="shared" si="21"/>
        <v>#DIV/0!</v>
      </c>
      <c r="BN19" s="176" t="e">
        <f t="shared" ref="BN19" si="27">ROUND(BO20,)</f>
        <v>#DIV/0!</v>
      </c>
      <c r="BO19" s="12" t="e">
        <f t="shared" si="6"/>
        <v>#DIV/0!</v>
      </c>
      <c r="BP19" s="11" t="e">
        <f t="shared" si="25"/>
        <v>#DIV/0!</v>
      </c>
      <c r="BQ19" s="6"/>
      <c r="BR19" s="6"/>
    </row>
    <row r="20" spans="1:70" ht="17.25" customHeight="1" thickBot="1">
      <c r="A20" s="333"/>
      <c r="B20" s="321"/>
      <c r="C20" s="321"/>
      <c r="D20" s="225"/>
      <c r="E20" s="20">
        <v>2</v>
      </c>
      <c r="F20" s="17"/>
      <c r="G20" s="17"/>
      <c r="H20" s="17"/>
      <c r="I20" s="17"/>
      <c r="J20" s="17"/>
      <c r="K20" s="8" t="e">
        <f t="shared" si="7"/>
        <v>#DIV/0!</v>
      </c>
      <c r="L20" s="17"/>
      <c r="M20" s="17"/>
      <c r="N20" s="17"/>
      <c r="O20" s="17"/>
      <c r="P20" s="17"/>
      <c r="Q20" s="9" t="e">
        <f t="shared" si="23"/>
        <v>#DIV/0!</v>
      </c>
      <c r="R20" s="17"/>
      <c r="S20" s="17"/>
      <c r="T20" s="17"/>
      <c r="U20" s="17"/>
      <c r="V20" s="17"/>
      <c r="W20" s="9" t="e">
        <f t="shared" si="8"/>
        <v>#DIV/0!</v>
      </c>
      <c r="X20" s="233"/>
      <c r="Y20" s="234"/>
      <c r="Z20" s="9" t="str">
        <f t="shared" si="9"/>
        <v>0</v>
      </c>
      <c r="AA20" s="7" t="e">
        <f t="shared" si="0"/>
        <v>#DIV/0!</v>
      </c>
      <c r="AB20" s="365"/>
      <c r="AC20" s="17"/>
      <c r="AD20" s="17"/>
      <c r="AE20" s="17"/>
      <c r="AF20" s="17"/>
      <c r="AG20" s="17"/>
      <c r="AH20" s="9" t="e">
        <f t="shared" si="10"/>
        <v>#DIV/0!</v>
      </c>
      <c r="AI20" s="17"/>
      <c r="AJ20" s="17"/>
      <c r="AK20" s="17"/>
      <c r="AL20" s="17"/>
      <c r="AM20" s="17"/>
      <c r="AN20" s="9" t="e">
        <f t="shared" si="11"/>
        <v>#DIV/0!</v>
      </c>
      <c r="AO20" s="17"/>
      <c r="AP20" s="17"/>
      <c r="AQ20" s="17"/>
      <c r="AR20" s="17"/>
      <c r="AS20" s="17"/>
      <c r="AT20" s="9" t="e">
        <f t="shared" si="12"/>
        <v>#DIV/0!</v>
      </c>
      <c r="AU20" s="208"/>
      <c r="AV20" s="209"/>
      <c r="AW20" s="9" t="str">
        <f t="shared" si="13"/>
        <v>0</v>
      </c>
      <c r="AX20" s="7" t="e">
        <f t="shared" si="1"/>
        <v>#DIV/0!</v>
      </c>
      <c r="AY20" s="18" t="e">
        <f t="shared" si="1"/>
        <v>#DIV/0!</v>
      </c>
      <c r="AZ20" s="232"/>
      <c r="BA20" s="4" t="e">
        <f t="shared" si="2"/>
        <v>#DIV/0!</v>
      </c>
      <c r="BB20" s="4" t="e">
        <f t="shared" si="14"/>
        <v>#DIV/0!</v>
      </c>
      <c r="BC20" s="4" t="e">
        <f t="shared" si="15"/>
        <v>#DIV/0!</v>
      </c>
      <c r="BD20" s="4">
        <f t="shared" si="16"/>
        <v>0</v>
      </c>
      <c r="BE20" s="12" t="e">
        <f t="shared" si="3"/>
        <v>#DIV/0!</v>
      </c>
      <c r="BF20" s="4" t="e">
        <f t="shared" si="17"/>
        <v>#DIV/0!</v>
      </c>
      <c r="BG20" s="4" t="e">
        <f t="shared" si="18"/>
        <v>#DIV/0!</v>
      </c>
      <c r="BH20" s="4" t="e">
        <f t="shared" si="19"/>
        <v>#DIV/0!</v>
      </c>
      <c r="BI20" s="4">
        <f t="shared" si="20"/>
        <v>0</v>
      </c>
      <c r="BJ20" s="12" t="e">
        <f t="shared" si="4"/>
        <v>#DIV/0!</v>
      </c>
      <c r="BK20" s="12" t="e">
        <f t="shared" si="5"/>
        <v>#DIV/0!</v>
      </c>
      <c r="BL20" s="12"/>
      <c r="BM20" s="10"/>
      <c r="BN20" s="176"/>
      <c r="BO20" s="12" t="e">
        <f t="shared" si="6"/>
        <v>#DIV/0!</v>
      </c>
      <c r="BP20" s="11"/>
      <c r="BQ20" s="6"/>
      <c r="BR20" s="6"/>
    </row>
    <row r="21" spans="1:70" ht="20.25" customHeight="1">
      <c r="A21" s="332">
        <v>5</v>
      </c>
      <c r="B21" s="321"/>
      <c r="C21" s="321"/>
      <c r="D21" s="225"/>
      <c r="E21" s="21">
        <v>1</v>
      </c>
      <c r="F21" s="17"/>
      <c r="G21" s="17"/>
      <c r="H21" s="17"/>
      <c r="I21" s="17"/>
      <c r="J21" s="17"/>
      <c r="K21" s="8" t="e">
        <f t="shared" si="7"/>
        <v>#DIV/0!</v>
      </c>
      <c r="L21" s="17"/>
      <c r="M21" s="17"/>
      <c r="N21" s="17"/>
      <c r="O21" s="17"/>
      <c r="P21" s="17"/>
      <c r="Q21" s="9" t="e">
        <f t="shared" si="23"/>
        <v>#DIV/0!</v>
      </c>
      <c r="R21" s="17"/>
      <c r="S21" s="17"/>
      <c r="T21" s="17"/>
      <c r="U21" s="17"/>
      <c r="V21" s="17"/>
      <c r="W21" s="9" t="e">
        <f t="shared" si="8"/>
        <v>#DIV/0!</v>
      </c>
      <c r="X21" s="233"/>
      <c r="Y21" s="234"/>
      <c r="Z21" s="9" t="str">
        <f t="shared" si="9"/>
        <v>0</v>
      </c>
      <c r="AA21" s="7" t="e">
        <f t="shared" si="0"/>
        <v>#DIV/0!</v>
      </c>
      <c r="AB21" s="365"/>
      <c r="AC21" s="17"/>
      <c r="AD21" s="17"/>
      <c r="AE21" s="17"/>
      <c r="AF21" s="17"/>
      <c r="AG21" s="17"/>
      <c r="AH21" s="9" t="e">
        <f t="shared" si="10"/>
        <v>#DIV/0!</v>
      </c>
      <c r="AI21" s="17"/>
      <c r="AJ21" s="17"/>
      <c r="AK21" s="17"/>
      <c r="AL21" s="17"/>
      <c r="AM21" s="17"/>
      <c r="AN21" s="9" t="e">
        <f t="shared" si="11"/>
        <v>#DIV/0!</v>
      </c>
      <c r="AO21" s="17"/>
      <c r="AP21" s="17"/>
      <c r="AQ21" s="17"/>
      <c r="AR21" s="17"/>
      <c r="AS21" s="17"/>
      <c r="AT21" s="9" t="e">
        <f t="shared" si="12"/>
        <v>#DIV/0!</v>
      </c>
      <c r="AU21" s="208"/>
      <c r="AV21" s="209"/>
      <c r="AW21" s="9" t="str">
        <f t="shared" si="13"/>
        <v>0</v>
      </c>
      <c r="AX21" s="7" t="e">
        <f t="shared" si="1"/>
        <v>#DIV/0!</v>
      </c>
      <c r="AY21" s="18" t="e">
        <f t="shared" si="1"/>
        <v>#DIV/0!</v>
      </c>
      <c r="AZ21" s="231" t="e">
        <f t="shared" ref="AZ21" si="28">IF(BP21&gt;=4.5, " 5 ", IF(BP21&gt;=3.5," 4 ",IF(BP21&gt;=2.5," 3  ",IF(BP21&gt;=1.5," 2 ",IF(BP21&gt;=1,"1 ",IF(BP21&gt;=0,"0"))))))</f>
        <v>#DIV/0!</v>
      </c>
      <c r="BA21" s="4" t="e">
        <f t="shared" si="2"/>
        <v>#DIV/0!</v>
      </c>
      <c r="BB21" s="4" t="e">
        <f t="shared" si="14"/>
        <v>#DIV/0!</v>
      </c>
      <c r="BC21" s="4" t="e">
        <f t="shared" si="15"/>
        <v>#DIV/0!</v>
      </c>
      <c r="BD21" s="4">
        <f t="shared" si="16"/>
        <v>0</v>
      </c>
      <c r="BE21" s="12" t="e">
        <f t="shared" si="3"/>
        <v>#DIV/0!</v>
      </c>
      <c r="BF21" s="4" t="e">
        <f t="shared" si="17"/>
        <v>#DIV/0!</v>
      </c>
      <c r="BG21" s="4" t="e">
        <f t="shared" si="18"/>
        <v>#DIV/0!</v>
      </c>
      <c r="BH21" s="4" t="e">
        <f t="shared" si="19"/>
        <v>#DIV/0!</v>
      </c>
      <c r="BI21" s="4">
        <f t="shared" si="20"/>
        <v>0</v>
      </c>
      <c r="BJ21" s="12" t="e">
        <f t="shared" si="4"/>
        <v>#DIV/0!</v>
      </c>
      <c r="BK21" s="12" t="e">
        <f t="shared" si="5"/>
        <v>#DIV/0!</v>
      </c>
      <c r="BL21" s="12" t="e">
        <f>(BE21+BJ21)/2</f>
        <v>#DIV/0!</v>
      </c>
      <c r="BM21" s="10" t="e">
        <f t="shared" si="21"/>
        <v>#DIV/0!</v>
      </c>
      <c r="BN21" s="176" t="e">
        <f t="shared" ref="BN21" si="29">ROUND(BO22,)</f>
        <v>#DIV/0!</v>
      </c>
      <c r="BO21" s="12" t="e">
        <f t="shared" si="6"/>
        <v>#DIV/0!</v>
      </c>
      <c r="BP21" s="11" t="e">
        <f t="shared" si="25"/>
        <v>#DIV/0!</v>
      </c>
      <c r="BQ21" s="6"/>
      <c r="BR21" s="6"/>
    </row>
    <row r="22" spans="1:70" ht="18" customHeight="1" thickBot="1">
      <c r="A22" s="333"/>
      <c r="B22" s="321"/>
      <c r="C22" s="321"/>
      <c r="D22" s="225"/>
      <c r="E22" s="20">
        <v>2</v>
      </c>
      <c r="F22" s="17"/>
      <c r="G22" s="17"/>
      <c r="H22" s="17"/>
      <c r="I22" s="17"/>
      <c r="J22" s="17"/>
      <c r="K22" s="8" t="e">
        <f t="shared" si="7"/>
        <v>#DIV/0!</v>
      </c>
      <c r="L22" s="17"/>
      <c r="M22" s="17"/>
      <c r="N22" s="17"/>
      <c r="O22" s="17"/>
      <c r="P22" s="17"/>
      <c r="Q22" s="9" t="e">
        <f t="shared" si="23"/>
        <v>#DIV/0!</v>
      </c>
      <c r="R22" s="17"/>
      <c r="S22" s="17"/>
      <c r="T22" s="17"/>
      <c r="U22" s="17"/>
      <c r="V22" s="17"/>
      <c r="W22" s="9" t="e">
        <f t="shared" si="8"/>
        <v>#DIV/0!</v>
      </c>
      <c r="X22" s="233"/>
      <c r="Y22" s="234"/>
      <c r="Z22" s="9" t="str">
        <f>IF(X22&gt;=85,"5",IF(X22&gt;=65,"4",IF(X22&gt;=55,"3",IF(X22&gt;=40,"2",IF(X22&gt;=1,"1",IF(X22&gt;="","0"))))))</f>
        <v>0</v>
      </c>
      <c r="AA22" s="7" t="e">
        <f t="shared" si="0"/>
        <v>#DIV/0!</v>
      </c>
      <c r="AB22" s="365"/>
      <c r="AC22" s="17"/>
      <c r="AD22" s="17"/>
      <c r="AE22" s="17"/>
      <c r="AF22" s="17"/>
      <c r="AG22" s="17"/>
      <c r="AH22" s="9" t="e">
        <f t="shared" si="10"/>
        <v>#DIV/0!</v>
      </c>
      <c r="AI22" s="17"/>
      <c r="AJ22" s="17"/>
      <c r="AK22" s="17"/>
      <c r="AL22" s="17"/>
      <c r="AM22" s="17"/>
      <c r="AN22" s="9" t="e">
        <f t="shared" si="11"/>
        <v>#DIV/0!</v>
      </c>
      <c r="AO22" s="17"/>
      <c r="AP22" s="17"/>
      <c r="AQ22" s="17"/>
      <c r="AR22" s="17"/>
      <c r="AS22" s="17"/>
      <c r="AT22" s="9" t="e">
        <f t="shared" si="12"/>
        <v>#DIV/0!</v>
      </c>
      <c r="AU22" s="208"/>
      <c r="AV22" s="209"/>
      <c r="AW22" s="9" t="str">
        <f t="shared" si="13"/>
        <v>0</v>
      </c>
      <c r="AX22" s="7" t="e">
        <f t="shared" si="1"/>
        <v>#DIV/0!</v>
      </c>
      <c r="AY22" s="18" t="e">
        <f t="shared" si="1"/>
        <v>#DIV/0!</v>
      </c>
      <c r="AZ22" s="232"/>
      <c r="BA22" s="4" t="e">
        <f t="shared" si="2"/>
        <v>#DIV/0!</v>
      </c>
      <c r="BB22" s="4" t="e">
        <f t="shared" si="14"/>
        <v>#DIV/0!</v>
      </c>
      <c r="BC22" s="4" t="e">
        <f t="shared" si="15"/>
        <v>#DIV/0!</v>
      </c>
      <c r="BD22" s="4">
        <f t="shared" si="16"/>
        <v>0</v>
      </c>
      <c r="BE22" s="12" t="e">
        <f t="shared" si="3"/>
        <v>#DIV/0!</v>
      </c>
      <c r="BF22" s="4" t="e">
        <f t="shared" si="17"/>
        <v>#DIV/0!</v>
      </c>
      <c r="BG22" s="4" t="e">
        <f t="shared" si="18"/>
        <v>#DIV/0!</v>
      </c>
      <c r="BH22" s="4" t="e">
        <f t="shared" si="19"/>
        <v>#DIV/0!</v>
      </c>
      <c r="BI22" s="4">
        <f t="shared" si="20"/>
        <v>0</v>
      </c>
      <c r="BJ22" s="12" t="e">
        <f t="shared" si="4"/>
        <v>#DIV/0!</v>
      </c>
      <c r="BK22" s="12" t="e">
        <f t="shared" si="5"/>
        <v>#DIV/0!</v>
      </c>
      <c r="BL22" s="12"/>
      <c r="BM22" s="10"/>
      <c r="BN22" s="176"/>
      <c r="BO22" s="12" t="e">
        <f t="shared" si="6"/>
        <v>#DIV/0!</v>
      </c>
      <c r="BP22" s="11"/>
      <c r="BQ22" s="6"/>
      <c r="BR22" s="6"/>
    </row>
    <row r="23" spans="1:70" ht="20.25" customHeight="1">
      <c r="A23" s="332">
        <v>6</v>
      </c>
      <c r="B23" s="321"/>
      <c r="C23" s="321"/>
      <c r="D23" s="225"/>
      <c r="E23" s="21">
        <v>1</v>
      </c>
      <c r="F23" s="17"/>
      <c r="G23" s="17"/>
      <c r="H23" s="17"/>
      <c r="I23" s="17"/>
      <c r="J23" s="17"/>
      <c r="K23" s="8" t="e">
        <f t="shared" si="7"/>
        <v>#DIV/0!</v>
      </c>
      <c r="L23" s="17"/>
      <c r="M23" s="17"/>
      <c r="N23" s="17"/>
      <c r="O23" s="17"/>
      <c r="P23" s="17"/>
      <c r="Q23" s="9" t="e">
        <f t="shared" si="23"/>
        <v>#DIV/0!</v>
      </c>
      <c r="R23" s="17"/>
      <c r="S23" s="17"/>
      <c r="T23" s="17"/>
      <c r="U23" s="17"/>
      <c r="V23" s="17"/>
      <c r="W23" s="9" t="e">
        <f t="shared" si="8"/>
        <v>#DIV/0!</v>
      </c>
      <c r="X23" s="233"/>
      <c r="Y23" s="234"/>
      <c r="Z23" s="9" t="str">
        <f>IF(X23&gt;=85,"5",IF(X23&gt;=65,"4",IF(X23&gt;=55,"3",IF(X23&gt;=40,"2",IF(X23&gt;=1,"1",IF(X23&gt;="","0"))))))</f>
        <v>0</v>
      </c>
      <c r="AA23" s="7" t="e">
        <f t="shared" si="0"/>
        <v>#DIV/0!</v>
      </c>
      <c r="AB23" s="365"/>
      <c r="AC23" s="17"/>
      <c r="AD23" s="17"/>
      <c r="AE23" s="17"/>
      <c r="AF23" s="17"/>
      <c r="AG23" s="17"/>
      <c r="AH23" s="9" t="e">
        <f t="shared" si="10"/>
        <v>#DIV/0!</v>
      </c>
      <c r="AI23" s="17"/>
      <c r="AJ23" s="17"/>
      <c r="AK23" s="17"/>
      <c r="AL23" s="17"/>
      <c r="AM23" s="17"/>
      <c r="AN23" s="9" t="e">
        <f t="shared" si="11"/>
        <v>#DIV/0!</v>
      </c>
      <c r="AO23" s="17"/>
      <c r="AP23" s="17"/>
      <c r="AQ23" s="17"/>
      <c r="AR23" s="17"/>
      <c r="AS23" s="17"/>
      <c r="AT23" s="9" t="e">
        <f t="shared" si="12"/>
        <v>#DIV/0!</v>
      </c>
      <c r="AU23" s="208"/>
      <c r="AV23" s="209"/>
      <c r="AW23" s="9" t="str">
        <f t="shared" si="13"/>
        <v>0</v>
      </c>
      <c r="AX23" s="7" t="e">
        <f t="shared" si="1"/>
        <v>#DIV/0!</v>
      </c>
      <c r="AY23" s="18" t="e">
        <f t="shared" si="1"/>
        <v>#DIV/0!</v>
      </c>
      <c r="AZ23" s="231" t="e">
        <f t="shared" ref="AZ23" si="30">IF(BP23&gt;=4.5, " 5 ", IF(BP23&gt;=3.5," 4 ",IF(BP23&gt;=2.5," 3  ",IF(BP23&gt;=1.5," 2 ",IF(BP23&gt;=1,"1 ",IF(BP23&gt;=0,"0"))))))</f>
        <v>#DIV/0!</v>
      </c>
      <c r="BA23" s="4" t="e">
        <f t="shared" si="2"/>
        <v>#DIV/0!</v>
      </c>
      <c r="BB23" s="4" t="e">
        <f t="shared" si="14"/>
        <v>#DIV/0!</v>
      </c>
      <c r="BC23" s="4" t="e">
        <f t="shared" si="15"/>
        <v>#DIV/0!</v>
      </c>
      <c r="BD23" s="4">
        <f t="shared" si="16"/>
        <v>0</v>
      </c>
      <c r="BE23" s="12" t="e">
        <f t="shared" si="3"/>
        <v>#DIV/0!</v>
      </c>
      <c r="BF23" s="4" t="e">
        <f t="shared" si="17"/>
        <v>#DIV/0!</v>
      </c>
      <c r="BG23" s="4" t="e">
        <f t="shared" si="18"/>
        <v>#DIV/0!</v>
      </c>
      <c r="BH23" s="4" t="e">
        <f t="shared" si="19"/>
        <v>#DIV/0!</v>
      </c>
      <c r="BI23" s="4">
        <f t="shared" si="20"/>
        <v>0</v>
      </c>
      <c r="BJ23" s="12" t="e">
        <f t="shared" si="4"/>
        <v>#DIV/0!</v>
      </c>
      <c r="BK23" s="12" t="e">
        <f t="shared" si="5"/>
        <v>#DIV/0!</v>
      </c>
      <c r="BL23" s="12" t="e">
        <f>(BE23+BJ23)/2</f>
        <v>#DIV/0!</v>
      </c>
      <c r="BM23" s="10" t="e">
        <f t="shared" si="21"/>
        <v>#DIV/0!</v>
      </c>
      <c r="BN23" s="176" t="e">
        <f t="shared" ref="BN23:BN71" si="31">ROUND(BO24,)</f>
        <v>#DIV/0!</v>
      </c>
      <c r="BO23" s="12" t="e">
        <f t="shared" si="6"/>
        <v>#DIV/0!</v>
      </c>
      <c r="BP23" s="11" t="e">
        <f t="shared" si="25"/>
        <v>#DIV/0!</v>
      </c>
      <c r="BQ23" s="6"/>
      <c r="BR23" s="6"/>
    </row>
    <row r="24" spans="1:70" ht="20.25" customHeight="1" thickBot="1">
      <c r="A24" s="333"/>
      <c r="B24" s="321"/>
      <c r="C24" s="321"/>
      <c r="D24" s="225"/>
      <c r="E24" s="20">
        <v>2</v>
      </c>
      <c r="F24" s="17"/>
      <c r="G24" s="17"/>
      <c r="H24" s="17"/>
      <c r="I24" s="17"/>
      <c r="J24" s="17"/>
      <c r="K24" s="8" t="e">
        <f t="shared" si="7"/>
        <v>#DIV/0!</v>
      </c>
      <c r="L24" s="17"/>
      <c r="M24" s="17"/>
      <c r="N24" s="17"/>
      <c r="O24" s="17"/>
      <c r="P24" s="17"/>
      <c r="Q24" s="9" t="e">
        <f t="shared" si="23"/>
        <v>#DIV/0!</v>
      </c>
      <c r="R24" s="17"/>
      <c r="S24" s="17"/>
      <c r="T24" s="17"/>
      <c r="U24" s="17"/>
      <c r="V24" s="17"/>
      <c r="W24" s="9" t="e">
        <f t="shared" si="8"/>
        <v>#DIV/0!</v>
      </c>
      <c r="X24" s="233"/>
      <c r="Y24" s="234"/>
      <c r="Z24" s="9" t="str">
        <f t="shared" si="9"/>
        <v>0</v>
      </c>
      <c r="AA24" s="7" t="e">
        <f t="shared" si="0"/>
        <v>#DIV/0!</v>
      </c>
      <c r="AB24" s="365"/>
      <c r="AC24" s="17"/>
      <c r="AD24" s="17"/>
      <c r="AE24" s="17"/>
      <c r="AF24" s="17"/>
      <c r="AG24" s="17"/>
      <c r="AH24" s="9" t="e">
        <f t="shared" si="10"/>
        <v>#DIV/0!</v>
      </c>
      <c r="AI24" s="17"/>
      <c r="AJ24" s="17"/>
      <c r="AK24" s="17"/>
      <c r="AL24" s="17"/>
      <c r="AM24" s="17"/>
      <c r="AN24" s="9" t="e">
        <f t="shared" si="11"/>
        <v>#DIV/0!</v>
      </c>
      <c r="AO24" s="17"/>
      <c r="AP24" s="17"/>
      <c r="AQ24" s="17"/>
      <c r="AR24" s="17"/>
      <c r="AS24" s="17"/>
      <c r="AT24" s="9" t="e">
        <f t="shared" si="12"/>
        <v>#DIV/0!</v>
      </c>
      <c r="AU24" s="208"/>
      <c r="AV24" s="209"/>
      <c r="AW24" s="9" t="str">
        <f t="shared" si="13"/>
        <v>0</v>
      </c>
      <c r="AX24" s="7" t="e">
        <f t="shared" si="1"/>
        <v>#DIV/0!</v>
      </c>
      <c r="AY24" s="18" t="e">
        <f t="shared" si="1"/>
        <v>#DIV/0!</v>
      </c>
      <c r="AZ24" s="232"/>
      <c r="BA24" s="4" t="e">
        <f t="shared" si="2"/>
        <v>#DIV/0!</v>
      </c>
      <c r="BB24" s="4" t="e">
        <f t="shared" si="14"/>
        <v>#DIV/0!</v>
      </c>
      <c r="BC24" s="4" t="e">
        <f t="shared" si="15"/>
        <v>#DIV/0!</v>
      </c>
      <c r="BD24" s="4">
        <f t="shared" si="16"/>
        <v>0</v>
      </c>
      <c r="BE24" s="12" t="e">
        <f t="shared" si="3"/>
        <v>#DIV/0!</v>
      </c>
      <c r="BF24" s="4" t="e">
        <f t="shared" si="17"/>
        <v>#DIV/0!</v>
      </c>
      <c r="BG24" s="4" t="e">
        <f t="shared" si="18"/>
        <v>#DIV/0!</v>
      </c>
      <c r="BH24" s="4" t="e">
        <f t="shared" si="19"/>
        <v>#DIV/0!</v>
      </c>
      <c r="BI24" s="4">
        <f t="shared" si="20"/>
        <v>0</v>
      </c>
      <c r="BJ24" s="12" t="e">
        <f t="shared" si="4"/>
        <v>#DIV/0!</v>
      </c>
      <c r="BK24" s="12" t="e">
        <f t="shared" si="5"/>
        <v>#DIV/0!</v>
      </c>
      <c r="BL24" s="12"/>
      <c r="BM24" s="10"/>
      <c r="BN24" s="176"/>
      <c r="BO24" s="12" t="e">
        <f t="shared" si="6"/>
        <v>#DIV/0!</v>
      </c>
      <c r="BP24" s="11"/>
      <c r="BQ24" s="6"/>
      <c r="BR24" s="6"/>
    </row>
    <row r="25" spans="1:70" ht="20.25" customHeight="1">
      <c r="A25" s="332">
        <v>7</v>
      </c>
      <c r="B25" s="321"/>
      <c r="C25" s="321"/>
      <c r="D25" s="225"/>
      <c r="E25" s="21">
        <v>1</v>
      </c>
      <c r="F25" s="17"/>
      <c r="G25" s="17"/>
      <c r="H25" s="17"/>
      <c r="I25" s="17"/>
      <c r="J25" s="17"/>
      <c r="K25" s="8" t="e">
        <f t="shared" si="7"/>
        <v>#DIV/0!</v>
      </c>
      <c r="L25" s="17"/>
      <c r="M25" s="17"/>
      <c r="N25" s="17"/>
      <c r="O25" s="17"/>
      <c r="P25" s="17"/>
      <c r="Q25" s="9" t="e">
        <f t="shared" si="23"/>
        <v>#DIV/0!</v>
      </c>
      <c r="R25" s="17"/>
      <c r="S25" s="17"/>
      <c r="T25" s="17"/>
      <c r="U25" s="17"/>
      <c r="V25" s="17"/>
      <c r="W25" s="9" t="e">
        <f t="shared" si="8"/>
        <v>#DIV/0!</v>
      </c>
      <c r="X25" s="233"/>
      <c r="Y25" s="234"/>
      <c r="Z25" s="9" t="str">
        <f t="shared" si="9"/>
        <v>0</v>
      </c>
      <c r="AA25" s="7" t="e">
        <f t="shared" si="0"/>
        <v>#DIV/0!</v>
      </c>
      <c r="AB25" s="365"/>
      <c r="AC25" s="17"/>
      <c r="AD25" s="17"/>
      <c r="AE25" s="17"/>
      <c r="AF25" s="17"/>
      <c r="AG25" s="17"/>
      <c r="AH25" s="9" t="e">
        <f t="shared" si="10"/>
        <v>#DIV/0!</v>
      </c>
      <c r="AI25" s="17"/>
      <c r="AJ25" s="17"/>
      <c r="AK25" s="17"/>
      <c r="AL25" s="17"/>
      <c r="AM25" s="17"/>
      <c r="AN25" s="9" t="e">
        <f t="shared" si="11"/>
        <v>#DIV/0!</v>
      </c>
      <c r="AO25" s="17"/>
      <c r="AP25" s="17"/>
      <c r="AQ25" s="17"/>
      <c r="AR25" s="17"/>
      <c r="AS25" s="17"/>
      <c r="AT25" s="9" t="e">
        <f t="shared" si="12"/>
        <v>#DIV/0!</v>
      </c>
      <c r="AU25" s="208"/>
      <c r="AV25" s="209"/>
      <c r="AW25" s="9" t="str">
        <f t="shared" si="13"/>
        <v>0</v>
      </c>
      <c r="AX25" s="7" t="e">
        <f t="shared" si="1"/>
        <v>#DIV/0!</v>
      </c>
      <c r="AY25" s="18" t="e">
        <f t="shared" si="1"/>
        <v>#DIV/0!</v>
      </c>
      <c r="AZ25" s="231" t="e">
        <f t="shared" ref="AZ25" si="32">IF(BP25&gt;=4.5, " 5 ", IF(BP25&gt;=3.5," 4 ",IF(BP25&gt;=2.5," 3  ",IF(BP25&gt;=1.5," 2 ",IF(BP25&gt;=1,"1 ",IF(BP25&gt;=0,"0"))))))</f>
        <v>#DIV/0!</v>
      </c>
      <c r="BA25" s="4" t="e">
        <f t="shared" si="2"/>
        <v>#DIV/0!</v>
      </c>
      <c r="BB25" s="4" t="e">
        <f t="shared" si="14"/>
        <v>#DIV/0!</v>
      </c>
      <c r="BC25" s="4" t="e">
        <f t="shared" si="15"/>
        <v>#DIV/0!</v>
      </c>
      <c r="BD25" s="4">
        <f t="shared" si="16"/>
        <v>0</v>
      </c>
      <c r="BE25" s="12" t="e">
        <f t="shared" si="3"/>
        <v>#DIV/0!</v>
      </c>
      <c r="BF25" s="4" t="e">
        <f t="shared" si="17"/>
        <v>#DIV/0!</v>
      </c>
      <c r="BG25" s="4" t="e">
        <f t="shared" si="18"/>
        <v>#DIV/0!</v>
      </c>
      <c r="BH25" s="4" t="e">
        <f t="shared" si="19"/>
        <v>#DIV/0!</v>
      </c>
      <c r="BI25" s="4">
        <f t="shared" si="20"/>
        <v>0</v>
      </c>
      <c r="BJ25" s="12" t="e">
        <f t="shared" si="4"/>
        <v>#DIV/0!</v>
      </c>
      <c r="BK25" s="12" t="e">
        <f t="shared" si="5"/>
        <v>#DIV/0!</v>
      </c>
      <c r="BL25" s="12" t="e">
        <f>(BE25+BJ25)/2</f>
        <v>#DIV/0!</v>
      </c>
      <c r="BM25" s="10" t="e">
        <f t="shared" si="21"/>
        <v>#DIV/0!</v>
      </c>
      <c r="BN25" s="176" t="e">
        <f t="shared" ref="BN25:BN65" si="33">ROUND(BO26,)</f>
        <v>#DIV/0!</v>
      </c>
      <c r="BO25" s="12" t="e">
        <f t="shared" si="6"/>
        <v>#DIV/0!</v>
      </c>
      <c r="BP25" s="11" t="e">
        <f t="shared" si="25"/>
        <v>#DIV/0!</v>
      </c>
      <c r="BQ25" s="6"/>
      <c r="BR25" s="6"/>
    </row>
    <row r="26" spans="1:70" ht="20.25" customHeight="1" thickBot="1">
      <c r="A26" s="333"/>
      <c r="B26" s="321"/>
      <c r="C26" s="321"/>
      <c r="D26" s="225"/>
      <c r="E26" s="20">
        <v>2</v>
      </c>
      <c r="F26" s="17"/>
      <c r="G26" s="17"/>
      <c r="H26" s="17"/>
      <c r="I26" s="17"/>
      <c r="J26" s="17"/>
      <c r="K26" s="8" t="e">
        <f t="shared" si="7"/>
        <v>#DIV/0!</v>
      </c>
      <c r="L26" s="17"/>
      <c r="M26" s="17"/>
      <c r="N26" s="17"/>
      <c r="O26" s="17"/>
      <c r="P26" s="17"/>
      <c r="Q26" s="9" t="e">
        <f t="shared" si="23"/>
        <v>#DIV/0!</v>
      </c>
      <c r="R26" s="17"/>
      <c r="S26" s="17"/>
      <c r="T26" s="17"/>
      <c r="U26" s="17"/>
      <c r="V26" s="17"/>
      <c r="W26" s="9" t="e">
        <f t="shared" si="8"/>
        <v>#DIV/0!</v>
      </c>
      <c r="X26" s="233"/>
      <c r="Y26" s="234"/>
      <c r="Z26" s="9" t="str">
        <f t="shared" si="9"/>
        <v>0</v>
      </c>
      <c r="AA26" s="7" t="e">
        <f t="shared" si="0"/>
        <v>#DIV/0!</v>
      </c>
      <c r="AB26" s="365"/>
      <c r="AC26" s="17"/>
      <c r="AD26" s="17"/>
      <c r="AE26" s="17"/>
      <c r="AF26" s="17"/>
      <c r="AG26" s="17"/>
      <c r="AH26" s="9" t="e">
        <f t="shared" si="10"/>
        <v>#DIV/0!</v>
      </c>
      <c r="AI26" s="17"/>
      <c r="AJ26" s="17"/>
      <c r="AK26" s="17"/>
      <c r="AL26" s="17"/>
      <c r="AM26" s="17"/>
      <c r="AN26" s="9" t="e">
        <f t="shared" si="11"/>
        <v>#DIV/0!</v>
      </c>
      <c r="AO26" s="17"/>
      <c r="AP26" s="17"/>
      <c r="AQ26" s="17"/>
      <c r="AR26" s="17"/>
      <c r="AS26" s="17"/>
      <c r="AT26" s="9" t="e">
        <f t="shared" si="12"/>
        <v>#DIV/0!</v>
      </c>
      <c r="AU26" s="208"/>
      <c r="AV26" s="209"/>
      <c r="AW26" s="9" t="str">
        <f t="shared" si="13"/>
        <v>0</v>
      </c>
      <c r="AX26" s="7" t="e">
        <f t="shared" si="1"/>
        <v>#DIV/0!</v>
      </c>
      <c r="AY26" s="18" t="e">
        <f t="shared" si="1"/>
        <v>#DIV/0!</v>
      </c>
      <c r="AZ26" s="232"/>
      <c r="BA26" s="4" t="e">
        <f t="shared" si="2"/>
        <v>#DIV/0!</v>
      </c>
      <c r="BB26" s="4" t="e">
        <f t="shared" si="14"/>
        <v>#DIV/0!</v>
      </c>
      <c r="BC26" s="4" t="e">
        <f t="shared" si="15"/>
        <v>#DIV/0!</v>
      </c>
      <c r="BD26" s="4">
        <f t="shared" si="16"/>
        <v>0</v>
      </c>
      <c r="BE26" s="12" t="e">
        <f t="shared" si="3"/>
        <v>#DIV/0!</v>
      </c>
      <c r="BF26" s="4" t="e">
        <f t="shared" si="17"/>
        <v>#DIV/0!</v>
      </c>
      <c r="BG26" s="4" t="e">
        <f t="shared" si="18"/>
        <v>#DIV/0!</v>
      </c>
      <c r="BH26" s="4" t="e">
        <f t="shared" si="19"/>
        <v>#DIV/0!</v>
      </c>
      <c r="BI26" s="4">
        <f t="shared" si="20"/>
        <v>0</v>
      </c>
      <c r="BJ26" s="12" t="e">
        <f t="shared" si="4"/>
        <v>#DIV/0!</v>
      </c>
      <c r="BK26" s="12" t="e">
        <f t="shared" si="5"/>
        <v>#DIV/0!</v>
      </c>
      <c r="BL26" s="12"/>
      <c r="BM26" s="10"/>
      <c r="BN26" s="176"/>
      <c r="BO26" s="12" t="e">
        <f t="shared" si="6"/>
        <v>#DIV/0!</v>
      </c>
      <c r="BP26" s="11"/>
      <c r="BQ26" s="6"/>
      <c r="BR26" s="6"/>
    </row>
    <row r="27" spans="1:70" ht="20.25" customHeight="1">
      <c r="A27" s="332">
        <v>8</v>
      </c>
      <c r="B27" s="321"/>
      <c r="C27" s="321"/>
      <c r="D27" s="225"/>
      <c r="E27" s="21">
        <v>1</v>
      </c>
      <c r="F27" s="17"/>
      <c r="G27" s="17"/>
      <c r="H27" s="17"/>
      <c r="I27" s="17"/>
      <c r="J27" s="17"/>
      <c r="K27" s="8" t="e">
        <f t="shared" si="7"/>
        <v>#DIV/0!</v>
      </c>
      <c r="L27" s="17"/>
      <c r="M27" s="17"/>
      <c r="N27" s="17"/>
      <c r="O27" s="17"/>
      <c r="P27" s="17"/>
      <c r="Q27" s="9" t="e">
        <f t="shared" si="23"/>
        <v>#DIV/0!</v>
      </c>
      <c r="R27" s="17"/>
      <c r="S27" s="17"/>
      <c r="T27" s="17"/>
      <c r="U27" s="17"/>
      <c r="V27" s="17"/>
      <c r="W27" s="9" t="e">
        <f t="shared" si="8"/>
        <v>#DIV/0!</v>
      </c>
      <c r="X27" s="233"/>
      <c r="Y27" s="234"/>
      <c r="Z27" s="9" t="str">
        <f t="shared" si="9"/>
        <v>0</v>
      </c>
      <c r="AA27" s="7" t="e">
        <f t="shared" si="0"/>
        <v>#DIV/0!</v>
      </c>
      <c r="AB27" s="365"/>
      <c r="AC27" s="17"/>
      <c r="AD27" s="17"/>
      <c r="AE27" s="17"/>
      <c r="AF27" s="17"/>
      <c r="AG27" s="17"/>
      <c r="AH27" s="9" t="e">
        <f t="shared" si="10"/>
        <v>#DIV/0!</v>
      </c>
      <c r="AI27" s="17"/>
      <c r="AJ27" s="17"/>
      <c r="AK27" s="17"/>
      <c r="AL27" s="17"/>
      <c r="AM27" s="17"/>
      <c r="AN27" s="9" t="e">
        <f t="shared" si="11"/>
        <v>#DIV/0!</v>
      </c>
      <c r="AO27" s="17"/>
      <c r="AP27" s="17"/>
      <c r="AQ27" s="17"/>
      <c r="AR27" s="17"/>
      <c r="AS27" s="17"/>
      <c r="AT27" s="9" t="e">
        <f t="shared" si="12"/>
        <v>#DIV/0!</v>
      </c>
      <c r="AU27" s="208"/>
      <c r="AV27" s="209"/>
      <c r="AW27" s="9" t="str">
        <f t="shared" si="13"/>
        <v>0</v>
      </c>
      <c r="AX27" s="7" t="e">
        <f t="shared" si="1"/>
        <v>#DIV/0!</v>
      </c>
      <c r="AY27" s="18" t="e">
        <f t="shared" si="1"/>
        <v>#DIV/0!</v>
      </c>
      <c r="AZ27" s="231" t="e">
        <f t="shared" ref="AZ27" si="34">IF(BP27&gt;=4.5, " 5 ", IF(BP27&gt;=3.5," 4 ",IF(BP27&gt;=2.5," 3  ",IF(BP27&gt;=1.5," 2 ",IF(BP27&gt;=1,"1 ",IF(BP27&gt;=0,"0"))))))</f>
        <v>#DIV/0!</v>
      </c>
      <c r="BA27" s="4" t="e">
        <f t="shared" si="2"/>
        <v>#DIV/0!</v>
      </c>
      <c r="BB27" s="4" t="e">
        <f t="shared" si="14"/>
        <v>#DIV/0!</v>
      </c>
      <c r="BC27" s="4" t="e">
        <f t="shared" si="15"/>
        <v>#DIV/0!</v>
      </c>
      <c r="BD27" s="4">
        <f t="shared" si="16"/>
        <v>0</v>
      </c>
      <c r="BE27" s="12" t="e">
        <f t="shared" si="3"/>
        <v>#DIV/0!</v>
      </c>
      <c r="BF27" s="4" t="e">
        <f t="shared" si="17"/>
        <v>#DIV/0!</v>
      </c>
      <c r="BG27" s="4" t="e">
        <f t="shared" si="18"/>
        <v>#DIV/0!</v>
      </c>
      <c r="BH27" s="4" t="e">
        <f t="shared" si="19"/>
        <v>#DIV/0!</v>
      </c>
      <c r="BI27" s="4">
        <f t="shared" si="20"/>
        <v>0</v>
      </c>
      <c r="BJ27" s="12" t="e">
        <f t="shared" si="4"/>
        <v>#DIV/0!</v>
      </c>
      <c r="BK27" s="12" t="e">
        <f t="shared" si="5"/>
        <v>#DIV/0!</v>
      </c>
      <c r="BL27" s="12" t="e">
        <f>(BE27+BJ27)/2</f>
        <v>#DIV/0!</v>
      </c>
      <c r="BM27" s="10" t="e">
        <f t="shared" si="21"/>
        <v>#DIV/0!</v>
      </c>
      <c r="BN27" s="176" t="e">
        <f t="shared" ref="BN27:BN67" si="35">ROUND(BO28,)</f>
        <v>#DIV/0!</v>
      </c>
      <c r="BO27" s="12" t="e">
        <f t="shared" si="6"/>
        <v>#DIV/0!</v>
      </c>
      <c r="BP27" s="11" t="e">
        <f t="shared" si="25"/>
        <v>#DIV/0!</v>
      </c>
      <c r="BQ27" s="6"/>
      <c r="BR27" s="6"/>
    </row>
    <row r="28" spans="1:70" ht="20.25" customHeight="1" thickBot="1">
      <c r="A28" s="333"/>
      <c r="B28" s="321"/>
      <c r="C28" s="321"/>
      <c r="D28" s="225"/>
      <c r="E28" s="20">
        <v>2</v>
      </c>
      <c r="F28" s="17"/>
      <c r="G28" s="17"/>
      <c r="H28" s="17"/>
      <c r="I28" s="17"/>
      <c r="J28" s="17"/>
      <c r="K28" s="8" t="e">
        <f t="shared" si="7"/>
        <v>#DIV/0!</v>
      </c>
      <c r="L28" s="17"/>
      <c r="M28" s="17"/>
      <c r="N28" s="17"/>
      <c r="O28" s="17"/>
      <c r="P28" s="17"/>
      <c r="Q28" s="9" t="e">
        <f t="shared" si="23"/>
        <v>#DIV/0!</v>
      </c>
      <c r="R28" s="17"/>
      <c r="S28" s="17"/>
      <c r="T28" s="17"/>
      <c r="U28" s="17"/>
      <c r="V28" s="17"/>
      <c r="W28" s="9" t="e">
        <f t="shared" si="8"/>
        <v>#DIV/0!</v>
      </c>
      <c r="X28" s="233"/>
      <c r="Y28" s="234"/>
      <c r="Z28" s="9" t="str">
        <f t="shared" si="9"/>
        <v>0</v>
      </c>
      <c r="AA28" s="7" t="e">
        <f t="shared" si="0"/>
        <v>#DIV/0!</v>
      </c>
      <c r="AB28" s="365"/>
      <c r="AC28" s="17"/>
      <c r="AD28" s="17"/>
      <c r="AE28" s="17"/>
      <c r="AF28" s="17"/>
      <c r="AG28" s="17"/>
      <c r="AH28" s="9" t="e">
        <f t="shared" si="10"/>
        <v>#DIV/0!</v>
      </c>
      <c r="AI28" s="17"/>
      <c r="AJ28" s="17"/>
      <c r="AK28" s="17"/>
      <c r="AL28" s="17"/>
      <c r="AM28" s="17"/>
      <c r="AN28" s="9" t="e">
        <f t="shared" si="11"/>
        <v>#DIV/0!</v>
      </c>
      <c r="AO28" s="17"/>
      <c r="AP28" s="17"/>
      <c r="AQ28" s="17"/>
      <c r="AR28" s="17"/>
      <c r="AS28" s="17"/>
      <c r="AT28" s="9" t="e">
        <f t="shared" si="12"/>
        <v>#DIV/0!</v>
      </c>
      <c r="AU28" s="208"/>
      <c r="AV28" s="209"/>
      <c r="AW28" s="9" t="str">
        <f t="shared" si="13"/>
        <v>0</v>
      </c>
      <c r="AX28" s="7" t="e">
        <f t="shared" si="1"/>
        <v>#DIV/0!</v>
      </c>
      <c r="AY28" s="18" t="e">
        <f t="shared" si="1"/>
        <v>#DIV/0!</v>
      </c>
      <c r="AZ28" s="232"/>
      <c r="BA28" s="4" t="e">
        <f t="shared" si="2"/>
        <v>#DIV/0!</v>
      </c>
      <c r="BB28" s="4" t="e">
        <f t="shared" si="14"/>
        <v>#DIV/0!</v>
      </c>
      <c r="BC28" s="4" t="e">
        <f t="shared" si="15"/>
        <v>#DIV/0!</v>
      </c>
      <c r="BD28" s="4">
        <f t="shared" si="16"/>
        <v>0</v>
      </c>
      <c r="BE28" s="12" t="e">
        <f t="shared" si="3"/>
        <v>#DIV/0!</v>
      </c>
      <c r="BF28" s="4" t="e">
        <f t="shared" si="17"/>
        <v>#DIV/0!</v>
      </c>
      <c r="BG28" s="4" t="e">
        <f t="shared" si="18"/>
        <v>#DIV/0!</v>
      </c>
      <c r="BH28" s="4" t="e">
        <f t="shared" si="19"/>
        <v>#DIV/0!</v>
      </c>
      <c r="BI28" s="4">
        <f t="shared" si="20"/>
        <v>0</v>
      </c>
      <c r="BJ28" s="12" t="e">
        <f t="shared" si="4"/>
        <v>#DIV/0!</v>
      </c>
      <c r="BK28" s="12" t="e">
        <f t="shared" si="5"/>
        <v>#DIV/0!</v>
      </c>
      <c r="BL28" s="12"/>
      <c r="BM28" s="10"/>
      <c r="BN28" s="176"/>
      <c r="BO28" s="12" t="e">
        <f t="shared" si="6"/>
        <v>#DIV/0!</v>
      </c>
      <c r="BP28" s="11"/>
      <c r="BQ28" s="6"/>
      <c r="BR28" s="6"/>
    </row>
    <row r="29" spans="1:70" ht="20.25" customHeight="1">
      <c r="A29" s="332">
        <v>9</v>
      </c>
      <c r="B29" s="321"/>
      <c r="C29" s="321"/>
      <c r="D29" s="225"/>
      <c r="E29" s="21">
        <v>1</v>
      </c>
      <c r="F29" s="17"/>
      <c r="G29" s="17"/>
      <c r="H29" s="17"/>
      <c r="I29" s="17"/>
      <c r="J29" s="17"/>
      <c r="K29" s="8" t="e">
        <f t="shared" si="7"/>
        <v>#DIV/0!</v>
      </c>
      <c r="L29" s="17"/>
      <c r="M29" s="17"/>
      <c r="N29" s="17"/>
      <c r="O29" s="17"/>
      <c r="P29" s="17"/>
      <c r="Q29" s="9" t="e">
        <f t="shared" si="23"/>
        <v>#DIV/0!</v>
      </c>
      <c r="R29" s="17"/>
      <c r="S29" s="17"/>
      <c r="T29" s="17"/>
      <c r="U29" s="17"/>
      <c r="V29" s="17"/>
      <c r="W29" s="9" t="e">
        <f t="shared" si="8"/>
        <v>#DIV/0!</v>
      </c>
      <c r="X29" s="233"/>
      <c r="Y29" s="234"/>
      <c r="Z29" s="9" t="str">
        <f t="shared" si="9"/>
        <v>0</v>
      </c>
      <c r="AA29" s="7" t="e">
        <f t="shared" si="0"/>
        <v>#DIV/0!</v>
      </c>
      <c r="AB29" s="365"/>
      <c r="AC29" s="17"/>
      <c r="AD29" s="17"/>
      <c r="AE29" s="17"/>
      <c r="AF29" s="17"/>
      <c r="AG29" s="17"/>
      <c r="AH29" s="9" t="e">
        <f t="shared" si="10"/>
        <v>#DIV/0!</v>
      </c>
      <c r="AI29" s="17"/>
      <c r="AJ29" s="17"/>
      <c r="AK29" s="17"/>
      <c r="AL29" s="17"/>
      <c r="AM29" s="17"/>
      <c r="AN29" s="9" t="e">
        <f t="shared" si="11"/>
        <v>#DIV/0!</v>
      </c>
      <c r="AO29" s="17"/>
      <c r="AP29" s="17"/>
      <c r="AQ29" s="17"/>
      <c r="AR29" s="17"/>
      <c r="AS29" s="17"/>
      <c r="AT29" s="9" t="e">
        <f t="shared" si="12"/>
        <v>#DIV/0!</v>
      </c>
      <c r="AU29" s="208"/>
      <c r="AV29" s="209"/>
      <c r="AW29" s="9" t="str">
        <f t="shared" si="13"/>
        <v>0</v>
      </c>
      <c r="AX29" s="7" t="e">
        <f t="shared" si="1"/>
        <v>#DIV/0!</v>
      </c>
      <c r="AY29" s="18" t="e">
        <f t="shared" si="1"/>
        <v>#DIV/0!</v>
      </c>
      <c r="AZ29" s="231" t="e">
        <f t="shared" ref="AZ29" si="36">IF(BP29&gt;=4.5, " 5 ", IF(BP29&gt;=3.5," 4 ",IF(BP29&gt;=2.5," 3  ",IF(BP29&gt;=1.5," 2 ",IF(BP29&gt;=1,"1 ",IF(BP29&gt;=0,"0"))))))</f>
        <v>#DIV/0!</v>
      </c>
      <c r="BA29" s="4" t="e">
        <f t="shared" si="2"/>
        <v>#DIV/0!</v>
      </c>
      <c r="BB29" s="4" t="e">
        <f t="shared" si="14"/>
        <v>#DIV/0!</v>
      </c>
      <c r="BC29" s="4" t="e">
        <f t="shared" si="15"/>
        <v>#DIV/0!</v>
      </c>
      <c r="BD29" s="4">
        <f t="shared" si="16"/>
        <v>0</v>
      </c>
      <c r="BE29" s="12" t="e">
        <f t="shared" si="3"/>
        <v>#DIV/0!</v>
      </c>
      <c r="BF29" s="4" t="e">
        <f t="shared" si="17"/>
        <v>#DIV/0!</v>
      </c>
      <c r="BG29" s="4" t="e">
        <f t="shared" si="18"/>
        <v>#DIV/0!</v>
      </c>
      <c r="BH29" s="4" t="e">
        <f t="shared" si="19"/>
        <v>#DIV/0!</v>
      </c>
      <c r="BI29" s="4">
        <f t="shared" si="20"/>
        <v>0</v>
      </c>
      <c r="BJ29" s="12" t="e">
        <f t="shared" si="4"/>
        <v>#DIV/0!</v>
      </c>
      <c r="BK29" s="12" t="e">
        <f t="shared" si="5"/>
        <v>#DIV/0!</v>
      </c>
      <c r="BL29" s="12" t="e">
        <f>(BE29+BJ29)/2</f>
        <v>#DIV/0!</v>
      </c>
      <c r="BM29" s="10" t="e">
        <f t="shared" si="21"/>
        <v>#DIV/0!</v>
      </c>
      <c r="BN29" s="176" t="e">
        <f t="shared" ref="BN29" si="37">ROUND(BO30,)</f>
        <v>#DIV/0!</v>
      </c>
      <c r="BO29" s="12" t="e">
        <f t="shared" si="6"/>
        <v>#DIV/0!</v>
      </c>
      <c r="BP29" s="11" t="e">
        <f t="shared" si="25"/>
        <v>#DIV/0!</v>
      </c>
      <c r="BQ29" s="6"/>
      <c r="BR29" s="6"/>
    </row>
    <row r="30" spans="1:70" ht="21" customHeight="1" thickBot="1">
      <c r="A30" s="333"/>
      <c r="B30" s="321"/>
      <c r="C30" s="321"/>
      <c r="D30" s="225"/>
      <c r="E30" s="20">
        <v>2</v>
      </c>
      <c r="F30" s="17"/>
      <c r="G30" s="17"/>
      <c r="H30" s="17"/>
      <c r="I30" s="17"/>
      <c r="J30" s="17"/>
      <c r="K30" s="8" t="e">
        <f t="shared" si="7"/>
        <v>#DIV/0!</v>
      </c>
      <c r="L30" s="17"/>
      <c r="M30" s="17"/>
      <c r="N30" s="17"/>
      <c r="O30" s="17"/>
      <c r="P30" s="17"/>
      <c r="Q30" s="9" t="e">
        <f t="shared" si="23"/>
        <v>#DIV/0!</v>
      </c>
      <c r="R30" s="17"/>
      <c r="S30" s="17"/>
      <c r="T30" s="17"/>
      <c r="U30" s="17"/>
      <c r="V30" s="17"/>
      <c r="W30" s="9" t="e">
        <f t="shared" si="8"/>
        <v>#DIV/0!</v>
      </c>
      <c r="X30" s="233"/>
      <c r="Y30" s="234"/>
      <c r="Z30" s="9" t="str">
        <f t="shared" si="9"/>
        <v>0</v>
      </c>
      <c r="AA30" s="7" t="e">
        <f t="shared" si="0"/>
        <v>#DIV/0!</v>
      </c>
      <c r="AB30" s="365"/>
      <c r="AC30" s="17"/>
      <c r="AD30" s="17"/>
      <c r="AE30" s="17"/>
      <c r="AF30" s="17"/>
      <c r="AG30" s="17"/>
      <c r="AH30" s="9" t="e">
        <f t="shared" si="10"/>
        <v>#DIV/0!</v>
      </c>
      <c r="AI30" s="17"/>
      <c r="AJ30" s="17"/>
      <c r="AK30" s="17"/>
      <c r="AL30" s="17"/>
      <c r="AM30" s="17"/>
      <c r="AN30" s="9" t="e">
        <f t="shared" si="11"/>
        <v>#DIV/0!</v>
      </c>
      <c r="AO30" s="17"/>
      <c r="AP30" s="17"/>
      <c r="AQ30" s="17"/>
      <c r="AR30" s="17"/>
      <c r="AS30" s="17"/>
      <c r="AT30" s="9" t="e">
        <f t="shared" si="12"/>
        <v>#DIV/0!</v>
      </c>
      <c r="AU30" s="208"/>
      <c r="AV30" s="209"/>
      <c r="AW30" s="9" t="str">
        <f t="shared" si="13"/>
        <v>0</v>
      </c>
      <c r="AX30" s="7" t="e">
        <f t="shared" si="1"/>
        <v>#DIV/0!</v>
      </c>
      <c r="AY30" s="18" t="e">
        <f t="shared" si="1"/>
        <v>#DIV/0!</v>
      </c>
      <c r="AZ30" s="232"/>
      <c r="BA30" s="4" t="e">
        <f t="shared" si="2"/>
        <v>#DIV/0!</v>
      </c>
      <c r="BB30" s="4" t="e">
        <f t="shared" si="14"/>
        <v>#DIV/0!</v>
      </c>
      <c r="BC30" s="4" t="e">
        <f t="shared" si="15"/>
        <v>#DIV/0!</v>
      </c>
      <c r="BD30" s="4">
        <f t="shared" si="16"/>
        <v>0</v>
      </c>
      <c r="BE30" s="12" t="e">
        <f t="shared" si="3"/>
        <v>#DIV/0!</v>
      </c>
      <c r="BF30" s="4" t="e">
        <f t="shared" si="17"/>
        <v>#DIV/0!</v>
      </c>
      <c r="BG30" s="4" t="e">
        <f t="shared" si="18"/>
        <v>#DIV/0!</v>
      </c>
      <c r="BH30" s="4" t="e">
        <f t="shared" si="19"/>
        <v>#DIV/0!</v>
      </c>
      <c r="BI30" s="4">
        <f t="shared" si="20"/>
        <v>0</v>
      </c>
      <c r="BJ30" s="12" t="e">
        <f t="shared" si="4"/>
        <v>#DIV/0!</v>
      </c>
      <c r="BK30" s="12" t="e">
        <f t="shared" si="5"/>
        <v>#DIV/0!</v>
      </c>
      <c r="BL30" s="12"/>
      <c r="BM30" s="10"/>
      <c r="BN30" s="176"/>
      <c r="BO30" s="12" t="e">
        <f t="shared" si="6"/>
        <v>#DIV/0!</v>
      </c>
      <c r="BP30" s="11"/>
      <c r="BQ30" s="6"/>
      <c r="BR30" s="6"/>
    </row>
    <row r="31" spans="1:70" ht="18.75" customHeight="1">
      <c r="A31" s="332">
        <v>10</v>
      </c>
      <c r="B31" s="321"/>
      <c r="C31" s="321"/>
      <c r="D31" s="225"/>
      <c r="E31" s="21">
        <v>1</v>
      </c>
      <c r="F31" s="17"/>
      <c r="G31" s="17"/>
      <c r="H31" s="17"/>
      <c r="I31" s="17"/>
      <c r="J31" s="17"/>
      <c r="K31" s="8" t="e">
        <f t="shared" si="7"/>
        <v>#DIV/0!</v>
      </c>
      <c r="L31" s="17"/>
      <c r="M31" s="17"/>
      <c r="N31" s="17"/>
      <c r="O31" s="17"/>
      <c r="P31" s="17"/>
      <c r="Q31" s="9" t="e">
        <f t="shared" si="23"/>
        <v>#DIV/0!</v>
      </c>
      <c r="R31" s="17"/>
      <c r="S31" s="17"/>
      <c r="T31" s="17"/>
      <c r="U31" s="17"/>
      <c r="V31" s="17"/>
      <c r="W31" s="9" t="e">
        <f t="shared" si="8"/>
        <v>#DIV/0!</v>
      </c>
      <c r="X31" s="233"/>
      <c r="Y31" s="234"/>
      <c r="Z31" s="9" t="str">
        <f t="shared" si="9"/>
        <v>0</v>
      </c>
      <c r="AA31" s="7" t="e">
        <f t="shared" si="0"/>
        <v>#DIV/0!</v>
      </c>
      <c r="AB31" s="365"/>
      <c r="AC31" s="17"/>
      <c r="AD31" s="17"/>
      <c r="AE31" s="17"/>
      <c r="AF31" s="17"/>
      <c r="AG31" s="17"/>
      <c r="AH31" s="9" t="e">
        <f t="shared" si="10"/>
        <v>#DIV/0!</v>
      </c>
      <c r="AI31" s="17"/>
      <c r="AJ31" s="17"/>
      <c r="AK31" s="17"/>
      <c r="AL31" s="17"/>
      <c r="AM31" s="17"/>
      <c r="AN31" s="9" t="e">
        <f t="shared" si="11"/>
        <v>#DIV/0!</v>
      </c>
      <c r="AO31" s="17"/>
      <c r="AP31" s="17"/>
      <c r="AQ31" s="17"/>
      <c r="AR31" s="17"/>
      <c r="AS31" s="17"/>
      <c r="AT31" s="9" t="e">
        <f t="shared" si="12"/>
        <v>#DIV/0!</v>
      </c>
      <c r="AU31" s="208"/>
      <c r="AV31" s="209"/>
      <c r="AW31" s="9" t="str">
        <f t="shared" si="13"/>
        <v>0</v>
      </c>
      <c r="AX31" s="7" t="e">
        <f t="shared" si="1"/>
        <v>#DIV/0!</v>
      </c>
      <c r="AY31" s="18" t="e">
        <f t="shared" si="1"/>
        <v>#DIV/0!</v>
      </c>
      <c r="AZ31" s="231" t="e">
        <f t="shared" ref="AZ31" si="38">IF(BP31&gt;=4.5, " 5 ", IF(BP31&gt;=3.5," 4 ",IF(BP31&gt;=2.5," 3  ",IF(BP31&gt;=1.5," 2 ",IF(BP31&gt;=1,"1 ",IF(BP31&gt;=0,"0"))))))</f>
        <v>#DIV/0!</v>
      </c>
      <c r="BA31" s="4" t="e">
        <f t="shared" si="2"/>
        <v>#DIV/0!</v>
      </c>
      <c r="BB31" s="4" t="e">
        <f t="shared" si="14"/>
        <v>#DIV/0!</v>
      </c>
      <c r="BC31" s="4" t="e">
        <f t="shared" si="15"/>
        <v>#DIV/0!</v>
      </c>
      <c r="BD31" s="4">
        <f t="shared" si="16"/>
        <v>0</v>
      </c>
      <c r="BE31" s="12" t="e">
        <f t="shared" si="3"/>
        <v>#DIV/0!</v>
      </c>
      <c r="BF31" s="4" t="e">
        <f t="shared" si="17"/>
        <v>#DIV/0!</v>
      </c>
      <c r="BG31" s="4" t="e">
        <f t="shared" si="18"/>
        <v>#DIV/0!</v>
      </c>
      <c r="BH31" s="4" t="e">
        <f t="shared" si="19"/>
        <v>#DIV/0!</v>
      </c>
      <c r="BI31" s="4">
        <f t="shared" si="20"/>
        <v>0</v>
      </c>
      <c r="BJ31" s="12" t="e">
        <f t="shared" si="4"/>
        <v>#DIV/0!</v>
      </c>
      <c r="BK31" s="12" t="e">
        <f t="shared" si="5"/>
        <v>#DIV/0!</v>
      </c>
      <c r="BL31" s="12" t="e">
        <f>(BE31+BJ31)/2</f>
        <v>#DIV/0!</v>
      </c>
      <c r="BM31" s="10" t="e">
        <f t="shared" si="21"/>
        <v>#DIV/0!</v>
      </c>
      <c r="BN31" s="176" t="e">
        <f t="shared" si="31"/>
        <v>#DIV/0!</v>
      </c>
      <c r="BO31" s="12" t="e">
        <f t="shared" si="6"/>
        <v>#DIV/0!</v>
      </c>
      <c r="BP31" s="11" t="e">
        <f t="shared" si="25"/>
        <v>#DIV/0!</v>
      </c>
      <c r="BQ31" s="6"/>
      <c r="BR31" s="6"/>
    </row>
    <row r="32" spans="1:70" ht="21" customHeight="1" thickBot="1">
      <c r="A32" s="333"/>
      <c r="B32" s="321"/>
      <c r="C32" s="321"/>
      <c r="D32" s="225"/>
      <c r="E32" s="20">
        <v>2</v>
      </c>
      <c r="F32" s="17"/>
      <c r="G32" s="17"/>
      <c r="H32" s="17"/>
      <c r="I32" s="17"/>
      <c r="J32" s="17"/>
      <c r="K32" s="8" t="e">
        <f t="shared" si="7"/>
        <v>#DIV/0!</v>
      </c>
      <c r="L32" s="17"/>
      <c r="M32" s="17"/>
      <c r="N32" s="17"/>
      <c r="O32" s="17"/>
      <c r="P32" s="17"/>
      <c r="Q32" s="9" t="e">
        <f t="shared" si="23"/>
        <v>#DIV/0!</v>
      </c>
      <c r="R32" s="17"/>
      <c r="S32" s="17"/>
      <c r="T32" s="17"/>
      <c r="U32" s="17"/>
      <c r="V32" s="17"/>
      <c r="W32" s="9" t="e">
        <f t="shared" si="8"/>
        <v>#DIV/0!</v>
      </c>
      <c r="X32" s="233"/>
      <c r="Y32" s="234"/>
      <c r="Z32" s="9" t="str">
        <f t="shared" si="9"/>
        <v>0</v>
      </c>
      <c r="AA32" s="7" t="e">
        <f t="shared" si="0"/>
        <v>#DIV/0!</v>
      </c>
      <c r="AB32" s="365"/>
      <c r="AC32" s="17"/>
      <c r="AD32" s="17"/>
      <c r="AE32" s="17"/>
      <c r="AF32" s="17"/>
      <c r="AG32" s="17"/>
      <c r="AH32" s="9" t="e">
        <f t="shared" si="10"/>
        <v>#DIV/0!</v>
      </c>
      <c r="AI32" s="17"/>
      <c r="AJ32" s="17"/>
      <c r="AK32" s="17"/>
      <c r="AL32" s="17"/>
      <c r="AM32" s="17"/>
      <c r="AN32" s="9" t="e">
        <f t="shared" si="11"/>
        <v>#DIV/0!</v>
      </c>
      <c r="AO32" s="17"/>
      <c r="AP32" s="17"/>
      <c r="AQ32" s="17"/>
      <c r="AR32" s="17"/>
      <c r="AS32" s="17"/>
      <c r="AT32" s="9" t="e">
        <f t="shared" si="12"/>
        <v>#DIV/0!</v>
      </c>
      <c r="AU32" s="208"/>
      <c r="AV32" s="209"/>
      <c r="AW32" s="9" t="str">
        <f t="shared" si="13"/>
        <v>0</v>
      </c>
      <c r="AX32" s="7" t="e">
        <f t="shared" si="1"/>
        <v>#DIV/0!</v>
      </c>
      <c r="AY32" s="18" t="e">
        <f t="shared" si="1"/>
        <v>#DIV/0!</v>
      </c>
      <c r="AZ32" s="232"/>
      <c r="BA32" s="4" t="e">
        <f t="shared" si="2"/>
        <v>#DIV/0!</v>
      </c>
      <c r="BB32" s="4" t="e">
        <f t="shared" si="14"/>
        <v>#DIV/0!</v>
      </c>
      <c r="BC32" s="4" t="e">
        <f t="shared" si="15"/>
        <v>#DIV/0!</v>
      </c>
      <c r="BD32" s="4">
        <f t="shared" si="16"/>
        <v>0</v>
      </c>
      <c r="BE32" s="12" t="e">
        <f t="shared" si="3"/>
        <v>#DIV/0!</v>
      </c>
      <c r="BF32" s="4" t="e">
        <f t="shared" si="17"/>
        <v>#DIV/0!</v>
      </c>
      <c r="BG32" s="4" t="e">
        <f t="shared" si="18"/>
        <v>#DIV/0!</v>
      </c>
      <c r="BH32" s="4" t="e">
        <f t="shared" si="19"/>
        <v>#DIV/0!</v>
      </c>
      <c r="BI32" s="4">
        <f t="shared" si="20"/>
        <v>0</v>
      </c>
      <c r="BJ32" s="12" t="e">
        <f t="shared" si="4"/>
        <v>#DIV/0!</v>
      </c>
      <c r="BK32" s="12" t="e">
        <f t="shared" si="5"/>
        <v>#DIV/0!</v>
      </c>
      <c r="BL32" s="12"/>
      <c r="BM32" s="10"/>
      <c r="BN32" s="176"/>
      <c r="BO32" s="12" t="e">
        <f t="shared" si="6"/>
        <v>#DIV/0!</v>
      </c>
      <c r="BP32" s="11"/>
      <c r="BQ32" s="6"/>
      <c r="BR32" s="6"/>
    </row>
    <row r="33" spans="1:70" ht="19.5" customHeight="1">
      <c r="A33" s="332">
        <v>11</v>
      </c>
      <c r="B33" s="324"/>
      <c r="C33" s="324"/>
      <c r="D33" s="323"/>
      <c r="E33" s="21">
        <v>1</v>
      </c>
      <c r="F33" s="17"/>
      <c r="G33" s="17"/>
      <c r="H33" s="17"/>
      <c r="I33" s="17"/>
      <c r="J33" s="17"/>
      <c r="K33" s="8" t="e">
        <f t="shared" si="7"/>
        <v>#DIV/0!</v>
      </c>
      <c r="L33" s="17"/>
      <c r="M33" s="17"/>
      <c r="N33" s="17"/>
      <c r="O33" s="17"/>
      <c r="P33" s="17"/>
      <c r="Q33" s="9" t="e">
        <f t="shared" si="23"/>
        <v>#DIV/0!</v>
      </c>
      <c r="R33" s="17"/>
      <c r="S33" s="17"/>
      <c r="T33" s="17"/>
      <c r="U33" s="17"/>
      <c r="V33" s="17"/>
      <c r="W33" s="9" t="e">
        <f t="shared" si="8"/>
        <v>#DIV/0!</v>
      </c>
      <c r="X33" s="233"/>
      <c r="Y33" s="234"/>
      <c r="Z33" s="9" t="str">
        <f t="shared" si="9"/>
        <v>0</v>
      </c>
      <c r="AA33" s="7" t="e">
        <f t="shared" si="0"/>
        <v>#DIV/0!</v>
      </c>
      <c r="AB33" s="365"/>
      <c r="AC33" s="17"/>
      <c r="AD33" s="17"/>
      <c r="AE33" s="17"/>
      <c r="AF33" s="17"/>
      <c r="AG33" s="17"/>
      <c r="AH33" s="9" t="e">
        <f t="shared" si="10"/>
        <v>#DIV/0!</v>
      </c>
      <c r="AI33" s="17"/>
      <c r="AJ33" s="17"/>
      <c r="AK33" s="17"/>
      <c r="AL33" s="17"/>
      <c r="AM33" s="17"/>
      <c r="AN33" s="9" t="e">
        <f t="shared" si="11"/>
        <v>#DIV/0!</v>
      </c>
      <c r="AO33" s="17"/>
      <c r="AP33" s="17"/>
      <c r="AQ33" s="17"/>
      <c r="AR33" s="17"/>
      <c r="AS33" s="17"/>
      <c r="AT33" s="9" t="e">
        <f t="shared" si="12"/>
        <v>#DIV/0!</v>
      </c>
      <c r="AU33" s="208"/>
      <c r="AV33" s="209"/>
      <c r="AW33" s="9" t="str">
        <f t="shared" si="13"/>
        <v>0</v>
      </c>
      <c r="AX33" s="7" t="e">
        <f t="shared" si="1"/>
        <v>#DIV/0!</v>
      </c>
      <c r="AY33" s="18" t="e">
        <f t="shared" si="1"/>
        <v>#DIV/0!</v>
      </c>
      <c r="AZ33" s="231" t="e">
        <f t="shared" ref="AZ33" si="39">IF(BP33&gt;=4.5, " 5 ", IF(BP33&gt;=3.5," 4 ",IF(BP33&gt;=2.5," 3  ",IF(BP33&gt;=1.5," 2 ",IF(BP33&gt;=1,"1 ",IF(BP33&gt;=0,"0"))))))</f>
        <v>#DIV/0!</v>
      </c>
      <c r="BA33" s="4" t="e">
        <f t="shared" si="2"/>
        <v>#DIV/0!</v>
      </c>
      <c r="BB33" s="4" t="e">
        <f t="shared" si="14"/>
        <v>#DIV/0!</v>
      </c>
      <c r="BC33" s="4" t="e">
        <f t="shared" si="15"/>
        <v>#DIV/0!</v>
      </c>
      <c r="BD33" s="4">
        <f t="shared" si="16"/>
        <v>0</v>
      </c>
      <c r="BE33" s="12" t="e">
        <f t="shared" si="3"/>
        <v>#DIV/0!</v>
      </c>
      <c r="BF33" s="4" t="e">
        <f t="shared" si="17"/>
        <v>#DIV/0!</v>
      </c>
      <c r="BG33" s="4" t="e">
        <f t="shared" si="18"/>
        <v>#DIV/0!</v>
      </c>
      <c r="BH33" s="4" t="e">
        <f t="shared" si="19"/>
        <v>#DIV/0!</v>
      </c>
      <c r="BI33" s="4">
        <f t="shared" si="20"/>
        <v>0</v>
      </c>
      <c r="BJ33" s="12" t="e">
        <f t="shared" si="4"/>
        <v>#DIV/0!</v>
      </c>
      <c r="BK33" s="12" t="e">
        <f t="shared" si="5"/>
        <v>#DIV/0!</v>
      </c>
      <c r="BL33" s="12" t="e">
        <f>(BE33+BJ33)/2</f>
        <v>#DIV/0!</v>
      </c>
      <c r="BM33" s="10" t="e">
        <f t="shared" si="21"/>
        <v>#DIV/0!</v>
      </c>
      <c r="BN33" s="176" t="e">
        <f t="shared" si="33"/>
        <v>#DIV/0!</v>
      </c>
      <c r="BO33" s="12" t="e">
        <f t="shared" si="6"/>
        <v>#DIV/0!</v>
      </c>
      <c r="BP33" s="11" t="e">
        <f t="shared" si="25"/>
        <v>#DIV/0!</v>
      </c>
      <c r="BQ33" s="6"/>
      <c r="BR33" s="6"/>
    </row>
    <row r="34" spans="1:70" ht="21" customHeight="1" thickBot="1">
      <c r="A34" s="333"/>
      <c r="B34" s="324"/>
      <c r="C34" s="324"/>
      <c r="D34" s="323"/>
      <c r="E34" s="20">
        <v>2</v>
      </c>
      <c r="F34" s="17"/>
      <c r="G34" s="17"/>
      <c r="H34" s="17"/>
      <c r="I34" s="17"/>
      <c r="J34" s="17"/>
      <c r="K34" s="8" t="e">
        <f t="shared" si="7"/>
        <v>#DIV/0!</v>
      </c>
      <c r="L34" s="17"/>
      <c r="M34" s="17"/>
      <c r="N34" s="17"/>
      <c r="O34" s="17"/>
      <c r="P34" s="17"/>
      <c r="Q34" s="9" t="e">
        <f t="shared" si="23"/>
        <v>#DIV/0!</v>
      </c>
      <c r="R34" s="17"/>
      <c r="S34" s="17"/>
      <c r="T34" s="17"/>
      <c r="U34" s="17"/>
      <c r="V34" s="17"/>
      <c r="W34" s="9" t="e">
        <f t="shared" si="8"/>
        <v>#DIV/0!</v>
      </c>
      <c r="X34" s="233"/>
      <c r="Y34" s="234"/>
      <c r="Z34" s="9" t="str">
        <f t="shared" si="9"/>
        <v>0</v>
      </c>
      <c r="AA34" s="7" t="e">
        <f t="shared" si="0"/>
        <v>#DIV/0!</v>
      </c>
      <c r="AB34" s="365"/>
      <c r="AC34" s="17"/>
      <c r="AD34" s="17"/>
      <c r="AE34" s="17"/>
      <c r="AF34" s="17"/>
      <c r="AG34" s="17"/>
      <c r="AH34" s="9" t="e">
        <f t="shared" si="10"/>
        <v>#DIV/0!</v>
      </c>
      <c r="AI34" s="17"/>
      <c r="AJ34" s="17"/>
      <c r="AK34" s="17"/>
      <c r="AL34" s="17"/>
      <c r="AM34" s="17"/>
      <c r="AN34" s="9" t="e">
        <f t="shared" si="11"/>
        <v>#DIV/0!</v>
      </c>
      <c r="AO34" s="17"/>
      <c r="AP34" s="17"/>
      <c r="AQ34" s="17"/>
      <c r="AR34" s="17"/>
      <c r="AS34" s="17"/>
      <c r="AT34" s="9" t="e">
        <f t="shared" si="12"/>
        <v>#DIV/0!</v>
      </c>
      <c r="AU34" s="208"/>
      <c r="AV34" s="209"/>
      <c r="AW34" s="9" t="str">
        <f t="shared" si="13"/>
        <v>0</v>
      </c>
      <c r="AX34" s="7" t="e">
        <f t="shared" si="1"/>
        <v>#DIV/0!</v>
      </c>
      <c r="AY34" s="18" t="e">
        <f t="shared" si="1"/>
        <v>#DIV/0!</v>
      </c>
      <c r="AZ34" s="232"/>
      <c r="BA34" s="4" t="e">
        <f t="shared" si="2"/>
        <v>#DIV/0!</v>
      </c>
      <c r="BB34" s="4" t="e">
        <f t="shared" si="14"/>
        <v>#DIV/0!</v>
      </c>
      <c r="BC34" s="4" t="e">
        <f t="shared" si="15"/>
        <v>#DIV/0!</v>
      </c>
      <c r="BD34" s="4">
        <f t="shared" si="16"/>
        <v>0</v>
      </c>
      <c r="BE34" s="12" t="e">
        <f t="shared" si="3"/>
        <v>#DIV/0!</v>
      </c>
      <c r="BF34" s="4" t="e">
        <f t="shared" si="17"/>
        <v>#DIV/0!</v>
      </c>
      <c r="BG34" s="4" t="e">
        <f t="shared" si="18"/>
        <v>#DIV/0!</v>
      </c>
      <c r="BH34" s="4" t="e">
        <f t="shared" si="19"/>
        <v>#DIV/0!</v>
      </c>
      <c r="BI34" s="4">
        <f t="shared" si="20"/>
        <v>0</v>
      </c>
      <c r="BJ34" s="12" t="e">
        <f t="shared" si="4"/>
        <v>#DIV/0!</v>
      </c>
      <c r="BK34" s="12" t="e">
        <f t="shared" si="5"/>
        <v>#DIV/0!</v>
      </c>
      <c r="BL34" s="12"/>
      <c r="BM34" s="10"/>
      <c r="BN34" s="176"/>
      <c r="BO34" s="12" t="e">
        <f t="shared" si="6"/>
        <v>#DIV/0!</v>
      </c>
      <c r="BP34" s="11"/>
      <c r="BQ34" s="6"/>
      <c r="BR34" s="6"/>
    </row>
    <row r="35" spans="1:70" ht="23.25" customHeight="1">
      <c r="A35" s="332">
        <v>12</v>
      </c>
      <c r="B35" s="324"/>
      <c r="C35" s="324"/>
      <c r="D35" s="323"/>
      <c r="E35" s="21">
        <v>1</v>
      </c>
      <c r="F35" s="17"/>
      <c r="G35" s="17"/>
      <c r="H35" s="17"/>
      <c r="I35" s="17"/>
      <c r="J35" s="17"/>
      <c r="K35" s="8" t="e">
        <f t="shared" si="7"/>
        <v>#DIV/0!</v>
      </c>
      <c r="L35" s="17"/>
      <c r="M35" s="17"/>
      <c r="N35" s="17"/>
      <c r="O35" s="17"/>
      <c r="P35" s="17"/>
      <c r="Q35" s="9" t="e">
        <f t="shared" si="23"/>
        <v>#DIV/0!</v>
      </c>
      <c r="R35" s="17"/>
      <c r="S35" s="17"/>
      <c r="T35" s="17"/>
      <c r="U35" s="17"/>
      <c r="V35" s="17"/>
      <c r="W35" s="9" t="e">
        <f t="shared" si="8"/>
        <v>#DIV/0!</v>
      </c>
      <c r="X35" s="233"/>
      <c r="Y35" s="234"/>
      <c r="Z35" s="9" t="str">
        <f t="shared" si="9"/>
        <v>0</v>
      </c>
      <c r="AA35" s="7" t="e">
        <f t="shared" si="0"/>
        <v>#DIV/0!</v>
      </c>
      <c r="AB35" s="365"/>
      <c r="AC35" s="17"/>
      <c r="AD35" s="17"/>
      <c r="AE35" s="17"/>
      <c r="AF35" s="17"/>
      <c r="AG35" s="17"/>
      <c r="AH35" s="9" t="e">
        <f t="shared" si="10"/>
        <v>#DIV/0!</v>
      </c>
      <c r="AI35" s="17"/>
      <c r="AJ35" s="17"/>
      <c r="AK35" s="17"/>
      <c r="AL35" s="17"/>
      <c r="AM35" s="17"/>
      <c r="AN35" s="9" t="e">
        <f t="shared" si="11"/>
        <v>#DIV/0!</v>
      </c>
      <c r="AO35" s="17"/>
      <c r="AP35" s="17"/>
      <c r="AQ35" s="17"/>
      <c r="AR35" s="17"/>
      <c r="AS35" s="17"/>
      <c r="AT35" s="9" t="e">
        <f t="shared" si="12"/>
        <v>#DIV/0!</v>
      </c>
      <c r="AU35" s="208"/>
      <c r="AV35" s="209"/>
      <c r="AW35" s="9" t="str">
        <f t="shared" si="13"/>
        <v>0</v>
      </c>
      <c r="AX35" s="7" t="e">
        <f t="shared" si="1"/>
        <v>#DIV/0!</v>
      </c>
      <c r="AY35" s="18" t="e">
        <f t="shared" si="1"/>
        <v>#DIV/0!</v>
      </c>
      <c r="AZ35" s="231" t="e">
        <f t="shared" ref="AZ35" si="40">IF(BP35&gt;=4.5, " 5 ", IF(BP35&gt;=3.5," 4 ",IF(BP35&gt;=2.5," 3  ",IF(BP35&gt;=1.5," 2 ",IF(BP35&gt;=1,"1 ",IF(BP35&gt;=0,"0"))))))</f>
        <v>#DIV/0!</v>
      </c>
      <c r="BA35" s="4" t="e">
        <f t="shared" si="2"/>
        <v>#DIV/0!</v>
      </c>
      <c r="BB35" s="4" t="e">
        <f t="shared" si="14"/>
        <v>#DIV/0!</v>
      </c>
      <c r="BC35" s="4" t="e">
        <f t="shared" si="15"/>
        <v>#DIV/0!</v>
      </c>
      <c r="BD35" s="4">
        <f t="shared" si="16"/>
        <v>0</v>
      </c>
      <c r="BE35" s="12" t="e">
        <f t="shared" si="3"/>
        <v>#DIV/0!</v>
      </c>
      <c r="BF35" s="4" t="e">
        <f t="shared" si="17"/>
        <v>#DIV/0!</v>
      </c>
      <c r="BG35" s="4" t="e">
        <f t="shared" si="18"/>
        <v>#DIV/0!</v>
      </c>
      <c r="BH35" s="4" t="e">
        <f t="shared" si="19"/>
        <v>#DIV/0!</v>
      </c>
      <c r="BI35" s="4">
        <f t="shared" si="20"/>
        <v>0</v>
      </c>
      <c r="BJ35" s="12" t="e">
        <f t="shared" si="4"/>
        <v>#DIV/0!</v>
      </c>
      <c r="BK35" s="12" t="e">
        <f t="shared" si="5"/>
        <v>#DIV/0!</v>
      </c>
      <c r="BL35" s="12" t="e">
        <f>(BE35+BJ35)/2</f>
        <v>#DIV/0!</v>
      </c>
      <c r="BM35" s="10" t="e">
        <f t="shared" si="21"/>
        <v>#DIV/0!</v>
      </c>
      <c r="BN35" s="176" t="e">
        <f t="shared" si="35"/>
        <v>#DIV/0!</v>
      </c>
      <c r="BO35" s="12" t="e">
        <f t="shared" si="6"/>
        <v>#DIV/0!</v>
      </c>
      <c r="BP35" s="11" t="e">
        <f t="shared" si="25"/>
        <v>#DIV/0!</v>
      </c>
      <c r="BQ35" s="6"/>
      <c r="BR35" s="6"/>
    </row>
    <row r="36" spans="1:70" ht="23.25" customHeight="1" thickBot="1">
      <c r="A36" s="333"/>
      <c r="B36" s="324"/>
      <c r="C36" s="324"/>
      <c r="D36" s="323"/>
      <c r="E36" s="20">
        <v>2</v>
      </c>
      <c r="F36" s="17"/>
      <c r="G36" s="17"/>
      <c r="H36" s="17"/>
      <c r="I36" s="17"/>
      <c r="J36" s="17"/>
      <c r="K36" s="8" t="e">
        <f t="shared" si="7"/>
        <v>#DIV/0!</v>
      </c>
      <c r="L36" s="17"/>
      <c r="M36" s="17"/>
      <c r="N36" s="17"/>
      <c r="O36" s="17"/>
      <c r="P36" s="17"/>
      <c r="Q36" s="9" t="e">
        <f t="shared" si="23"/>
        <v>#DIV/0!</v>
      </c>
      <c r="R36" s="17"/>
      <c r="S36" s="17"/>
      <c r="T36" s="17"/>
      <c r="U36" s="17"/>
      <c r="V36" s="17"/>
      <c r="W36" s="9" t="e">
        <f t="shared" si="8"/>
        <v>#DIV/0!</v>
      </c>
      <c r="X36" s="233"/>
      <c r="Y36" s="234"/>
      <c r="Z36" s="9" t="str">
        <f t="shared" si="9"/>
        <v>0</v>
      </c>
      <c r="AA36" s="7" t="e">
        <f t="shared" si="0"/>
        <v>#DIV/0!</v>
      </c>
      <c r="AB36" s="365"/>
      <c r="AC36" s="17"/>
      <c r="AD36" s="17"/>
      <c r="AE36" s="17"/>
      <c r="AF36" s="17"/>
      <c r="AG36" s="17"/>
      <c r="AH36" s="9" t="e">
        <f t="shared" si="10"/>
        <v>#DIV/0!</v>
      </c>
      <c r="AI36" s="17"/>
      <c r="AJ36" s="17"/>
      <c r="AK36" s="17"/>
      <c r="AL36" s="17"/>
      <c r="AM36" s="17"/>
      <c r="AN36" s="9" t="e">
        <f t="shared" si="11"/>
        <v>#DIV/0!</v>
      </c>
      <c r="AO36" s="17"/>
      <c r="AP36" s="17"/>
      <c r="AQ36" s="17"/>
      <c r="AR36" s="17"/>
      <c r="AS36" s="17"/>
      <c r="AT36" s="9" t="e">
        <f t="shared" si="12"/>
        <v>#DIV/0!</v>
      </c>
      <c r="AU36" s="208"/>
      <c r="AV36" s="209"/>
      <c r="AW36" s="9" t="str">
        <f t="shared" si="13"/>
        <v>0</v>
      </c>
      <c r="AX36" s="7" t="e">
        <f t="shared" si="1"/>
        <v>#DIV/0!</v>
      </c>
      <c r="AY36" s="18" t="e">
        <f t="shared" si="1"/>
        <v>#DIV/0!</v>
      </c>
      <c r="AZ36" s="232"/>
      <c r="BA36" s="4" t="e">
        <f t="shared" si="2"/>
        <v>#DIV/0!</v>
      </c>
      <c r="BB36" s="4" t="e">
        <f t="shared" si="14"/>
        <v>#DIV/0!</v>
      </c>
      <c r="BC36" s="4" t="e">
        <f t="shared" si="15"/>
        <v>#DIV/0!</v>
      </c>
      <c r="BD36" s="4">
        <f t="shared" si="16"/>
        <v>0</v>
      </c>
      <c r="BE36" s="12" t="e">
        <f t="shared" si="3"/>
        <v>#DIV/0!</v>
      </c>
      <c r="BF36" s="4" t="e">
        <f t="shared" si="17"/>
        <v>#DIV/0!</v>
      </c>
      <c r="BG36" s="4" t="e">
        <f t="shared" si="18"/>
        <v>#DIV/0!</v>
      </c>
      <c r="BH36" s="4" t="e">
        <f t="shared" si="19"/>
        <v>#DIV/0!</v>
      </c>
      <c r="BI36" s="4">
        <f t="shared" si="20"/>
        <v>0</v>
      </c>
      <c r="BJ36" s="12" t="e">
        <f t="shared" si="4"/>
        <v>#DIV/0!</v>
      </c>
      <c r="BK36" s="12" t="e">
        <f t="shared" si="5"/>
        <v>#DIV/0!</v>
      </c>
      <c r="BL36" s="12"/>
      <c r="BM36" s="10"/>
      <c r="BN36" s="176"/>
      <c r="BO36" s="12" t="e">
        <f t="shared" si="6"/>
        <v>#DIV/0!</v>
      </c>
      <c r="BP36" s="11"/>
      <c r="BQ36" s="6"/>
      <c r="BR36" s="6"/>
    </row>
    <row r="37" spans="1:70" ht="20.25" customHeight="1">
      <c r="A37" s="332">
        <v>13</v>
      </c>
      <c r="B37" s="324"/>
      <c r="C37" s="324"/>
      <c r="D37" s="323"/>
      <c r="E37" s="21">
        <v>1</v>
      </c>
      <c r="F37" s="17"/>
      <c r="G37" s="17"/>
      <c r="H37" s="17"/>
      <c r="I37" s="17"/>
      <c r="J37" s="17"/>
      <c r="K37" s="8" t="e">
        <f t="shared" si="7"/>
        <v>#DIV/0!</v>
      </c>
      <c r="L37" s="17"/>
      <c r="M37" s="17"/>
      <c r="N37" s="17"/>
      <c r="O37" s="17"/>
      <c r="P37" s="17"/>
      <c r="Q37" s="9" t="e">
        <f t="shared" si="23"/>
        <v>#DIV/0!</v>
      </c>
      <c r="R37" s="17"/>
      <c r="S37" s="17"/>
      <c r="T37" s="17"/>
      <c r="U37" s="17"/>
      <c r="V37" s="17"/>
      <c r="W37" s="9" t="e">
        <f t="shared" si="8"/>
        <v>#DIV/0!</v>
      </c>
      <c r="X37" s="233"/>
      <c r="Y37" s="234"/>
      <c r="Z37" s="9" t="str">
        <f t="shared" si="9"/>
        <v>0</v>
      </c>
      <c r="AA37" s="7" t="e">
        <f t="shared" si="0"/>
        <v>#DIV/0!</v>
      </c>
      <c r="AB37" s="365"/>
      <c r="AC37" s="17"/>
      <c r="AD37" s="17"/>
      <c r="AE37" s="17"/>
      <c r="AF37" s="17"/>
      <c r="AG37" s="17"/>
      <c r="AH37" s="9" t="e">
        <f t="shared" si="10"/>
        <v>#DIV/0!</v>
      </c>
      <c r="AI37" s="17"/>
      <c r="AJ37" s="17"/>
      <c r="AK37" s="17"/>
      <c r="AL37" s="17"/>
      <c r="AM37" s="17"/>
      <c r="AN37" s="9" t="e">
        <f t="shared" si="11"/>
        <v>#DIV/0!</v>
      </c>
      <c r="AO37" s="17"/>
      <c r="AP37" s="17"/>
      <c r="AQ37" s="17"/>
      <c r="AR37" s="17"/>
      <c r="AS37" s="17"/>
      <c r="AT37" s="9" t="e">
        <f t="shared" si="12"/>
        <v>#DIV/0!</v>
      </c>
      <c r="AU37" s="208"/>
      <c r="AV37" s="209"/>
      <c r="AW37" s="9" t="str">
        <f t="shared" si="13"/>
        <v>0</v>
      </c>
      <c r="AX37" s="7" t="e">
        <f t="shared" si="1"/>
        <v>#DIV/0!</v>
      </c>
      <c r="AY37" s="18" t="e">
        <f t="shared" si="1"/>
        <v>#DIV/0!</v>
      </c>
      <c r="AZ37" s="231" t="e">
        <f t="shared" ref="AZ37" si="41">IF(BP37&gt;=4.5, " 5 ", IF(BP37&gt;=3.5," 4 ",IF(BP37&gt;=2.5," 3  ",IF(BP37&gt;=1.5," 2 ",IF(BP37&gt;=1,"1 ",IF(BP37&gt;=0,"0"))))))</f>
        <v>#DIV/0!</v>
      </c>
      <c r="BA37" s="4" t="e">
        <f t="shared" si="2"/>
        <v>#DIV/0!</v>
      </c>
      <c r="BB37" s="4" t="e">
        <f t="shared" si="14"/>
        <v>#DIV/0!</v>
      </c>
      <c r="BC37" s="4" t="e">
        <f t="shared" si="15"/>
        <v>#DIV/0!</v>
      </c>
      <c r="BD37" s="4">
        <f t="shared" si="16"/>
        <v>0</v>
      </c>
      <c r="BE37" s="12" t="e">
        <f t="shared" si="3"/>
        <v>#DIV/0!</v>
      </c>
      <c r="BF37" s="4" t="e">
        <f t="shared" si="17"/>
        <v>#DIV/0!</v>
      </c>
      <c r="BG37" s="4" t="e">
        <f t="shared" si="18"/>
        <v>#DIV/0!</v>
      </c>
      <c r="BH37" s="4" t="e">
        <f t="shared" si="19"/>
        <v>#DIV/0!</v>
      </c>
      <c r="BI37" s="4">
        <f t="shared" si="20"/>
        <v>0</v>
      </c>
      <c r="BJ37" s="12" t="e">
        <f t="shared" si="4"/>
        <v>#DIV/0!</v>
      </c>
      <c r="BK37" s="12" t="e">
        <f t="shared" si="5"/>
        <v>#DIV/0!</v>
      </c>
      <c r="BL37" s="12" t="e">
        <f>(BE37+BJ37)/2</f>
        <v>#DIV/0!</v>
      </c>
      <c r="BM37" s="10" t="e">
        <f t="shared" si="21"/>
        <v>#DIV/0!</v>
      </c>
      <c r="BN37" s="176" t="e">
        <f t="shared" ref="BN37" si="42">ROUND(BO38,)</f>
        <v>#DIV/0!</v>
      </c>
      <c r="BO37" s="12" t="e">
        <f t="shared" si="6"/>
        <v>#DIV/0!</v>
      </c>
      <c r="BP37" s="11" t="e">
        <f t="shared" si="25"/>
        <v>#DIV/0!</v>
      </c>
      <c r="BQ37" s="6"/>
      <c r="BR37" s="6"/>
    </row>
    <row r="38" spans="1:70" ht="15" customHeight="1" thickBot="1">
      <c r="A38" s="333"/>
      <c r="B38" s="324"/>
      <c r="C38" s="324"/>
      <c r="D38" s="323"/>
      <c r="E38" s="20">
        <v>2</v>
      </c>
      <c r="F38" s="17"/>
      <c r="G38" s="17"/>
      <c r="H38" s="17"/>
      <c r="I38" s="17"/>
      <c r="J38" s="17"/>
      <c r="K38" s="8" t="e">
        <f t="shared" si="7"/>
        <v>#DIV/0!</v>
      </c>
      <c r="L38" s="17"/>
      <c r="M38" s="17"/>
      <c r="N38" s="17"/>
      <c r="O38" s="17"/>
      <c r="P38" s="17"/>
      <c r="Q38" s="9" t="e">
        <f t="shared" si="23"/>
        <v>#DIV/0!</v>
      </c>
      <c r="R38" s="17"/>
      <c r="S38" s="17"/>
      <c r="T38" s="17"/>
      <c r="U38" s="17"/>
      <c r="V38" s="17"/>
      <c r="W38" s="9" t="e">
        <f t="shared" si="8"/>
        <v>#DIV/0!</v>
      </c>
      <c r="X38" s="233"/>
      <c r="Y38" s="234"/>
      <c r="Z38" s="9" t="str">
        <f t="shared" si="9"/>
        <v>0</v>
      </c>
      <c r="AA38" s="7" t="e">
        <f t="shared" si="0"/>
        <v>#DIV/0!</v>
      </c>
      <c r="AB38" s="365"/>
      <c r="AC38" s="17"/>
      <c r="AD38" s="17"/>
      <c r="AE38" s="17"/>
      <c r="AF38" s="17"/>
      <c r="AG38" s="17"/>
      <c r="AH38" s="9" t="e">
        <f t="shared" si="10"/>
        <v>#DIV/0!</v>
      </c>
      <c r="AI38" s="17"/>
      <c r="AJ38" s="17"/>
      <c r="AK38" s="17"/>
      <c r="AL38" s="17"/>
      <c r="AM38" s="17"/>
      <c r="AN38" s="9" t="e">
        <f t="shared" si="11"/>
        <v>#DIV/0!</v>
      </c>
      <c r="AO38" s="17"/>
      <c r="AP38" s="17"/>
      <c r="AQ38" s="17"/>
      <c r="AR38" s="17"/>
      <c r="AS38" s="17"/>
      <c r="AT38" s="9" t="e">
        <f t="shared" si="12"/>
        <v>#DIV/0!</v>
      </c>
      <c r="AU38" s="208"/>
      <c r="AV38" s="209"/>
      <c r="AW38" s="9" t="str">
        <f t="shared" si="13"/>
        <v>0</v>
      </c>
      <c r="AX38" s="7" t="e">
        <f t="shared" si="1"/>
        <v>#DIV/0!</v>
      </c>
      <c r="AY38" s="18" t="e">
        <f t="shared" si="1"/>
        <v>#DIV/0!</v>
      </c>
      <c r="AZ38" s="232"/>
      <c r="BA38" s="4" t="e">
        <f t="shared" si="2"/>
        <v>#DIV/0!</v>
      </c>
      <c r="BB38" s="4" t="e">
        <f t="shared" si="14"/>
        <v>#DIV/0!</v>
      </c>
      <c r="BC38" s="4" t="e">
        <f t="shared" si="15"/>
        <v>#DIV/0!</v>
      </c>
      <c r="BD38" s="4">
        <f t="shared" si="16"/>
        <v>0</v>
      </c>
      <c r="BE38" s="12" t="e">
        <f t="shared" si="3"/>
        <v>#DIV/0!</v>
      </c>
      <c r="BF38" s="4" t="e">
        <f t="shared" si="17"/>
        <v>#DIV/0!</v>
      </c>
      <c r="BG38" s="4" t="e">
        <f t="shared" si="18"/>
        <v>#DIV/0!</v>
      </c>
      <c r="BH38" s="4" t="e">
        <f t="shared" si="19"/>
        <v>#DIV/0!</v>
      </c>
      <c r="BI38" s="4">
        <f t="shared" si="20"/>
        <v>0</v>
      </c>
      <c r="BJ38" s="12" t="e">
        <f t="shared" si="4"/>
        <v>#DIV/0!</v>
      </c>
      <c r="BK38" s="12" t="e">
        <f t="shared" si="5"/>
        <v>#DIV/0!</v>
      </c>
      <c r="BL38" s="12"/>
      <c r="BM38" s="10"/>
      <c r="BN38" s="176"/>
      <c r="BO38" s="12" t="e">
        <f t="shared" si="6"/>
        <v>#DIV/0!</v>
      </c>
      <c r="BP38" s="11"/>
      <c r="BQ38" s="6"/>
      <c r="BR38" s="6"/>
    </row>
    <row r="39" spans="1:70" ht="20.25" customHeight="1">
      <c r="A39" s="332">
        <v>14</v>
      </c>
      <c r="B39" s="324"/>
      <c r="C39" s="324"/>
      <c r="D39" s="323"/>
      <c r="E39" s="21">
        <v>1</v>
      </c>
      <c r="F39" s="17"/>
      <c r="G39" s="17"/>
      <c r="H39" s="17"/>
      <c r="I39" s="17"/>
      <c r="J39" s="17"/>
      <c r="K39" s="8" t="e">
        <f t="shared" si="7"/>
        <v>#DIV/0!</v>
      </c>
      <c r="L39" s="17"/>
      <c r="M39" s="17"/>
      <c r="N39" s="17"/>
      <c r="O39" s="17"/>
      <c r="P39" s="17"/>
      <c r="Q39" s="9" t="e">
        <f t="shared" si="23"/>
        <v>#DIV/0!</v>
      </c>
      <c r="R39" s="17"/>
      <c r="S39" s="17"/>
      <c r="T39" s="17"/>
      <c r="U39" s="17"/>
      <c r="V39" s="17"/>
      <c r="W39" s="9" t="e">
        <f t="shared" si="8"/>
        <v>#DIV/0!</v>
      </c>
      <c r="X39" s="233"/>
      <c r="Y39" s="234"/>
      <c r="Z39" s="9" t="str">
        <f t="shared" si="9"/>
        <v>0</v>
      </c>
      <c r="AA39" s="7" t="e">
        <f t="shared" si="0"/>
        <v>#DIV/0!</v>
      </c>
      <c r="AB39" s="365"/>
      <c r="AC39" s="17"/>
      <c r="AD39" s="17"/>
      <c r="AE39" s="17"/>
      <c r="AF39" s="17"/>
      <c r="AG39" s="17"/>
      <c r="AH39" s="9" t="e">
        <f t="shared" si="10"/>
        <v>#DIV/0!</v>
      </c>
      <c r="AI39" s="17"/>
      <c r="AJ39" s="17"/>
      <c r="AK39" s="17"/>
      <c r="AL39" s="17"/>
      <c r="AM39" s="17"/>
      <c r="AN39" s="9" t="e">
        <f t="shared" si="11"/>
        <v>#DIV/0!</v>
      </c>
      <c r="AO39" s="17"/>
      <c r="AP39" s="17"/>
      <c r="AQ39" s="17"/>
      <c r="AR39" s="17"/>
      <c r="AS39" s="17"/>
      <c r="AT39" s="9" t="e">
        <f t="shared" si="12"/>
        <v>#DIV/0!</v>
      </c>
      <c r="AU39" s="208"/>
      <c r="AV39" s="209"/>
      <c r="AW39" s="9" t="str">
        <f t="shared" si="13"/>
        <v>0</v>
      </c>
      <c r="AX39" s="7" t="e">
        <f t="shared" si="1"/>
        <v>#DIV/0!</v>
      </c>
      <c r="AY39" s="18" t="e">
        <f t="shared" si="1"/>
        <v>#DIV/0!</v>
      </c>
      <c r="AZ39" s="231" t="e">
        <f t="shared" ref="AZ39" si="43">IF(BP39&gt;=4.5, " 5 ", IF(BP39&gt;=3.5," 4 ",IF(BP39&gt;=2.5," 3  ",IF(BP39&gt;=1.5," 2 ",IF(BP39&gt;=1,"1 ",IF(BP39&gt;=0,"0"))))))</f>
        <v>#DIV/0!</v>
      </c>
      <c r="BA39" s="4" t="e">
        <f t="shared" si="2"/>
        <v>#DIV/0!</v>
      </c>
      <c r="BB39" s="4" t="e">
        <f t="shared" si="14"/>
        <v>#DIV/0!</v>
      </c>
      <c r="BC39" s="4" t="e">
        <f t="shared" si="15"/>
        <v>#DIV/0!</v>
      </c>
      <c r="BD39" s="4">
        <f t="shared" si="16"/>
        <v>0</v>
      </c>
      <c r="BE39" s="12" t="e">
        <f t="shared" si="3"/>
        <v>#DIV/0!</v>
      </c>
      <c r="BF39" s="4" t="e">
        <f t="shared" si="17"/>
        <v>#DIV/0!</v>
      </c>
      <c r="BG39" s="4" t="e">
        <f t="shared" si="18"/>
        <v>#DIV/0!</v>
      </c>
      <c r="BH39" s="4" t="e">
        <f t="shared" si="19"/>
        <v>#DIV/0!</v>
      </c>
      <c r="BI39" s="4">
        <f t="shared" si="20"/>
        <v>0</v>
      </c>
      <c r="BJ39" s="12" t="e">
        <f t="shared" si="4"/>
        <v>#DIV/0!</v>
      </c>
      <c r="BK39" s="12" t="e">
        <f t="shared" si="5"/>
        <v>#DIV/0!</v>
      </c>
      <c r="BL39" s="12" t="e">
        <f>(BE39+BJ39)/2</f>
        <v>#DIV/0!</v>
      </c>
      <c r="BM39" s="10" t="e">
        <f t="shared" si="21"/>
        <v>#DIV/0!</v>
      </c>
      <c r="BN39" s="176" t="e">
        <f t="shared" si="31"/>
        <v>#DIV/0!</v>
      </c>
      <c r="BO39" s="12" t="e">
        <f t="shared" si="6"/>
        <v>#DIV/0!</v>
      </c>
      <c r="BP39" s="11" t="e">
        <f t="shared" si="25"/>
        <v>#DIV/0!</v>
      </c>
      <c r="BQ39" s="6"/>
      <c r="BR39" s="6"/>
    </row>
    <row r="40" spans="1:70" ht="20.25" customHeight="1" thickBot="1">
      <c r="A40" s="333"/>
      <c r="B40" s="324"/>
      <c r="C40" s="324"/>
      <c r="D40" s="323"/>
      <c r="E40" s="20">
        <v>2</v>
      </c>
      <c r="F40" s="17"/>
      <c r="G40" s="17"/>
      <c r="H40" s="17"/>
      <c r="I40" s="17"/>
      <c r="J40" s="17"/>
      <c r="K40" s="8" t="e">
        <f t="shared" si="7"/>
        <v>#DIV/0!</v>
      </c>
      <c r="L40" s="17"/>
      <c r="M40" s="17"/>
      <c r="N40" s="17"/>
      <c r="O40" s="17"/>
      <c r="P40" s="17"/>
      <c r="Q40" s="9" t="e">
        <f t="shared" si="23"/>
        <v>#DIV/0!</v>
      </c>
      <c r="R40" s="17"/>
      <c r="S40" s="17"/>
      <c r="T40" s="17"/>
      <c r="U40" s="17"/>
      <c r="V40" s="17"/>
      <c r="W40" s="9" t="e">
        <f t="shared" si="8"/>
        <v>#DIV/0!</v>
      </c>
      <c r="X40" s="233"/>
      <c r="Y40" s="234"/>
      <c r="Z40" s="9" t="str">
        <f t="shared" si="9"/>
        <v>0</v>
      </c>
      <c r="AA40" s="7" t="e">
        <f t="shared" si="0"/>
        <v>#DIV/0!</v>
      </c>
      <c r="AB40" s="365"/>
      <c r="AC40" s="17"/>
      <c r="AD40" s="17"/>
      <c r="AE40" s="17"/>
      <c r="AF40" s="17"/>
      <c r="AG40" s="17"/>
      <c r="AH40" s="9" t="e">
        <f t="shared" si="10"/>
        <v>#DIV/0!</v>
      </c>
      <c r="AI40" s="17"/>
      <c r="AJ40" s="17"/>
      <c r="AK40" s="17"/>
      <c r="AL40" s="17"/>
      <c r="AM40" s="17"/>
      <c r="AN40" s="9" t="e">
        <f t="shared" si="11"/>
        <v>#DIV/0!</v>
      </c>
      <c r="AO40" s="17"/>
      <c r="AP40" s="17"/>
      <c r="AQ40" s="17"/>
      <c r="AR40" s="17"/>
      <c r="AS40" s="17"/>
      <c r="AT40" s="9" t="e">
        <f t="shared" si="12"/>
        <v>#DIV/0!</v>
      </c>
      <c r="AU40" s="208"/>
      <c r="AV40" s="209"/>
      <c r="AW40" s="9" t="str">
        <f t="shared" si="13"/>
        <v>0</v>
      </c>
      <c r="AX40" s="7" t="e">
        <f t="shared" si="1"/>
        <v>#DIV/0!</v>
      </c>
      <c r="AY40" s="18" t="e">
        <f t="shared" si="1"/>
        <v>#DIV/0!</v>
      </c>
      <c r="AZ40" s="232"/>
      <c r="BA40" s="4" t="e">
        <f t="shared" si="2"/>
        <v>#DIV/0!</v>
      </c>
      <c r="BB40" s="4" t="e">
        <f t="shared" si="14"/>
        <v>#DIV/0!</v>
      </c>
      <c r="BC40" s="4" t="e">
        <f t="shared" si="15"/>
        <v>#DIV/0!</v>
      </c>
      <c r="BD40" s="4">
        <f t="shared" si="16"/>
        <v>0</v>
      </c>
      <c r="BE40" s="12" t="e">
        <f t="shared" si="3"/>
        <v>#DIV/0!</v>
      </c>
      <c r="BF40" s="4" t="e">
        <f t="shared" si="17"/>
        <v>#DIV/0!</v>
      </c>
      <c r="BG40" s="4" t="e">
        <f t="shared" si="18"/>
        <v>#DIV/0!</v>
      </c>
      <c r="BH40" s="4" t="e">
        <f t="shared" si="19"/>
        <v>#DIV/0!</v>
      </c>
      <c r="BI40" s="4">
        <f t="shared" si="20"/>
        <v>0</v>
      </c>
      <c r="BJ40" s="12" t="e">
        <f t="shared" si="4"/>
        <v>#DIV/0!</v>
      </c>
      <c r="BK40" s="12" t="e">
        <f t="shared" si="5"/>
        <v>#DIV/0!</v>
      </c>
      <c r="BL40" s="12"/>
      <c r="BM40" s="10"/>
      <c r="BN40" s="176"/>
      <c r="BO40" s="12" t="e">
        <f t="shared" si="6"/>
        <v>#DIV/0!</v>
      </c>
      <c r="BP40" s="11"/>
      <c r="BQ40" s="6"/>
      <c r="BR40" s="6"/>
    </row>
    <row r="41" spans="1:70" ht="20.25" customHeight="1">
      <c r="A41" s="332">
        <v>15</v>
      </c>
      <c r="B41" s="324"/>
      <c r="C41" s="324"/>
      <c r="D41" s="323"/>
      <c r="E41" s="21">
        <v>1</v>
      </c>
      <c r="F41" s="17"/>
      <c r="G41" s="17"/>
      <c r="H41" s="17"/>
      <c r="I41" s="17"/>
      <c r="J41" s="17"/>
      <c r="K41" s="8" t="e">
        <f t="shared" si="7"/>
        <v>#DIV/0!</v>
      </c>
      <c r="L41" s="17"/>
      <c r="M41" s="17"/>
      <c r="N41" s="17"/>
      <c r="O41" s="17"/>
      <c r="P41" s="17"/>
      <c r="Q41" s="9" t="e">
        <f t="shared" si="23"/>
        <v>#DIV/0!</v>
      </c>
      <c r="R41" s="17"/>
      <c r="S41" s="17"/>
      <c r="T41" s="17"/>
      <c r="U41" s="17"/>
      <c r="V41" s="17"/>
      <c r="W41" s="9" t="e">
        <f t="shared" si="8"/>
        <v>#DIV/0!</v>
      </c>
      <c r="X41" s="233"/>
      <c r="Y41" s="234"/>
      <c r="Z41" s="9" t="str">
        <f t="shared" si="9"/>
        <v>0</v>
      </c>
      <c r="AA41" s="7" t="e">
        <f t="shared" si="0"/>
        <v>#DIV/0!</v>
      </c>
      <c r="AB41" s="365"/>
      <c r="AC41" s="17"/>
      <c r="AD41" s="17"/>
      <c r="AE41" s="17"/>
      <c r="AF41" s="17"/>
      <c r="AG41" s="17"/>
      <c r="AH41" s="9" t="e">
        <f t="shared" si="10"/>
        <v>#DIV/0!</v>
      </c>
      <c r="AI41" s="17"/>
      <c r="AJ41" s="17"/>
      <c r="AK41" s="17"/>
      <c r="AL41" s="17"/>
      <c r="AM41" s="17"/>
      <c r="AN41" s="9" t="e">
        <f t="shared" si="11"/>
        <v>#DIV/0!</v>
      </c>
      <c r="AO41" s="17"/>
      <c r="AP41" s="17"/>
      <c r="AQ41" s="17"/>
      <c r="AR41" s="17"/>
      <c r="AS41" s="17"/>
      <c r="AT41" s="9" t="e">
        <f t="shared" si="12"/>
        <v>#DIV/0!</v>
      </c>
      <c r="AU41" s="208"/>
      <c r="AV41" s="209"/>
      <c r="AW41" s="9" t="str">
        <f t="shared" si="13"/>
        <v>0</v>
      </c>
      <c r="AX41" s="7" t="e">
        <f t="shared" si="1"/>
        <v>#DIV/0!</v>
      </c>
      <c r="AY41" s="18" t="e">
        <f t="shared" si="1"/>
        <v>#DIV/0!</v>
      </c>
      <c r="AZ41" s="231" t="e">
        <f t="shared" ref="AZ41" si="44">IF(BP41&gt;=4.5, " 5 ", IF(BP41&gt;=3.5," 4 ",IF(BP41&gt;=2.5," 3  ",IF(BP41&gt;=1.5," 2 ",IF(BP41&gt;=1,"1 ",IF(BP41&gt;=0,"0"))))))</f>
        <v>#DIV/0!</v>
      </c>
      <c r="BA41" s="4" t="e">
        <f t="shared" si="2"/>
        <v>#DIV/0!</v>
      </c>
      <c r="BB41" s="4" t="e">
        <f t="shared" si="14"/>
        <v>#DIV/0!</v>
      </c>
      <c r="BC41" s="4" t="e">
        <f t="shared" si="15"/>
        <v>#DIV/0!</v>
      </c>
      <c r="BD41" s="4">
        <f t="shared" si="16"/>
        <v>0</v>
      </c>
      <c r="BE41" s="12" t="e">
        <f t="shared" si="3"/>
        <v>#DIV/0!</v>
      </c>
      <c r="BF41" s="4" t="e">
        <f t="shared" si="17"/>
        <v>#DIV/0!</v>
      </c>
      <c r="BG41" s="4" t="e">
        <f t="shared" si="18"/>
        <v>#DIV/0!</v>
      </c>
      <c r="BH41" s="4" t="e">
        <f t="shared" si="19"/>
        <v>#DIV/0!</v>
      </c>
      <c r="BI41" s="4">
        <f t="shared" si="20"/>
        <v>0</v>
      </c>
      <c r="BJ41" s="12" t="e">
        <f t="shared" si="4"/>
        <v>#DIV/0!</v>
      </c>
      <c r="BK41" s="12" t="e">
        <f t="shared" si="5"/>
        <v>#DIV/0!</v>
      </c>
      <c r="BL41" s="12" t="e">
        <f>(BE41+BJ41)/2</f>
        <v>#DIV/0!</v>
      </c>
      <c r="BM41" s="10" t="e">
        <f t="shared" si="21"/>
        <v>#DIV/0!</v>
      </c>
      <c r="BN41" s="176" t="e">
        <f t="shared" si="33"/>
        <v>#DIV/0!</v>
      </c>
      <c r="BO41" s="12" t="e">
        <f t="shared" si="6"/>
        <v>#DIV/0!</v>
      </c>
      <c r="BP41" s="11" t="e">
        <f t="shared" si="25"/>
        <v>#DIV/0!</v>
      </c>
      <c r="BQ41" s="6"/>
      <c r="BR41" s="6"/>
    </row>
    <row r="42" spans="1:70" ht="20.25" customHeight="1" thickBot="1">
      <c r="A42" s="333"/>
      <c r="B42" s="324"/>
      <c r="C42" s="324"/>
      <c r="D42" s="323"/>
      <c r="E42" s="20">
        <v>2</v>
      </c>
      <c r="F42" s="17"/>
      <c r="G42" s="17"/>
      <c r="H42" s="17"/>
      <c r="I42" s="17"/>
      <c r="J42" s="17"/>
      <c r="K42" s="8" t="e">
        <f t="shared" si="7"/>
        <v>#DIV/0!</v>
      </c>
      <c r="L42" s="17"/>
      <c r="M42" s="17"/>
      <c r="N42" s="17"/>
      <c r="O42" s="17"/>
      <c r="P42" s="17"/>
      <c r="Q42" s="9" t="e">
        <f t="shared" si="23"/>
        <v>#DIV/0!</v>
      </c>
      <c r="R42" s="17"/>
      <c r="S42" s="17"/>
      <c r="T42" s="17"/>
      <c r="U42" s="17"/>
      <c r="V42" s="17"/>
      <c r="W42" s="9" t="e">
        <f t="shared" si="8"/>
        <v>#DIV/0!</v>
      </c>
      <c r="X42" s="233"/>
      <c r="Y42" s="234"/>
      <c r="Z42" s="9" t="str">
        <f t="shared" si="9"/>
        <v>0</v>
      </c>
      <c r="AA42" s="7" t="e">
        <f t="shared" si="0"/>
        <v>#DIV/0!</v>
      </c>
      <c r="AB42" s="365"/>
      <c r="AC42" s="17"/>
      <c r="AD42" s="17"/>
      <c r="AE42" s="17"/>
      <c r="AF42" s="17"/>
      <c r="AG42" s="17"/>
      <c r="AH42" s="9" t="e">
        <f t="shared" si="10"/>
        <v>#DIV/0!</v>
      </c>
      <c r="AI42" s="17"/>
      <c r="AJ42" s="17"/>
      <c r="AK42" s="17"/>
      <c r="AL42" s="17"/>
      <c r="AM42" s="17"/>
      <c r="AN42" s="9" t="e">
        <f t="shared" si="11"/>
        <v>#DIV/0!</v>
      </c>
      <c r="AO42" s="17"/>
      <c r="AP42" s="17"/>
      <c r="AQ42" s="17"/>
      <c r="AR42" s="17"/>
      <c r="AS42" s="17"/>
      <c r="AT42" s="9" t="e">
        <f t="shared" si="12"/>
        <v>#DIV/0!</v>
      </c>
      <c r="AU42" s="208"/>
      <c r="AV42" s="209"/>
      <c r="AW42" s="9" t="str">
        <f t="shared" si="13"/>
        <v>0</v>
      </c>
      <c r="AX42" s="7" t="e">
        <f t="shared" si="1"/>
        <v>#DIV/0!</v>
      </c>
      <c r="AY42" s="18" t="e">
        <f t="shared" si="1"/>
        <v>#DIV/0!</v>
      </c>
      <c r="AZ42" s="232"/>
      <c r="BA42" s="4" t="e">
        <f t="shared" si="2"/>
        <v>#DIV/0!</v>
      </c>
      <c r="BB42" s="4" t="e">
        <f t="shared" si="14"/>
        <v>#DIV/0!</v>
      </c>
      <c r="BC42" s="4" t="e">
        <f t="shared" si="15"/>
        <v>#DIV/0!</v>
      </c>
      <c r="BD42" s="4">
        <f t="shared" si="16"/>
        <v>0</v>
      </c>
      <c r="BE42" s="12" t="e">
        <f t="shared" si="3"/>
        <v>#DIV/0!</v>
      </c>
      <c r="BF42" s="4" t="e">
        <f t="shared" si="17"/>
        <v>#DIV/0!</v>
      </c>
      <c r="BG42" s="4" t="e">
        <f t="shared" si="18"/>
        <v>#DIV/0!</v>
      </c>
      <c r="BH42" s="4" t="e">
        <f t="shared" si="19"/>
        <v>#DIV/0!</v>
      </c>
      <c r="BI42" s="4">
        <f t="shared" si="20"/>
        <v>0</v>
      </c>
      <c r="BJ42" s="12" t="e">
        <f t="shared" si="4"/>
        <v>#DIV/0!</v>
      </c>
      <c r="BK42" s="12" t="e">
        <f t="shared" si="5"/>
        <v>#DIV/0!</v>
      </c>
      <c r="BL42" s="12"/>
      <c r="BM42" s="10"/>
      <c r="BN42" s="176"/>
      <c r="BO42" s="12" t="e">
        <f t="shared" si="6"/>
        <v>#DIV/0!</v>
      </c>
      <c r="BP42" s="11"/>
      <c r="BQ42" s="6"/>
      <c r="BR42" s="6"/>
    </row>
    <row r="43" spans="1:70" ht="20.25" customHeight="1">
      <c r="A43" s="332">
        <v>16</v>
      </c>
      <c r="B43" s="324"/>
      <c r="C43" s="324"/>
      <c r="D43" s="323"/>
      <c r="E43" s="22">
        <v>1</v>
      </c>
      <c r="F43" s="17"/>
      <c r="G43" s="17"/>
      <c r="H43" s="17"/>
      <c r="I43" s="17"/>
      <c r="J43" s="17"/>
      <c r="K43" s="8" t="e">
        <f t="shared" si="7"/>
        <v>#DIV/0!</v>
      </c>
      <c r="L43" s="17"/>
      <c r="M43" s="17"/>
      <c r="N43" s="17"/>
      <c r="O43" s="17"/>
      <c r="P43" s="17"/>
      <c r="Q43" s="9" t="e">
        <f t="shared" si="23"/>
        <v>#DIV/0!</v>
      </c>
      <c r="R43" s="17"/>
      <c r="S43" s="17"/>
      <c r="T43" s="17"/>
      <c r="U43" s="17"/>
      <c r="V43" s="17"/>
      <c r="W43" s="9" t="e">
        <f t="shared" si="8"/>
        <v>#DIV/0!</v>
      </c>
      <c r="X43" s="233"/>
      <c r="Y43" s="234"/>
      <c r="Z43" s="9" t="str">
        <f t="shared" si="9"/>
        <v>0</v>
      </c>
      <c r="AA43" s="7" t="e">
        <f t="shared" si="0"/>
        <v>#DIV/0!</v>
      </c>
      <c r="AB43" s="365"/>
      <c r="AC43" s="17"/>
      <c r="AD43" s="17"/>
      <c r="AE43" s="17"/>
      <c r="AF43" s="17"/>
      <c r="AG43" s="17"/>
      <c r="AH43" s="9" t="e">
        <f t="shared" si="10"/>
        <v>#DIV/0!</v>
      </c>
      <c r="AI43" s="17"/>
      <c r="AJ43" s="17"/>
      <c r="AK43" s="17"/>
      <c r="AL43" s="17"/>
      <c r="AM43" s="17"/>
      <c r="AN43" s="9" t="e">
        <f t="shared" si="11"/>
        <v>#DIV/0!</v>
      </c>
      <c r="AO43" s="17"/>
      <c r="AP43" s="17"/>
      <c r="AQ43" s="17"/>
      <c r="AR43" s="17"/>
      <c r="AS43" s="17"/>
      <c r="AT43" s="9" t="e">
        <f t="shared" si="12"/>
        <v>#DIV/0!</v>
      </c>
      <c r="AU43" s="208"/>
      <c r="AV43" s="209"/>
      <c r="AW43" s="9" t="str">
        <f t="shared" si="13"/>
        <v>0</v>
      </c>
      <c r="AX43" s="7" t="e">
        <f t="shared" si="1"/>
        <v>#DIV/0!</v>
      </c>
      <c r="AY43" s="18" t="e">
        <f t="shared" si="1"/>
        <v>#DIV/0!</v>
      </c>
      <c r="AZ43" s="231" t="e">
        <f t="shared" ref="AZ43" si="45">IF(BP43&gt;=4.5, " 5 ", IF(BP43&gt;=3.5," 4 ",IF(BP43&gt;=2.5," 3  ",IF(BP43&gt;=1.5," 2 ",IF(BP43&gt;=1,"1 ",IF(BP43&gt;=0,"0"))))))</f>
        <v>#DIV/0!</v>
      </c>
      <c r="BA43" s="4" t="e">
        <f t="shared" si="2"/>
        <v>#DIV/0!</v>
      </c>
      <c r="BB43" s="4" t="e">
        <f t="shared" si="14"/>
        <v>#DIV/0!</v>
      </c>
      <c r="BC43" s="4" t="e">
        <f t="shared" si="15"/>
        <v>#DIV/0!</v>
      </c>
      <c r="BD43" s="4">
        <f t="shared" si="16"/>
        <v>0</v>
      </c>
      <c r="BE43" s="12" t="e">
        <f t="shared" si="3"/>
        <v>#DIV/0!</v>
      </c>
      <c r="BF43" s="4" t="e">
        <f t="shared" si="17"/>
        <v>#DIV/0!</v>
      </c>
      <c r="BG43" s="4" t="e">
        <f t="shared" si="18"/>
        <v>#DIV/0!</v>
      </c>
      <c r="BH43" s="4" t="e">
        <f t="shared" si="19"/>
        <v>#DIV/0!</v>
      </c>
      <c r="BI43" s="4">
        <f t="shared" si="20"/>
        <v>0</v>
      </c>
      <c r="BJ43" s="12" t="e">
        <f t="shared" si="4"/>
        <v>#DIV/0!</v>
      </c>
      <c r="BK43" s="12" t="e">
        <f t="shared" si="5"/>
        <v>#DIV/0!</v>
      </c>
      <c r="BL43" s="12" t="e">
        <f>(BE43+BJ43)/2</f>
        <v>#DIV/0!</v>
      </c>
      <c r="BM43" s="10" t="e">
        <f t="shared" si="21"/>
        <v>#DIV/0!</v>
      </c>
      <c r="BN43" s="176" t="e">
        <f t="shared" si="35"/>
        <v>#DIV/0!</v>
      </c>
      <c r="BO43" s="12" t="e">
        <f t="shared" si="6"/>
        <v>#DIV/0!</v>
      </c>
      <c r="BP43" s="11" t="e">
        <f t="shared" si="25"/>
        <v>#DIV/0!</v>
      </c>
      <c r="BQ43" s="6"/>
      <c r="BR43" s="6"/>
    </row>
    <row r="44" spans="1:70" ht="20.25" customHeight="1" thickBot="1">
      <c r="A44" s="333"/>
      <c r="B44" s="324"/>
      <c r="C44" s="324"/>
      <c r="D44" s="323"/>
      <c r="E44" s="23">
        <v>2</v>
      </c>
      <c r="F44" s="17"/>
      <c r="G44" s="17"/>
      <c r="H44" s="17"/>
      <c r="I44" s="17"/>
      <c r="J44" s="17"/>
      <c r="K44" s="8" t="e">
        <f t="shared" si="7"/>
        <v>#DIV/0!</v>
      </c>
      <c r="L44" s="17"/>
      <c r="M44" s="17"/>
      <c r="N44" s="17"/>
      <c r="O44" s="17"/>
      <c r="P44" s="17"/>
      <c r="Q44" s="9" t="e">
        <f t="shared" si="23"/>
        <v>#DIV/0!</v>
      </c>
      <c r="R44" s="17"/>
      <c r="S44" s="17"/>
      <c r="T44" s="17"/>
      <c r="U44" s="17"/>
      <c r="V44" s="17"/>
      <c r="W44" s="9" t="e">
        <f t="shared" si="8"/>
        <v>#DIV/0!</v>
      </c>
      <c r="X44" s="233"/>
      <c r="Y44" s="234"/>
      <c r="Z44" s="9" t="str">
        <f t="shared" si="9"/>
        <v>0</v>
      </c>
      <c r="AA44" s="7" t="e">
        <f t="shared" si="0"/>
        <v>#DIV/0!</v>
      </c>
      <c r="AB44" s="365"/>
      <c r="AC44" s="17"/>
      <c r="AD44" s="17"/>
      <c r="AE44" s="17"/>
      <c r="AF44" s="17"/>
      <c r="AG44" s="17"/>
      <c r="AH44" s="9" t="e">
        <f t="shared" si="10"/>
        <v>#DIV/0!</v>
      </c>
      <c r="AI44" s="17"/>
      <c r="AJ44" s="17"/>
      <c r="AK44" s="17"/>
      <c r="AL44" s="17"/>
      <c r="AM44" s="17"/>
      <c r="AN44" s="9" t="e">
        <f t="shared" si="11"/>
        <v>#DIV/0!</v>
      </c>
      <c r="AO44" s="17"/>
      <c r="AP44" s="17"/>
      <c r="AQ44" s="17"/>
      <c r="AR44" s="17"/>
      <c r="AS44" s="17"/>
      <c r="AT44" s="9" t="e">
        <f t="shared" si="12"/>
        <v>#DIV/0!</v>
      </c>
      <c r="AU44" s="208"/>
      <c r="AV44" s="209"/>
      <c r="AW44" s="9" t="str">
        <f t="shared" si="13"/>
        <v>0</v>
      </c>
      <c r="AX44" s="7" t="e">
        <f t="shared" si="1"/>
        <v>#DIV/0!</v>
      </c>
      <c r="AY44" s="18" t="e">
        <f t="shared" si="1"/>
        <v>#DIV/0!</v>
      </c>
      <c r="AZ44" s="232"/>
      <c r="BA44" s="4" t="e">
        <f t="shared" si="2"/>
        <v>#DIV/0!</v>
      </c>
      <c r="BB44" s="4" t="e">
        <f t="shared" si="14"/>
        <v>#DIV/0!</v>
      </c>
      <c r="BC44" s="4" t="e">
        <f t="shared" si="15"/>
        <v>#DIV/0!</v>
      </c>
      <c r="BD44" s="4">
        <f t="shared" si="16"/>
        <v>0</v>
      </c>
      <c r="BE44" s="12" t="e">
        <f t="shared" si="3"/>
        <v>#DIV/0!</v>
      </c>
      <c r="BF44" s="4" t="e">
        <f t="shared" si="17"/>
        <v>#DIV/0!</v>
      </c>
      <c r="BG44" s="4" t="e">
        <f t="shared" si="18"/>
        <v>#DIV/0!</v>
      </c>
      <c r="BH44" s="4" t="e">
        <f t="shared" si="19"/>
        <v>#DIV/0!</v>
      </c>
      <c r="BI44" s="4">
        <f t="shared" si="20"/>
        <v>0</v>
      </c>
      <c r="BJ44" s="12" t="e">
        <f t="shared" si="4"/>
        <v>#DIV/0!</v>
      </c>
      <c r="BK44" s="12" t="e">
        <f t="shared" si="5"/>
        <v>#DIV/0!</v>
      </c>
      <c r="BL44" s="12"/>
      <c r="BM44" s="10"/>
      <c r="BN44" s="176"/>
      <c r="BO44" s="12" t="e">
        <f t="shared" si="6"/>
        <v>#DIV/0!</v>
      </c>
      <c r="BP44" s="11"/>
      <c r="BQ44" s="6"/>
      <c r="BR44" s="6"/>
    </row>
    <row r="45" spans="1:70" ht="20.25" customHeight="1">
      <c r="A45" s="332">
        <v>17</v>
      </c>
      <c r="B45" s="324"/>
      <c r="C45" s="324"/>
      <c r="D45" s="323"/>
      <c r="E45" s="22">
        <v>1</v>
      </c>
      <c r="F45" s="17"/>
      <c r="G45" s="17"/>
      <c r="H45" s="17"/>
      <c r="I45" s="17"/>
      <c r="J45" s="17"/>
      <c r="K45" s="8" t="e">
        <f t="shared" si="7"/>
        <v>#DIV/0!</v>
      </c>
      <c r="L45" s="17"/>
      <c r="M45" s="17"/>
      <c r="N45" s="17"/>
      <c r="O45" s="17"/>
      <c r="P45" s="17"/>
      <c r="Q45" s="9" t="e">
        <f t="shared" si="23"/>
        <v>#DIV/0!</v>
      </c>
      <c r="R45" s="17"/>
      <c r="S45" s="17"/>
      <c r="T45" s="17"/>
      <c r="U45" s="17"/>
      <c r="V45" s="17"/>
      <c r="W45" s="9" t="e">
        <f t="shared" si="8"/>
        <v>#DIV/0!</v>
      </c>
      <c r="X45" s="233"/>
      <c r="Y45" s="234"/>
      <c r="Z45" s="9" t="str">
        <f t="shared" si="9"/>
        <v>0</v>
      </c>
      <c r="AA45" s="7" t="e">
        <f t="shared" si="0"/>
        <v>#DIV/0!</v>
      </c>
      <c r="AB45" s="365"/>
      <c r="AC45" s="17"/>
      <c r="AD45" s="17"/>
      <c r="AE45" s="17"/>
      <c r="AF45" s="17"/>
      <c r="AG45" s="17"/>
      <c r="AH45" s="9" t="e">
        <f t="shared" si="10"/>
        <v>#DIV/0!</v>
      </c>
      <c r="AI45" s="17"/>
      <c r="AJ45" s="17"/>
      <c r="AK45" s="17"/>
      <c r="AL45" s="17"/>
      <c r="AM45" s="17"/>
      <c r="AN45" s="9" t="e">
        <f t="shared" si="11"/>
        <v>#DIV/0!</v>
      </c>
      <c r="AO45" s="17"/>
      <c r="AP45" s="17"/>
      <c r="AQ45" s="17"/>
      <c r="AR45" s="17"/>
      <c r="AS45" s="17"/>
      <c r="AT45" s="9" t="e">
        <f t="shared" si="12"/>
        <v>#DIV/0!</v>
      </c>
      <c r="AU45" s="208"/>
      <c r="AV45" s="209"/>
      <c r="AW45" s="9" t="str">
        <f t="shared" si="13"/>
        <v>0</v>
      </c>
      <c r="AX45" s="7" t="e">
        <f t="shared" si="1"/>
        <v>#DIV/0!</v>
      </c>
      <c r="AY45" s="18" t="e">
        <f t="shared" si="1"/>
        <v>#DIV/0!</v>
      </c>
      <c r="AZ45" s="231" t="e">
        <f t="shared" ref="AZ45" si="46">IF(BP45&gt;=4.5, " 5 ", IF(BP45&gt;=3.5," 4 ",IF(BP45&gt;=2.5," 3  ",IF(BP45&gt;=1.5," 2 ",IF(BP45&gt;=1,"1 ",IF(BP45&gt;=0,"0"))))))</f>
        <v>#DIV/0!</v>
      </c>
      <c r="BA45" s="4" t="e">
        <f t="shared" si="2"/>
        <v>#DIV/0!</v>
      </c>
      <c r="BB45" s="4" t="e">
        <f t="shared" si="14"/>
        <v>#DIV/0!</v>
      </c>
      <c r="BC45" s="4" t="e">
        <f t="shared" si="15"/>
        <v>#DIV/0!</v>
      </c>
      <c r="BD45" s="4">
        <f t="shared" si="16"/>
        <v>0</v>
      </c>
      <c r="BE45" s="12" t="e">
        <f t="shared" si="3"/>
        <v>#DIV/0!</v>
      </c>
      <c r="BF45" s="4" t="e">
        <f t="shared" si="17"/>
        <v>#DIV/0!</v>
      </c>
      <c r="BG45" s="4" t="e">
        <f t="shared" si="18"/>
        <v>#DIV/0!</v>
      </c>
      <c r="BH45" s="4" t="e">
        <f t="shared" si="19"/>
        <v>#DIV/0!</v>
      </c>
      <c r="BI45" s="4">
        <f t="shared" si="20"/>
        <v>0</v>
      </c>
      <c r="BJ45" s="12" t="e">
        <f t="shared" si="4"/>
        <v>#DIV/0!</v>
      </c>
      <c r="BK45" s="12" t="e">
        <f t="shared" si="5"/>
        <v>#DIV/0!</v>
      </c>
      <c r="BL45" s="12" t="e">
        <f>(BE45+BJ45)/2</f>
        <v>#DIV/0!</v>
      </c>
      <c r="BM45" s="10" t="e">
        <f t="shared" si="21"/>
        <v>#DIV/0!</v>
      </c>
      <c r="BN45" s="176" t="e">
        <f t="shared" ref="BN45" si="47">ROUND(BO46,)</f>
        <v>#DIV/0!</v>
      </c>
      <c r="BO45" s="12" t="e">
        <f t="shared" si="6"/>
        <v>#DIV/0!</v>
      </c>
      <c r="BP45" s="11" t="e">
        <f t="shared" si="25"/>
        <v>#DIV/0!</v>
      </c>
      <c r="BQ45" s="6"/>
      <c r="BR45" s="6"/>
    </row>
    <row r="46" spans="1:70" ht="20.25" customHeight="1" thickBot="1">
      <c r="A46" s="333"/>
      <c r="B46" s="324"/>
      <c r="C46" s="324"/>
      <c r="D46" s="323"/>
      <c r="E46" s="23">
        <v>2</v>
      </c>
      <c r="F46" s="17"/>
      <c r="G46" s="17"/>
      <c r="H46" s="17"/>
      <c r="I46" s="17"/>
      <c r="J46" s="17"/>
      <c r="K46" s="8" t="e">
        <f t="shared" si="7"/>
        <v>#DIV/0!</v>
      </c>
      <c r="L46" s="17"/>
      <c r="M46" s="17"/>
      <c r="N46" s="17"/>
      <c r="O46" s="17"/>
      <c r="P46" s="17"/>
      <c r="Q46" s="9" t="e">
        <f t="shared" si="23"/>
        <v>#DIV/0!</v>
      </c>
      <c r="R46" s="17"/>
      <c r="S46" s="17"/>
      <c r="T46" s="17"/>
      <c r="U46" s="17"/>
      <c r="V46" s="17"/>
      <c r="W46" s="9" t="e">
        <f t="shared" si="8"/>
        <v>#DIV/0!</v>
      </c>
      <c r="X46" s="233"/>
      <c r="Y46" s="234"/>
      <c r="Z46" s="9" t="str">
        <f t="shared" si="9"/>
        <v>0</v>
      </c>
      <c r="AA46" s="7" t="e">
        <f t="shared" si="0"/>
        <v>#DIV/0!</v>
      </c>
      <c r="AB46" s="365"/>
      <c r="AC46" s="17"/>
      <c r="AD46" s="17"/>
      <c r="AE46" s="17"/>
      <c r="AF46" s="17"/>
      <c r="AG46" s="17"/>
      <c r="AH46" s="9" t="e">
        <f t="shared" si="10"/>
        <v>#DIV/0!</v>
      </c>
      <c r="AI46" s="17"/>
      <c r="AJ46" s="17"/>
      <c r="AK46" s="17"/>
      <c r="AL46" s="17"/>
      <c r="AM46" s="17"/>
      <c r="AN46" s="9" t="e">
        <f t="shared" si="11"/>
        <v>#DIV/0!</v>
      </c>
      <c r="AO46" s="17"/>
      <c r="AP46" s="17"/>
      <c r="AQ46" s="17"/>
      <c r="AR46" s="17"/>
      <c r="AS46" s="17"/>
      <c r="AT46" s="9" t="e">
        <f t="shared" si="12"/>
        <v>#DIV/0!</v>
      </c>
      <c r="AU46" s="208"/>
      <c r="AV46" s="209"/>
      <c r="AW46" s="9" t="str">
        <f t="shared" si="13"/>
        <v>0</v>
      </c>
      <c r="AX46" s="7" t="e">
        <f t="shared" si="1"/>
        <v>#DIV/0!</v>
      </c>
      <c r="AY46" s="18" t="e">
        <f t="shared" si="1"/>
        <v>#DIV/0!</v>
      </c>
      <c r="AZ46" s="232"/>
      <c r="BA46" s="4" t="e">
        <f t="shared" si="2"/>
        <v>#DIV/0!</v>
      </c>
      <c r="BB46" s="4" t="e">
        <f t="shared" si="14"/>
        <v>#DIV/0!</v>
      </c>
      <c r="BC46" s="4" t="e">
        <f t="shared" si="15"/>
        <v>#DIV/0!</v>
      </c>
      <c r="BD46" s="4">
        <f t="shared" si="16"/>
        <v>0</v>
      </c>
      <c r="BE46" s="12" t="e">
        <f t="shared" si="3"/>
        <v>#DIV/0!</v>
      </c>
      <c r="BF46" s="4" t="e">
        <f t="shared" si="17"/>
        <v>#DIV/0!</v>
      </c>
      <c r="BG46" s="4" t="e">
        <f t="shared" si="18"/>
        <v>#DIV/0!</v>
      </c>
      <c r="BH46" s="4" t="e">
        <f t="shared" si="19"/>
        <v>#DIV/0!</v>
      </c>
      <c r="BI46" s="4">
        <f t="shared" si="20"/>
        <v>0</v>
      </c>
      <c r="BJ46" s="12" t="e">
        <f t="shared" si="4"/>
        <v>#DIV/0!</v>
      </c>
      <c r="BK46" s="12" t="e">
        <f t="shared" si="5"/>
        <v>#DIV/0!</v>
      </c>
      <c r="BL46" s="12"/>
      <c r="BM46" s="10"/>
      <c r="BN46" s="176"/>
      <c r="BO46" s="12" t="e">
        <f t="shared" si="6"/>
        <v>#DIV/0!</v>
      </c>
      <c r="BP46" s="11"/>
      <c r="BQ46" s="6"/>
      <c r="BR46" s="6"/>
    </row>
    <row r="47" spans="1:70" ht="20.25" customHeight="1">
      <c r="A47" s="332">
        <v>18</v>
      </c>
      <c r="B47" s="324"/>
      <c r="C47" s="324"/>
      <c r="D47" s="323"/>
      <c r="E47" s="22">
        <v>1</v>
      </c>
      <c r="F47" s="17"/>
      <c r="G47" s="17"/>
      <c r="H47" s="17"/>
      <c r="I47" s="17"/>
      <c r="J47" s="17"/>
      <c r="K47" s="8" t="e">
        <f t="shared" si="7"/>
        <v>#DIV/0!</v>
      </c>
      <c r="L47" s="17"/>
      <c r="M47" s="17"/>
      <c r="N47" s="17"/>
      <c r="O47" s="17"/>
      <c r="P47" s="17"/>
      <c r="Q47" s="9" t="e">
        <f t="shared" si="23"/>
        <v>#DIV/0!</v>
      </c>
      <c r="R47" s="17"/>
      <c r="S47" s="17"/>
      <c r="T47" s="17"/>
      <c r="U47" s="17"/>
      <c r="V47" s="17"/>
      <c r="W47" s="9" t="e">
        <f t="shared" si="8"/>
        <v>#DIV/0!</v>
      </c>
      <c r="X47" s="233"/>
      <c r="Y47" s="234"/>
      <c r="Z47" s="9" t="str">
        <f t="shared" si="9"/>
        <v>0</v>
      </c>
      <c r="AA47" s="7" t="e">
        <f t="shared" si="0"/>
        <v>#DIV/0!</v>
      </c>
      <c r="AB47" s="365"/>
      <c r="AC47" s="17"/>
      <c r="AD47" s="17"/>
      <c r="AE47" s="17"/>
      <c r="AF47" s="17"/>
      <c r="AG47" s="17"/>
      <c r="AH47" s="9" t="e">
        <f t="shared" si="10"/>
        <v>#DIV/0!</v>
      </c>
      <c r="AI47" s="17"/>
      <c r="AJ47" s="17"/>
      <c r="AK47" s="17"/>
      <c r="AL47" s="17"/>
      <c r="AM47" s="17"/>
      <c r="AN47" s="9" t="e">
        <f t="shared" si="11"/>
        <v>#DIV/0!</v>
      </c>
      <c r="AO47" s="17"/>
      <c r="AP47" s="17"/>
      <c r="AQ47" s="17"/>
      <c r="AR47" s="17"/>
      <c r="AS47" s="17"/>
      <c r="AT47" s="9" t="e">
        <f t="shared" si="12"/>
        <v>#DIV/0!</v>
      </c>
      <c r="AU47" s="208"/>
      <c r="AV47" s="209"/>
      <c r="AW47" s="9" t="str">
        <f t="shared" si="13"/>
        <v>0</v>
      </c>
      <c r="AX47" s="7" t="e">
        <f t="shared" si="1"/>
        <v>#DIV/0!</v>
      </c>
      <c r="AY47" s="18" t="e">
        <f t="shared" si="1"/>
        <v>#DIV/0!</v>
      </c>
      <c r="AZ47" s="231" t="e">
        <f t="shared" ref="AZ47" si="48">IF(BP47&gt;=4.5, " 5 ", IF(BP47&gt;=3.5," 4 ",IF(BP47&gt;=2.5," 3  ",IF(BP47&gt;=1.5," 2 ",IF(BP47&gt;=1,"1 ",IF(BP47&gt;=0,"0"))))))</f>
        <v>#DIV/0!</v>
      </c>
      <c r="BA47" s="4" t="e">
        <f t="shared" si="2"/>
        <v>#DIV/0!</v>
      </c>
      <c r="BB47" s="4" t="e">
        <f t="shared" si="14"/>
        <v>#DIV/0!</v>
      </c>
      <c r="BC47" s="4" t="e">
        <f t="shared" si="15"/>
        <v>#DIV/0!</v>
      </c>
      <c r="BD47" s="4">
        <f t="shared" si="16"/>
        <v>0</v>
      </c>
      <c r="BE47" s="12" t="e">
        <f t="shared" si="3"/>
        <v>#DIV/0!</v>
      </c>
      <c r="BF47" s="4" t="e">
        <f t="shared" si="17"/>
        <v>#DIV/0!</v>
      </c>
      <c r="BG47" s="4" t="e">
        <f t="shared" si="18"/>
        <v>#DIV/0!</v>
      </c>
      <c r="BH47" s="4" t="e">
        <f t="shared" si="19"/>
        <v>#DIV/0!</v>
      </c>
      <c r="BI47" s="4">
        <f t="shared" si="20"/>
        <v>0</v>
      </c>
      <c r="BJ47" s="12" t="e">
        <f t="shared" si="4"/>
        <v>#DIV/0!</v>
      </c>
      <c r="BK47" s="12" t="e">
        <f t="shared" si="5"/>
        <v>#DIV/0!</v>
      </c>
      <c r="BL47" s="12" t="e">
        <f>(BE47+BJ47)/2</f>
        <v>#DIV/0!</v>
      </c>
      <c r="BM47" s="10" t="e">
        <f t="shared" si="21"/>
        <v>#DIV/0!</v>
      </c>
      <c r="BN47" s="176" t="e">
        <f t="shared" si="31"/>
        <v>#DIV/0!</v>
      </c>
      <c r="BO47" s="12" t="e">
        <f t="shared" si="6"/>
        <v>#DIV/0!</v>
      </c>
      <c r="BP47" s="11" t="e">
        <f t="shared" si="25"/>
        <v>#DIV/0!</v>
      </c>
      <c r="BQ47" s="6"/>
      <c r="BR47" s="6"/>
    </row>
    <row r="48" spans="1:70" ht="20.25" customHeight="1" thickBot="1">
      <c r="A48" s="333"/>
      <c r="B48" s="324"/>
      <c r="C48" s="324"/>
      <c r="D48" s="323"/>
      <c r="E48" s="23">
        <v>2</v>
      </c>
      <c r="F48" s="17"/>
      <c r="G48" s="17"/>
      <c r="H48" s="17"/>
      <c r="I48" s="17"/>
      <c r="J48" s="17"/>
      <c r="K48" s="8" t="e">
        <f t="shared" si="7"/>
        <v>#DIV/0!</v>
      </c>
      <c r="L48" s="17"/>
      <c r="M48" s="17"/>
      <c r="N48" s="17"/>
      <c r="O48" s="17"/>
      <c r="P48" s="17"/>
      <c r="Q48" s="9" t="e">
        <f t="shared" si="23"/>
        <v>#DIV/0!</v>
      </c>
      <c r="R48" s="17"/>
      <c r="S48" s="17"/>
      <c r="T48" s="17"/>
      <c r="U48" s="17"/>
      <c r="V48" s="17"/>
      <c r="W48" s="9" t="e">
        <f t="shared" si="8"/>
        <v>#DIV/0!</v>
      </c>
      <c r="X48" s="233"/>
      <c r="Y48" s="234"/>
      <c r="Z48" s="9" t="str">
        <f t="shared" si="9"/>
        <v>0</v>
      </c>
      <c r="AA48" s="7" t="e">
        <f t="shared" si="0"/>
        <v>#DIV/0!</v>
      </c>
      <c r="AB48" s="365"/>
      <c r="AC48" s="17"/>
      <c r="AD48" s="17"/>
      <c r="AE48" s="17"/>
      <c r="AF48" s="17"/>
      <c r="AG48" s="17"/>
      <c r="AH48" s="9" t="e">
        <f t="shared" si="10"/>
        <v>#DIV/0!</v>
      </c>
      <c r="AI48" s="17"/>
      <c r="AJ48" s="17"/>
      <c r="AK48" s="17"/>
      <c r="AL48" s="17"/>
      <c r="AM48" s="17"/>
      <c r="AN48" s="9" t="e">
        <f t="shared" si="11"/>
        <v>#DIV/0!</v>
      </c>
      <c r="AO48" s="17"/>
      <c r="AP48" s="17"/>
      <c r="AQ48" s="17"/>
      <c r="AR48" s="17"/>
      <c r="AS48" s="17"/>
      <c r="AT48" s="9" t="e">
        <f t="shared" si="12"/>
        <v>#DIV/0!</v>
      </c>
      <c r="AU48" s="208"/>
      <c r="AV48" s="209"/>
      <c r="AW48" s="9" t="str">
        <f t="shared" si="13"/>
        <v>0</v>
      </c>
      <c r="AX48" s="7" t="e">
        <f t="shared" si="1"/>
        <v>#DIV/0!</v>
      </c>
      <c r="AY48" s="18" t="e">
        <f t="shared" si="1"/>
        <v>#DIV/0!</v>
      </c>
      <c r="AZ48" s="232"/>
      <c r="BA48" s="4" t="e">
        <f t="shared" si="2"/>
        <v>#DIV/0!</v>
      </c>
      <c r="BB48" s="4" t="e">
        <f t="shared" si="14"/>
        <v>#DIV/0!</v>
      </c>
      <c r="BC48" s="4" t="e">
        <f t="shared" si="15"/>
        <v>#DIV/0!</v>
      </c>
      <c r="BD48" s="4">
        <f t="shared" si="16"/>
        <v>0</v>
      </c>
      <c r="BE48" s="12" t="e">
        <f t="shared" si="3"/>
        <v>#DIV/0!</v>
      </c>
      <c r="BF48" s="4" t="e">
        <f t="shared" si="17"/>
        <v>#DIV/0!</v>
      </c>
      <c r="BG48" s="4" t="e">
        <f t="shared" si="18"/>
        <v>#DIV/0!</v>
      </c>
      <c r="BH48" s="4" t="e">
        <f t="shared" si="19"/>
        <v>#DIV/0!</v>
      </c>
      <c r="BI48" s="4">
        <f t="shared" si="20"/>
        <v>0</v>
      </c>
      <c r="BJ48" s="12" t="e">
        <f t="shared" si="4"/>
        <v>#DIV/0!</v>
      </c>
      <c r="BK48" s="12" t="e">
        <f t="shared" si="5"/>
        <v>#DIV/0!</v>
      </c>
      <c r="BL48" s="12"/>
      <c r="BM48" s="10"/>
      <c r="BN48" s="176"/>
      <c r="BO48" s="12" t="e">
        <f t="shared" si="6"/>
        <v>#DIV/0!</v>
      </c>
      <c r="BP48" s="11"/>
      <c r="BQ48" s="6"/>
      <c r="BR48" s="6"/>
    </row>
    <row r="49" spans="1:70" ht="20.25" customHeight="1">
      <c r="A49" s="332">
        <v>19</v>
      </c>
      <c r="B49" s="324"/>
      <c r="C49" s="324"/>
      <c r="D49" s="323"/>
      <c r="E49" s="22">
        <v>1</v>
      </c>
      <c r="F49" s="17"/>
      <c r="G49" s="17"/>
      <c r="H49" s="17"/>
      <c r="I49" s="17"/>
      <c r="J49" s="17"/>
      <c r="K49" s="8" t="e">
        <f t="shared" si="7"/>
        <v>#DIV/0!</v>
      </c>
      <c r="L49" s="17"/>
      <c r="M49" s="17"/>
      <c r="N49" s="17"/>
      <c r="O49" s="17"/>
      <c r="P49" s="17"/>
      <c r="Q49" s="9" t="e">
        <f t="shared" si="23"/>
        <v>#DIV/0!</v>
      </c>
      <c r="R49" s="17"/>
      <c r="S49" s="17"/>
      <c r="T49" s="17"/>
      <c r="U49" s="17"/>
      <c r="V49" s="17"/>
      <c r="W49" s="9" t="e">
        <f t="shared" si="8"/>
        <v>#DIV/0!</v>
      </c>
      <c r="X49" s="233"/>
      <c r="Y49" s="234"/>
      <c r="Z49" s="9" t="str">
        <f t="shared" si="9"/>
        <v>0</v>
      </c>
      <c r="AA49" s="7" t="e">
        <f t="shared" si="0"/>
        <v>#DIV/0!</v>
      </c>
      <c r="AB49" s="365"/>
      <c r="AC49" s="17"/>
      <c r="AD49" s="17"/>
      <c r="AE49" s="17"/>
      <c r="AF49" s="17"/>
      <c r="AG49" s="17"/>
      <c r="AH49" s="9" t="e">
        <f t="shared" si="10"/>
        <v>#DIV/0!</v>
      </c>
      <c r="AI49" s="17"/>
      <c r="AJ49" s="17"/>
      <c r="AK49" s="17"/>
      <c r="AL49" s="17"/>
      <c r="AM49" s="17"/>
      <c r="AN49" s="9" t="e">
        <f t="shared" si="11"/>
        <v>#DIV/0!</v>
      </c>
      <c r="AO49" s="17"/>
      <c r="AP49" s="17"/>
      <c r="AQ49" s="17"/>
      <c r="AR49" s="17"/>
      <c r="AS49" s="17"/>
      <c r="AT49" s="9" t="e">
        <f t="shared" si="12"/>
        <v>#DIV/0!</v>
      </c>
      <c r="AU49" s="208"/>
      <c r="AV49" s="209"/>
      <c r="AW49" s="9" t="str">
        <f t="shared" si="13"/>
        <v>0</v>
      </c>
      <c r="AX49" s="7" t="e">
        <f t="shared" si="1"/>
        <v>#DIV/0!</v>
      </c>
      <c r="AY49" s="18" t="e">
        <f t="shared" si="1"/>
        <v>#DIV/0!</v>
      </c>
      <c r="AZ49" s="231" t="e">
        <f t="shared" ref="AZ49" si="49">IF(BP49&gt;=4.5, " 5 ", IF(BP49&gt;=3.5," 4 ",IF(BP49&gt;=2.5," 3  ",IF(BP49&gt;=1.5," 2 ",IF(BP49&gt;=1,"1 ",IF(BP49&gt;=0,"0"))))))</f>
        <v>#DIV/0!</v>
      </c>
      <c r="BA49" s="4" t="e">
        <f t="shared" si="2"/>
        <v>#DIV/0!</v>
      </c>
      <c r="BB49" s="4" t="e">
        <f t="shared" si="14"/>
        <v>#DIV/0!</v>
      </c>
      <c r="BC49" s="4" t="e">
        <f t="shared" si="15"/>
        <v>#DIV/0!</v>
      </c>
      <c r="BD49" s="4">
        <f t="shared" si="16"/>
        <v>0</v>
      </c>
      <c r="BE49" s="12" t="e">
        <f t="shared" si="3"/>
        <v>#DIV/0!</v>
      </c>
      <c r="BF49" s="4" t="e">
        <f t="shared" si="17"/>
        <v>#DIV/0!</v>
      </c>
      <c r="BG49" s="4" t="e">
        <f t="shared" si="18"/>
        <v>#DIV/0!</v>
      </c>
      <c r="BH49" s="4" t="e">
        <f t="shared" si="19"/>
        <v>#DIV/0!</v>
      </c>
      <c r="BI49" s="4">
        <f t="shared" si="20"/>
        <v>0</v>
      </c>
      <c r="BJ49" s="12" t="e">
        <f t="shared" si="4"/>
        <v>#DIV/0!</v>
      </c>
      <c r="BK49" s="12" t="e">
        <f t="shared" si="5"/>
        <v>#DIV/0!</v>
      </c>
      <c r="BL49" s="12" t="e">
        <f>(BE49+BJ49)/2</f>
        <v>#DIV/0!</v>
      </c>
      <c r="BM49" s="10" t="e">
        <f t="shared" si="21"/>
        <v>#DIV/0!</v>
      </c>
      <c r="BN49" s="176" t="e">
        <f t="shared" si="33"/>
        <v>#DIV/0!</v>
      </c>
      <c r="BO49" s="12" t="e">
        <f t="shared" si="6"/>
        <v>#DIV/0!</v>
      </c>
      <c r="BP49" s="11" t="e">
        <f t="shared" si="25"/>
        <v>#DIV/0!</v>
      </c>
      <c r="BQ49" s="6"/>
      <c r="BR49" s="6"/>
    </row>
    <row r="50" spans="1:70" ht="20.25" customHeight="1" thickBot="1">
      <c r="A50" s="333"/>
      <c r="B50" s="324"/>
      <c r="C50" s="324"/>
      <c r="D50" s="323"/>
      <c r="E50" s="23">
        <v>2</v>
      </c>
      <c r="F50" s="17"/>
      <c r="G50" s="17"/>
      <c r="H50" s="17"/>
      <c r="I50" s="17"/>
      <c r="J50" s="17"/>
      <c r="K50" s="8" t="e">
        <f t="shared" si="7"/>
        <v>#DIV/0!</v>
      </c>
      <c r="L50" s="17"/>
      <c r="M50" s="17"/>
      <c r="N50" s="17"/>
      <c r="O50" s="17"/>
      <c r="P50" s="17"/>
      <c r="Q50" s="9" t="e">
        <f t="shared" si="23"/>
        <v>#DIV/0!</v>
      </c>
      <c r="R50" s="17"/>
      <c r="S50" s="17"/>
      <c r="T50" s="17"/>
      <c r="U50" s="17"/>
      <c r="V50" s="17"/>
      <c r="W50" s="9" t="e">
        <f t="shared" si="8"/>
        <v>#DIV/0!</v>
      </c>
      <c r="X50" s="233"/>
      <c r="Y50" s="234"/>
      <c r="Z50" s="9" t="str">
        <f t="shared" si="9"/>
        <v>0</v>
      </c>
      <c r="AA50" s="7" t="e">
        <f t="shared" si="0"/>
        <v>#DIV/0!</v>
      </c>
      <c r="AB50" s="365"/>
      <c r="AC50" s="17"/>
      <c r="AD50" s="17"/>
      <c r="AE50" s="17"/>
      <c r="AF50" s="17"/>
      <c r="AG50" s="17"/>
      <c r="AH50" s="9" t="e">
        <f t="shared" si="10"/>
        <v>#DIV/0!</v>
      </c>
      <c r="AI50" s="17"/>
      <c r="AJ50" s="17"/>
      <c r="AK50" s="17"/>
      <c r="AL50" s="17"/>
      <c r="AM50" s="17"/>
      <c r="AN50" s="9" t="e">
        <f t="shared" si="11"/>
        <v>#DIV/0!</v>
      </c>
      <c r="AO50" s="17"/>
      <c r="AP50" s="17"/>
      <c r="AQ50" s="17"/>
      <c r="AR50" s="17"/>
      <c r="AS50" s="17"/>
      <c r="AT50" s="9" t="e">
        <f t="shared" si="12"/>
        <v>#DIV/0!</v>
      </c>
      <c r="AU50" s="208"/>
      <c r="AV50" s="209"/>
      <c r="AW50" s="9" t="str">
        <f t="shared" si="13"/>
        <v>0</v>
      </c>
      <c r="AX50" s="7" t="e">
        <f t="shared" si="1"/>
        <v>#DIV/0!</v>
      </c>
      <c r="AY50" s="18" t="e">
        <f t="shared" si="1"/>
        <v>#DIV/0!</v>
      </c>
      <c r="AZ50" s="232"/>
      <c r="BA50" s="4" t="e">
        <f t="shared" si="2"/>
        <v>#DIV/0!</v>
      </c>
      <c r="BB50" s="4" t="e">
        <f t="shared" si="14"/>
        <v>#DIV/0!</v>
      </c>
      <c r="BC50" s="4" t="e">
        <f t="shared" si="15"/>
        <v>#DIV/0!</v>
      </c>
      <c r="BD50" s="4">
        <f t="shared" si="16"/>
        <v>0</v>
      </c>
      <c r="BE50" s="12" t="e">
        <f t="shared" si="3"/>
        <v>#DIV/0!</v>
      </c>
      <c r="BF50" s="4" t="e">
        <f t="shared" si="17"/>
        <v>#DIV/0!</v>
      </c>
      <c r="BG50" s="4" t="e">
        <f t="shared" si="18"/>
        <v>#DIV/0!</v>
      </c>
      <c r="BH50" s="4" t="e">
        <f t="shared" si="19"/>
        <v>#DIV/0!</v>
      </c>
      <c r="BI50" s="4">
        <f t="shared" si="20"/>
        <v>0</v>
      </c>
      <c r="BJ50" s="12" t="e">
        <f t="shared" si="4"/>
        <v>#DIV/0!</v>
      </c>
      <c r="BK50" s="12" t="e">
        <f t="shared" si="5"/>
        <v>#DIV/0!</v>
      </c>
      <c r="BL50" s="12"/>
      <c r="BM50" s="10"/>
      <c r="BN50" s="176"/>
      <c r="BO50" s="12" t="e">
        <f t="shared" si="6"/>
        <v>#DIV/0!</v>
      </c>
      <c r="BP50" s="11"/>
      <c r="BQ50" s="6"/>
      <c r="BR50" s="6"/>
    </row>
    <row r="51" spans="1:70" ht="20.25" customHeight="1">
      <c r="A51" s="332">
        <v>20</v>
      </c>
      <c r="B51" s="324"/>
      <c r="C51" s="324"/>
      <c r="D51" s="323"/>
      <c r="E51" s="22">
        <v>1</v>
      </c>
      <c r="F51" s="17"/>
      <c r="G51" s="17"/>
      <c r="H51" s="17"/>
      <c r="I51" s="17"/>
      <c r="J51" s="17"/>
      <c r="K51" s="8" t="e">
        <f t="shared" si="7"/>
        <v>#DIV/0!</v>
      </c>
      <c r="L51" s="17"/>
      <c r="M51" s="17"/>
      <c r="N51" s="17"/>
      <c r="O51" s="17"/>
      <c r="P51" s="17"/>
      <c r="Q51" s="9" t="e">
        <f t="shared" si="23"/>
        <v>#DIV/0!</v>
      </c>
      <c r="R51" s="17"/>
      <c r="S51" s="17"/>
      <c r="T51" s="17"/>
      <c r="U51" s="17"/>
      <c r="V51" s="17"/>
      <c r="W51" s="9" t="e">
        <f t="shared" si="8"/>
        <v>#DIV/0!</v>
      </c>
      <c r="X51" s="233"/>
      <c r="Y51" s="234"/>
      <c r="Z51" s="9" t="str">
        <f t="shared" si="9"/>
        <v>0</v>
      </c>
      <c r="AA51" s="7" t="e">
        <f t="shared" si="0"/>
        <v>#DIV/0!</v>
      </c>
      <c r="AB51" s="365"/>
      <c r="AC51" s="17"/>
      <c r="AD51" s="17"/>
      <c r="AE51" s="17"/>
      <c r="AF51" s="17"/>
      <c r="AG51" s="17"/>
      <c r="AH51" s="9" t="e">
        <f t="shared" si="10"/>
        <v>#DIV/0!</v>
      </c>
      <c r="AI51" s="17"/>
      <c r="AJ51" s="17"/>
      <c r="AK51" s="17"/>
      <c r="AL51" s="17"/>
      <c r="AM51" s="17"/>
      <c r="AN51" s="9" t="e">
        <f t="shared" si="11"/>
        <v>#DIV/0!</v>
      </c>
      <c r="AO51" s="17"/>
      <c r="AP51" s="17"/>
      <c r="AQ51" s="17"/>
      <c r="AR51" s="17"/>
      <c r="AS51" s="17"/>
      <c r="AT51" s="9" t="e">
        <f t="shared" si="12"/>
        <v>#DIV/0!</v>
      </c>
      <c r="AU51" s="208"/>
      <c r="AV51" s="209"/>
      <c r="AW51" s="9" t="str">
        <f t="shared" si="13"/>
        <v>0</v>
      </c>
      <c r="AX51" s="7" t="e">
        <f t="shared" si="1"/>
        <v>#DIV/0!</v>
      </c>
      <c r="AY51" s="18" t="e">
        <f t="shared" si="1"/>
        <v>#DIV/0!</v>
      </c>
      <c r="AZ51" s="231" t="e">
        <f t="shared" ref="AZ51" si="50">IF(BP51&gt;=4.5, " 5 ", IF(BP51&gt;=3.5," 4 ",IF(BP51&gt;=2.5," 3  ",IF(BP51&gt;=1.5," 2 ",IF(BP51&gt;=1,"1 ",IF(BP51&gt;=0,"0"))))))</f>
        <v>#DIV/0!</v>
      </c>
      <c r="BA51" s="4" t="e">
        <f t="shared" si="2"/>
        <v>#DIV/0!</v>
      </c>
      <c r="BB51" s="4" t="e">
        <f t="shared" si="14"/>
        <v>#DIV/0!</v>
      </c>
      <c r="BC51" s="4" t="e">
        <f t="shared" si="15"/>
        <v>#DIV/0!</v>
      </c>
      <c r="BD51" s="4">
        <f t="shared" si="16"/>
        <v>0</v>
      </c>
      <c r="BE51" s="12" t="e">
        <f t="shared" si="3"/>
        <v>#DIV/0!</v>
      </c>
      <c r="BF51" s="4" t="e">
        <f t="shared" si="17"/>
        <v>#DIV/0!</v>
      </c>
      <c r="BG51" s="4" t="e">
        <f t="shared" si="18"/>
        <v>#DIV/0!</v>
      </c>
      <c r="BH51" s="4" t="e">
        <f t="shared" si="19"/>
        <v>#DIV/0!</v>
      </c>
      <c r="BI51" s="4">
        <f t="shared" si="20"/>
        <v>0</v>
      </c>
      <c r="BJ51" s="12" t="e">
        <f t="shared" si="4"/>
        <v>#DIV/0!</v>
      </c>
      <c r="BK51" s="12" t="e">
        <f t="shared" si="5"/>
        <v>#DIV/0!</v>
      </c>
      <c r="BL51" s="12" t="e">
        <f>(BE51+BJ51)/2</f>
        <v>#DIV/0!</v>
      </c>
      <c r="BM51" s="10" t="e">
        <f t="shared" si="21"/>
        <v>#DIV/0!</v>
      </c>
      <c r="BN51" s="176" t="e">
        <f t="shared" si="35"/>
        <v>#DIV/0!</v>
      </c>
      <c r="BO51" s="12" t="e">
        <f t="shared" si="6"/>
        <v>#DIV/0!</v>
      </c>
      <c r="BP51" s="11" t="e">
        <f t="shared" si="25"/>
        <v>#DIV/0!</v>
      </c>
      <c r="BQ51" s="6"/>
      <c r="BR51" s="6"/>
    </row>
    <row r="52" spans="1:70" ht="20.25" customHeight="1" thickBot="1">
      <c r="A52" s="333"/>
      <c r="B52" s="324"/>
      <c r="C52" s="324"/>
      <c r="D52" s="323"/>
      <c r="E52" s="23">
        <v>2</v>
      </c>
      <c r="F52" s="17"/>
      <c r="G52" s="17"/>
      <c r="H52" s="17"/>
      <c r="I52" s="17"/>
      <c r="J52" s="17"/>
      <c r="K52" s="8" t="e">
        <f t="shared" si="7"/>
        <v>#DIV/0!</v>
      </c>
      <c r="L52" s="17"/>
      <c r="M52" s="17"/>
      <c r="N52" s="17"/>
      <c r="O52" s="17"/>
      <c r="P52" s="17"/>
      <c r="Q52" s="9" t="e">
        <f t="shared" si="23"/>
        <v>#DIV/0!</v>
      </c>
      <c r="R52" s="17"/>
      <c r="S52" s="17"/>
      <c r="T52" s="17"/>
      <c r="U52" s="17"/>
      <c r="V52" s="17"/>
      <c r="W52" s="9" t="e">
        <f t="shared" si="8"/>
        <v>#DIV/0!</v>
      </c>
      <c r="X52" s="233"/>
      <c r="Y52" s="234"/>
      <c r="Z52" s="9" t="str">
        <f t="shared" si="9"/>
        <v>0</v>
      </c>
      <c r="AA52" s="7" t="e">
        <f t="shared" si="0"/>
        <v>#DIV/0!</v>
      </c>
      <c r="AB52" s="365"/>
      <c r="AC52" s="17"/>
      <c r="AD52" s="17"/>
      <c r="AE52" s="17"/>
      <c r="AF52" s="17"/>
      <c r="AG52" s="17"/>
      <c r="AH52" s="9" t="e">
        <f t="shared" si="10"/>
        <v>#DIV/0!</v>
      </c>
      <c r="AI52" s="17"/>
      <c r="AJ52" s="17"/>
      <c r="AK52" s="17"/>
      <c r="AL52" s="17"/>
      <c r="AM52" s="17"/>
      <c r="AN52" s="9" t="e">
        <f t="shared" si="11"/>
        <v>#DIV/0!</v>
      </c>
      <c r="AO52" s="17"/>
      <c r="AP52" s="17"/>
      <c r="AQ52" s="17"/>
      <c r="AR52" s="17"/>
      <c r="AS52" s="17"/>
      <c r="AT52" s="9" t="e">
        <f t="shared" si="12"/>
        <v>#DIV/0!</v>
      </c>
      <c r="AU52" s="208"/>
      <c r="AV52" s="209"/>
      <c r="AW52" s="9" t="str">
        <f t="shared" si="13"/>
        <v>0</v>
      </c>
      <c r="AX52" s="7" t="e">
        <f t="shared" si="1"/>
        <v>#DIV/0!</v>
      </c>
      <c r="AY52" s="18" t="e">
        <f t="shared" si="1"/>
        <v>#DIV/0!</v>
      </c>
      <c r="AZ52" s="232"/>
      <c r="BA52" s="4" t="e">
        <f t="shared" si="2"/>
        <v>#DIV/0!</v>
      </c>
      <c r="BB52" s="4" t="e">
        <f t="shared" si="14"/>
        <v>#DIV/0!</v>
      </c>
      <c r="BC52" s="4" t="e">
        <f t="shared" si="15"/>
        <v>#DIV/0!</v>
      </c>
      <c r="BD52" s="4">
        <f t="shared" si="16"/>
        <v>0</v>
      </c>
      <c r="BE52" s="12" t="e">
        <f t="shared" si="3"/>
        <v>#DIV/0!</v>
      </c>
      <c r="BF52" s="4" t="e">
        <f t="shared" si="17"/>
        <v>#DIV/0!</v>
      </c>
      <c r="BG52" s="4" t="e">
        <f t="shared" si="18"/>
        <v>#DIV/0!</v>
      </c>
      <c r="BH52" s="4" t="e">
        <f t="shared" si="19"/>
        <v>#DIV/0!</v>
      </c>
      <c r="BI52" s="4">
        <f t="shared" si="20"/>
        <v>0</v>
      </c>
      <c r="BJ52" s="12" t="e">
        <f t="shared" si="4"/>
        <v>#DIV/0!</v>
      </c>
      <c r="BK52" s="12" t="e">
        <f t="shared" si="5"/>
        <v>#DIV/0!</v>
      </c>
      <c r="BL52" s="12"/>
      <c r="BM52" s="10"/>
      <c r="BN52" s="176"/>
      <c r="BO52" s="12" t="e">
        <f t="shared" si="6"/>
        <v>#DIV/0!</v>
      </c>
      <c r="BP52" s="11"/>
      <c r="BQ52" s="6"/>
      <c r="BR52" s="6"/>
    </row>
    <row r="53" spans="1:70" ht="20.25" customHeight="1">
      <c r="A53" s="332">
        <v>21</v>
      </c>
      <c r="B53" s="353"/>
      <c r="C53" s="353"/>
      <c r="D53" s="355"/>
      <c r="E53" s="22">
        <v>1</v>
      </c>
      <c r="F53" s="17"/>
      <c r="G53" s="17"/>
      <c r="H53" s="17"/>
      <c r="I53" s="17"/>
      <c r="J53" s="17"/>
      <c r="K53" s="8" t="e">
        <f t="shared" si="7"/>
        <v>#DIV/0!</v>
      </c>
      <c r="L53" s="17"/>
      <c r="M53" s="17"/>
      <c r="N53" s="17"/>
      <c r="O53" s="17"/>
      <c r="P53" s="17"/>
      <c r="Q53" s="9" t="e">
        <f t="shared" si="23"/>
        <v>#DIV/0!</v>
      </c>
      <c r="R53" s="17"/>
      <c r="S53" s="17"/>
      <c r="T53" s="17"/>
      <c r="U53" s="17"/>
      <c r="V53" s="17"/>
      <c r="W53" s="9" t="e">
        <f t="shared" si="8"/>
        <v>#DIV/0!</v>
      </c>
      <c r="X53" s="233"/>
      <c r="Y53" s="234"/>
      <c r="Z53" s="9" t="str">
        <f t="shared" si="9"/>
        <v>0</v>
      </c>
      <c r="AA53" s="7" t="e">
        <f t="shared" si="0"/>
        <v>#DIV/0!</v>
      </c>
      <c r="AB53" s="365"/>
      <c r="AC53" s="17"/>
      <c r="AD53" s="17"/>
      <c r="AE53" s="17"/>
      <c r="AF53" s="17"/>
      <c r="AG53" s="17"/>
      <c r="AH53" s="9" t="e">
        <f t="shared" si="10"/>
        <v>#DIV/0!</v>
      </c>
      <c r="AI53" s="17"/>
      <c r="AJ53" s="17"/>
      <c r="AK53" s="17"/>
      <c r="AL53" s="17"/>
      <c r="AM53" s="17"/>
      <c r="AN53" s="9" t="e">
        <f t="shared" si="11"/>
        <v>#DIV/0!</v>
      </c>
      <c r="AO53" s="17"/>
      <c r="AP53" s="17"/>
      <c r="AQ53" s="17"/>
      <c r="AR53" s="17"/>
      <c r="AS53" s="17"/>
      <c r="AT53" s="9" t="e">
        <f t="shared" si="12"/>
        <v>#DIV/0!</v>
      </c>
      <c r="AU53" s="208"/>
      <c r="AV53" s="209"/>
      <c r="AW53" s="9" t="str">
        <f t="shared" si="13"/>
        <v>0</v>
      </c>
      <c r="AX53" s="7" t="e">
        <f t="shared" si="1"/>
        <v>#DIV/0!</v>
      </c>
      <c r="AY53" s="18" t="e">
        <f t="shared" si="1"/>
        <v>#DIV/0!</v>
      </c>
      <c r="AZ53" s="231" t="e">
        <f t="shared" ref="AZ53" si="51">IF(BP53&gt;=4.5, " 5 ", IF(BP53&gt;=3.5," 4 ",IF(BP53&gt;=2.5," 3  ",IF(BP53&gt;=1.5," 2 ",IF(BP53&gt;=1,"1 ",IF(BP53&gt;=0,"0"))))))</f>
        <v>#DIV/0!</v>
      </c>
      <c r="BA53" s="4" t="e">
        <f t="shared" si="2"/>
        <v>#DIV/0!</v>
      </c>
      <c r="BB53" s="4" t="e">
        <f t="shared" si="14"/>
        <v>#DIV/0!</v>
      </c>
      <c r="BC53" s="4" t="e">
        <f t="shared" si="15"/>
        <v>#DIV/0!</v>
      </c>
      <c r="BD53" s="4">
        <f t="shared" si="16"/>
        <v>0</v>
      </c>
      <c r="BE53" s="12" t="e">
        <f t="shared" si="3"/>
        <v>#DIV/0!</v>
      </c>
      <c r="BF53" s="4" t="e">
        <f t="shared" si="17"/>
        <v>#DIV/0!</v>
      </c>
      <c r="BG53" s="4" t="e">
        <f t="shared" si="18"/>
        <v>#DIV/0!</v>
      </c>
      <c r="BH53" s="4" t="e">
        <f t="shared" si="19"/>
        <v>#DIV/0!</v>
      </c>
      <c r="BI53" s="4">
        <f t="shared" si="20"/>
        <v>0</v>
      </c>
      <c r="BJ53" s="12" t="e">
        <f t="shared" si="4"/>
        <v>#DIV/0!</v>
      </c>
      <c r="BK53" s="12" t="e">
        <f t="shared" si="5"/>
        <v>#DIV/0!</v>
      </c>
      <c r="BL53" s="12" t="e">
        <f>(BE53+BJ53)/2</f>
        <v>#DIV/0!</v>
      </c>
      <c r="BM53" s="10" t="e">
        <f t="shared" si="21"/>
        <v>#DIV/0!</v>
      </c>
      <c r="BN53" s="176" t="e">
        <f t="shared" ref="BN53" si="52">ROUND(BO54,)</f>
        <v>#DIV/0!</v>
      </c>
      <c r="BO53" s="12" t="e">
        <f t="shared" si="6"/>
        <v>#DIV/0!</v>
      </c>
      <c r="BP53" s="11" t="e">
        <f t="shared" si="25"/>
        <v>#DIV/0!</v>
      </c>
      <c r="BQ53" s="6"/>
      <c r="BR53" s="6"/>
    </row>
    <row r="54" spans="1:70" ht="20.25" customHeight="1" thickBot="1">
      <c r="A54" s="333"/>
      <c r="B54" s="353"/>
      <c r="C54" s="353"/>
      <c r="D54" s="355"/>
      <c r="E54" s="23">
        <v>2</v>
      </c>
      <c r="F54" s="17"/>
      <c r="G54" s="17"/>
      <c r="H54" s="17"/>
      <c r="I54" s="17"/>
      <c r="J54" s="17"/>
      <c r="K54" s="8" t="e">
        <f t="shared" si="7"/>
        <v>#DIV/0!</v>
      </c>
      <c r="L54" s="17"/>
      <c r="M54" s="17"/>
      <c r="N54" s="17"/>
      <c r="O54" s="17"/>
      <c r="P54" s="17"/>
      <c r="Q54" s="9" t="e">
        <f t="shared" si="23"/>
        <v>#DIV/0!</v>
      </c>
      <c r="R54" s="17"/>
      <c r="S54" s="17"/>
      <c r="T54" s="17"/>
      <c r="U54" s="17"/>
      <c r="V54" s="17"/>
      <c r="W54" s="9" t="e">
        <f t="shared" si="8"/>
        <v>#DIV/0!</v>
      </c>
      <c r="X54" s="233"/>
      <c r="Y54" s="234"/>
      <c r="Z54" s="9" t="str">
        <f t="shared" si="9"/>
        <v>0</v>
      </c>
      <c r="AA54" s="7" t="e">
        <f t="shared" si="0"/>
        <v>#DIV/0!</v>
      </c>
      <c r="AB54" s="365"/>
      <c r="AC54" s="17"/>
      <c r="AD54" s="17"/>
      <c r="AE54" s="17"/>
      <c r="AF54" s="17"/>
      <c r="AG54" s="17"/>
      <c r="AH54" s="9" t="e">
        <f t="shared" si="10"/>
        <v>#DIV/0!</v>
      </c>
      <c r="AI54" s="17"/>
      <c r="AJ54" s="17"/>
      <c r="AK54" s="17"/>
      <c r="AL54" s="17"/>
      <c r="AM54" s="17"/>
      <c r="AN54" s="9" t="e">
        <f t="shared" si="11"/>
        <v>#DIV/0!</v>
      </c>
      <c r="AO54" s="17"/>
      <c r="AP54" s="17"/>
      <c r="AQ54" s="17"/>
      <c r="AR54" s="17"/>
      <c r="AS54" s="17"/>
      <c r="AT54" s="9" t="e">
        <f t="shared" si="12"/>
        <v>#DIV/0!</v>
      </c>
      <c r="AU54" s="208"/>
      <c r="AV54" s="209"/>
      <c r="AW54" s="9" t="str">
        <f t="shared" si="13"/>
        <v>0</v>
      </c>
      <c r="AX54" s="7" t="e">
        <f t="shared" si="1"/>
        <v>#DIV/0!</v>
      </c>
      <c r="AY54" s="18" t="e">
        <f t="shared" si="1"/>
        <v>#DIV/0!</v>
      </c>
      <c r="AZ54" s="232"/>
      <c r="BA54" s="4" t="e">
        <f t="shared" si="2"/>
        <v>#DIV/0!</v>
      </c>
      <c r="BB54" s="4" t="e">
        <f t="shared" si="14"/>
        <v>#DIV/0!</v>
      </c>
      <c r="BC54" s="4" t="e">
        <f t="shared" si="15"/>
        <v>#DIV/0!</v>
      </c>
      <c r="BD54" s="4">
        <f t="shared" si="16"/>
        <v>0</v>
      </c>
      <c r="BE54" s="12" t="e">
        <f t="shared" si="3"/>
        <v>#DIV/0!</v>
      </c>
      <c r="BF54" s="4" t="e">
        <f t="shared" si="17"/>
        <v>#DIV/0!</v>
      </c>
      <c r="BG54" s="4" t="e">
        <f t="shared" si="18"/>
        <v>#DIV/0!</v>
      </c>
      <c r="BH54" s="4" t="e">
        <f t="shared" si="19"/>
        <v>#DIV/0!</v>
      </c>
      <c r="BI54" s="4">
        <f t="shared" si="20"/>
        <v>0</v>
      </c>
      <c r="BJ54" s="12" t="e">
        <f t="shared" si="4"/>
        <v>#DIV/0!</v>
      </c>
      <c r="BK54" s="12" t="e">
        <f t="shared" si="5"/>
        <v>#DIV/0!</v>
      </c>
      <c r="BL54" s="12"/>
      <c r="BM54" s="10"/>
      <c r="BN54" s="176"/>
      <c r="BO54" s="12" t="e">
        <f t="shared" si="6"/>
        <v>#DIV/0!</v>
      </c>
      <c r="BP54" s="11"/>
      <c r="BQ54" s="6"/>
      <c r="BR54" s="6"/>
    </row>
    <row r="55" spans="1:70" ht="20.25" customHeight="1">
      <c r="A55" s="326">
        <v>22</v>
      </c>
      <c r="B55" s="353"/>
      <c r="C55" s="353"/>
      <c r="D55" s="355"/>
      <c r="E55" s="24">
        <v>1</v>
      </c>
      <c r="F55" s="17"/>
      <c r="G55" s="17"/>
      <c r="H55" s="17"/>
      <c r="I55" s="17"/>
      <c r="J55" s="17"/>
      <c r="K55" s="8" t="e">
        <f t="shared" si="7"/>
        <v>#DIV/0!</v>
      </c>
      <c r="L55" s="17"/>
      <c r="M55" s="17"/>
      <c r="N55" s="17"/>
      <c r="O55" s="17"/>
      <c r="P55" s="17"/>
      <c r="Q55" s="9" t="e">
        <f t="shared" si="23"/>
        <v>#DIV/0!</v>
      </c>
      <c r="R55" s="17"/>
      <c r="S55" s="17"/>
      <c r="T55" s="17"/>
      <c r="U55" s="17"/>
      <c r="V55" s="17"/>
      <c r="W55" s="9" t="e">
        <f t="shared" si="8"/>
        <v>#DIV/0!</v>
      </c>
      <c r="X55" s="233"/>
      <c r="Y55" s="234"/>
      <c r="Z55" s="9" t="str">
        <f t="shared" si="9"/>
        <v>0</v>
      </c>
      <c r="AA55" s="7" t="e">
        <f t="shared" si="0"/>
        <v>#DIV/0!</v>
      </c>
      <c r="AB55" s="365"/>
      <c r="AC55" s="17"/>
      <c r="AD55" s="17"/>
      <c r="AE55" s="17"/>
      <c r="AF55" s="17"/>
      <c r="AG55" s="17"/>
      <c r="AH55" s="9" t="e">
        <f t="shared" si="10"/>
        <v>#DIV/0!</v>
      </c>
      <c r="AI55" s="17"/>
      <c r="AJ55" s="17"/>
      <c r="AK55" s="17"/>
      <c r="AL55" s="17"/>
      <c r="AM55" s="17"/>
      <c r="AN55" s="9" t="e">
        <f t="shared" si="11"/>
        <v>#DIV/0!</v>
      </c>
      <c r="AO55" s="17"/>
      <c r="AP55" s="17"/>
      <c r="AQ55" s="17"/>
      <c r="AR55" s="17"/>
      <c r="AS55" s="17"/>
      <c r="AT55" s="9" t="e">
        <f t="shared" si="12"/>
        <v>#DIV/0!</v>
      </c>
      <c r="AU55" s="208"/>
      <c r="AV55" s="209"/>
      <c r="AW55" s="9" t="str">
        <f t="shared" si="13"/>
        <v>0</v>
      </c>
      <c r="AX55" s="7" t="e">
        <f t="shared" si="1"/>
        <v>#DIV/0!</v>
      </c>
      <c r="AY55" s="18" t="e">
        <f t="shared" si="1"/>
        <v>#DIV/0!</v>
      </c>
      <c r="AZ55" s="231" t="e">
        <f t="shared" ref="AZ55" si="53">IF(BP55&gt;=4.5, " 5 ", IF(BP55&gt;=3.5," 4 ",IF(BP55&gt;=2.5," 3  ",IF(BP55&gt;=1.5," 2 ",IF(BP55&gt;=1,"1 ",IF(BP55&gt;=0,"0"))))))</f>
        <v>#DIV/0!</v>
      </c>
      <c r="BA55" s="4" t="e">
        <f t="shared" si="2"/>
        <v>#DIV/0!</v>
      </c>
      <c r="BB55" s="4" t="e">
        <f t="shared" si="14"/>
        <v>#DIV/0!</v>
      </c>
      <c r="BC55" s="4" t="e">
        <f t="shared" si="15"/>
        <v>#DIV/0!</v>
      </c>
      <c r="BD55" s="4">
        <f t="shared" si="16"/>
        <v>0</v>
      </c>
      <c r="BE55" s="12" t="e">
        <f t="shared" si="3"/>
        <v>#DIV/0!</v>
      </c>
      <c r="BF55" s="4" t="e">
        <f t="shared" si="17"/>
        <v>#DIV/0!</v>
      </c>
      <c r="BG55" s="4" t="e">
        <f t="shared" si="18"/>
        <v>#DIV/0!</v>
      </c>
      <c r="BH55" s="4" t="e">
        <f t="shared" si="19"/>
        <v>#DIV/0!</v>
      </c>
      <c r="BI55" s="4">
        <f t="shared" si="20"/>
        <v>0</v>
      </c>
      <c r="BJ55" s="12" t="e">
        <f t="shared" si="4"/>
        <v>#DIV/0!</v>
      </c>
      <c r="BK55" s="12" t="e">
        <f t="shared" si="5"/>
        <v>#DIV/0!</v>
      </c>
      <c r="BL55" s="12" t="e">
        <f>(BE55+BJ55)/2</f>
        <v>#DIV/0!</v>
      </c>
      <c r="BM55" s="10" t="e">
        <f t="shared" si="21"/>
        <v>#DIV/0!</v>
      </c>
      <c r="BN55" s="176" t="e">
        <f t="shared" si="31"/>
        <v>#DIV/0!</v>
      </c>
      <c r="BO55" s="12" t="e">
        <f t="shared" si="6"/>
        <v>#DIV/0!</v>
      </c>
      <c r="BP55" s="11" t="e">
        <f t="shared" si="25"/>
        <v>#DIV/0!</v>
      </c>
      <c r="BQ55" s="6"/>
      <c r="BR55" s="6"/>
    </row>
    <row r="56" spans="1:70" ht="20.25" customHeight="1" thickBot="1">
      <c r="A56" s="327"/>
      <c r="B56" s="353"/>
      <c r="C56" s="353"/>
      <c r="D56" s="355"/>
      <c r="E56" s="25">
        <v>2</v>
      </c>
      <c r="F56" s="17"/>
      <c r="G56" s="17"/>
      <c r="H56" s="17"/>
      <c r="I56" s="17"/>
      <c r="J56" s="17"/>
      <c r="K56" s="8" t="e">
        <f t="shared" si="7"/>
        <v>#DIV/0!</v>
      </c>
      <c r="L56" s="17"/>
      <c r="M56" s="17"/>
      <c r="N56" s="17"/>
      <c r="O56" s="17"/>
      <c r="P56" s="17"/>
      <c r="Q56" s="9" t="e">
        <f t="shared" si="23"/>
        <v>#DIV/0!</v>
      </c>
      <c r="R56" s="17"/>
      <c r="S56" s="17"/>
      <c r="T56" s="17"/>
      <c r="U56" s="17"/>
      <c r="V56" s="17"/>
      <c r="W56" s="9" t="e">
        <f t="shared" si="8"/>
        <v>#DIV/0!</v>
      </c>
      <c r="X56" s="233"/>
      <c r="Y56" s="234"/>
      <c r="Z56" s="9" t="str">
        <f t="shared" si="9"/>
        <v>0</v>
      </c>
      <c r="AA56" s="7" t="e">
        <f t="shared" si="0"/>
        <v>#DIV/0!</v>
      </c>
      <c r="AB56" s="365"/>
      <c r="AC56" s="17"/>
      <c r="AD56" s="17"/>
      <c r="AE56" s="17"/>
      <c r="AF56" s="17"/>
      <c r="AG56" s="17"/>
      <c r="AH56" s="9" t="e">
        <f t="shared" si="10"/>
        <v>#DIV/0!</v>
      </c>
      <c r="AI56" s="17"/>
      <c r="AJ56" s="17"/>
      <c r="AK56" s="17"/>
      <c r="AL56" s="17"/>
      <c r="AM56" s="17"/>
      <c r="AN56" s="9" t="e">
        <f t="shared" si="11"/>
        <v>#DIV/0!</v>
      </c>
      <c r="AO56" s="17"/>
      <c r="AP56" s="17"/>
      <c r="AQ56" s="17"/>
      <c r="AR56" s="17"/>
      <c r="AS56" s="17"/>
      <c r="AT56" s="9" t="e">
        <f t="shared" si="12"/>
        <v>#DIV/0!</v>
      </c>
      <c r="AU56" s="208"/>
      <c r="AV56" s="209"/>
      <c r="AW56" s="9" t="str">
        <f t="shared" si="13"/>
        <v>0</v>
      </c>
      <c r="AX56" s="7" t="e">
        <f t="shared" si="1"/>
        <v>#DIV/0!</v>
      </c>
      <c r="AY56" s="18" t="e">
        <f t="shared" si="1"/>
        <v>#DIV/0!</v>
      </c>
      <c r="AZ56" s="232"/>
      <c r="BA56" s="4" t="e">
        <f t="shared" si="2"/>
        <v>#DIV/0!</v>
      </c>
      <c r="BB56" s="4" t="e">
        <f t="shared" si="14"/>
        <v>#DIV/0!</v>
      </c>
      <c r="BC56" s="4" t="e">
        <f t="shared" si="15"/>
        <v>#DIV/0!</v>
      </c>
      <c r="BD56" s="4">
        <f t="shared" si="16"/>
        <v>0</v>
      </c>
      <c r="BE56" s="12" t="e">
        <f t="shared" si="3"/>
        <v>#DIV/0!</v>
      </c>
      <c r="BF56" s="4" t="e">
        <f t="shared" si="17"/>
        <v>#DIV/0!</v>
      </c>
      <c r="BG56" s="4" t="e">
        <f t="shared" si="18"/>
        <v>#DIV/0!</v>
      </c>
      <c r="BH56" s="4" t="e">
        <f t="shared" si="19"/>
        <v>#DIV/0!</v>
      </c>
      <c r="BI56" s="4">
        <f t="shared" si="20"/>
        <v>0</v>
      </c>
      <c r="BJ56" s="12" t="e">
        <f t="shared" si="4"/>
        <v>#DIV/0!</v>
      </c>
      <c r="BK56" s="12" t="e">
        <f t="shared" si="5"/>
        <v>#DIV/0!</v>
      </c>
      <c r="BL56" s="12"/>
      <c r="BM56" s="10"/>
      <c r="BN56" s="176"/>
      <c r="BO56" s="12" t="e">
        <f t="shared" si="6"/>
        <v>#DIV/0!</v>
      </c>
      <c r="BP56" s="11"/>
      <c r="BQ56" s="6"/>
      <c r="BR56" s="6"/>
    </row>
    <row r="57" spans="1:70" ht="20.25" customHeight="1">
      <c r="A57" s="326">
        <v>23</v>
      </c>
      <c r="B57" s="353"/>
      <c r="C57" s="353"/>
      <c r="D57" s="355"/>
      <c r="E57" s="24">
        <v>1</v>
      </c>
      <c r="F57" s="17"/>
      <c r="G57" s="17"/>
      <c r="H57" s="17"/>
      <c r="I57" s="17"/>
      <c r="J57" s="17"/>
      <c r="K57" s="8" t="e">
        <f t="shared" si="7"/>
        <v>#DIV/0!</v>
      </c>
      <c r="L57" s="17"/>
      <c r="M57" s="17"/>
      <c r="N57" s="17"/>
      <c r="O57" s="17"/>
      <c r="P57" s="17"/>
      <c r="Q57" s="9" t="e">
        <f t="shared" si="23"/>
        <v>#DIV/0!</v>
      </c>
      <c r="R57" s="17"/>
      <c r="S57" s="17"/>
      <c r="T57" s="17"/>
      <c r="U57" s="17"/>
      <c r="V57" s="17"/>
      <c r="W57" s="9" t="e">
        <f t="shared" si="8"/>
        <v>#DIV/0!</v>
      </c>
      <c r="X57" s="233"/>
      <c r="Y57" s="234"/>
      <c r="Z57" s="9" t="str">
        <f t="shared" si="9"/>
        <v>0</v>
      </c>
      <c r="AA57" s="7" t="e">
        <f t="shared" si="0"/>
        <v>#DIV/0!</v>
      </c>
      <c r="AB57" s="365"/>
      <c r="AC57" s="17"/>
      <c r="AD57" s="17"/>
      <c r="AE57" s="17"/>
      <c r="AF57" s="17"/>
      <c r="AG57" s="17"/>
      <c r="AH57" s="9" t="e">
        <f t="shared" si="10"/>
        <v>#DIV/0!</v>
      </c>
      <c r="AI57" s="17"/>
      <c r="AJ57" s="17"/>
      <c r="AK57" s="17"/>
      <c r="AL57" s="17"/>
      <c r="AM57" s="17"/>
      <c r="AN57" s="9" t="e">
        <f t="shared" si="11"/>
        <v>#DIV/0!</v>
      </c>
      <c r="AO57" s="17"/>
      <c r="AP57" s="17"/>
      <c r="AQ57" s="17"/>
      <c r="AR57" s="17"/>
      <c r="AS57" s="17"/>
      <c r="AT57" s="9" t="e">
        <f t="shared" si="12"/>
        <v>#DIV/0!</v>
      </c>
      <c r="AU57" s="208"/>
      <c r="AV57" s="209"/>
      <c r="AW57" s="9" t="str">
        <f t="shared" si="13"/>
        <v>0</v>
      </c>
      <c r="AX57" s="7" t="e">
        <f t="shared" si="1"/>
        <v>#DIV/0!</v>
      </c>
      <c r="AY57" s="18" t="e">
        <f t="shared" si="1"/>
        <v>#DIV/0!</v>
      </c>
      <c r="AZ57" s="231" t="e">
        <f t="shared" ref="AZ57" si="54">IF(BP57&gt;=4.5, " 5 ", IF(BP57&gt;=3.5," 4 ",IF(BP57&gt;=2.5," 3  ",IF(BP57&gt;=1.5," 2 ",IF(BP57&gt;=1,"1 ",IF(BP57&gt;=0,"0"))))))</f>
        <v>#DIV/0!</v>
      </c>
      <c r="BA57" s="4" t="e">
        <f t="shared" si="2"/>
        <v>#DIV/0!</v>
      </c>
      <c r="BB57" s="4" t="e">
        <f t="shared" si="14"/>
        <v>#DIV/0!</v>
      </c>
      <c r="BC57" s="4" t="e">
        <f t="shared" si="15"/>
        <v>#DIV/0!</v>
      </c>
      <c r="BD57" s="4">
        <f t="shared" si="16"/>
        <v>0</v>
      </c>
      <c r="BE57" s="12" t="e">
        <f t="shared" si="3"/>
        <v>#DIV/0!</v>
      </c>
      <c r="BF57" s="4" t="e">
        <f t="shared" si="17"/>
        <v>#DIV/0!</v>
      </c>
      <c r="BG57" s="4" t="e">
        <f t="shared" si="18"/>
        <v>#DIV/0!</v>
      </c>
      <c r="BH57" s="4" t="e">
        <f t="shared" si="19"/>
        <v>#DIV/0!</v>
      </c>
      <c r="BI57" s="4">
        <f t="shared" si="20"/>
        <v>0</v>
      </c>
      <c r="BJ57" s="12" t="e">
        <f t="shared" si="4"/>
        <v>#DIV/0!</v>
      </c>
      <c r="BK57" s="12" t="e">
        <f t="shared" si="5"/>
        <v>#DIV/0!</v>
      </c>
      <c r="BL57" s="12" t="e">
        <f>(BE57+BJ57)/2</f>
        <v>#DIV/0!</v>
      </c>
      <c r="BM57" s="10" t="e">
        <f t="shared" si="21"/>
        <v>#DIV/0!</v>
      </c>
      <c r="BN57" s="176" t="e">
        <f t="shared" si="33"/>
        <v>#DIV/0!</v>
      </c>
      <c r="BO57" s="12" t="e">
        <f t="shared" si="6"/>
        <v>#DIV/0!</v>
      </c>
      <c r="BP57" s="11" t="e">
        <f t="shared" si="25"/>
        <v>#DIV/0!</v>
      </c>
      <c r="BQ57" s="6"/>
      <c r="BR57" s="6"/>
    </row>
    <row r="58" spans="1:70" ht="20.25" customHeight="1" thickBot="1">
      <c r="A58" s="327"/>
      <c r="B58" s="353"/>
      <c r="C58" s="353"/>
      <c r="D58" s="355"/>
      <c r="E58" s="25">
        <v>2</v>
      </c>
      <c r="F58" s="17"/>
      <c r="G58" s="17"/>
      <c r="H58" s="17"/>
      <c r="I58" s="17"/>
      <c r="J58" s="17"/>
      <c r="K58" s="8" t="e">
        <f t="shared" si="7"/>
        <v>#DIV/0!</v>
      </c>
      <c r="L58" s="17"/>
      <c r="M58" s="17"/>
      <c r="N58" s="17"/>
      <c r="O58" s="17"/>
      <c r="P58" s="17"/>
      <c r="Q58" s="9" t="e">
        <f t="shared" si="23"/>
        <v>#DIV/0!</v>
      </c>
      <c r="R58" s="17"/>
      <c r="S58" s="17"/>
      <c r="T58" s="17"/>
      <c r="U58" s="17"/>
      <c r="V58" s="17"/>
      <c r="W58" s="9" t="e">
        <f t="shared" si="8"/>
        <v>#DIV/0!</v>
      </c>
      <c r="X58" s="233"/>
      <c r="Y58" s="234"/>
      <c r="Z58" s="9" t="str">
        <f t="shared" si="9"/>
        <v>0</v>
      </c>
      <c r="AA58" s="7" t="e">
        <f t="shared" si="0"/>
        <v>#DIV/0!</v>
      </c>
      <c r="AB58" s="365"/>
      <c r="AC58" s="17"/>
      <c r="AD58" s="17"/>
      <c r="AE58" s="17"/>
      <c r="AF58" s="17"/>
      <c r="AG58" s="17"/>
      <c r="AH58" s="9" t="e">
        <f t="shared" si="10"/>
        <v>#DIV/0!</v>
      </c>
      <c r="AI58" s="17"/>
      <c r="AJ58" s="17"/>
      <c r="AK58" s="17"/>
      <c r="AL58" s="17"/>
      <c r="AM58" s="17"/>
      <c r="AN58" s="9" t="e">
        <f t="shared" si="11"/>
        <v>#DIV/0!</v>
      </c>
      <c r="AO58" s="17"/>
      <c r="AP58" s="17"/>
      <c r="AQ58" s="17"/>
      <c r="AR58" s="17"/>
      <c r="AS58" s="17"/>
      <c r="AT58" s="9" t="e">
        <f t="shared" si="12"/>
        <v>#DIV/0!</v>
      </c>
      <c r="AU58" s="208"/>
      <c r="AV58" s="209"/>
      <c r="AW58" s="9" t="str">
        <f t="shared" si="13"/>
        <v>0</v>
      </c>
      <c r="AX58" s="7" t="e">
        <f t="shared" si="1"/>
        <v>#DIV/0!</v>
      </c>
      <c r="AY58" s="18" t="e">
        <f t="shared" si="1"/>
        <v>#DIV/0!</v>
      </c>
      <c r="AZ58" s="232"/>
      <c r="BA58" s="4" t="e">
        <f t="shared" si="2"/>
        <v>#DIV/0!</v>
      </c>
      <c r="BB58" s="4" t="e">
        <f t="shared" si="14"/>
        <v>#DIV/0!</v>
      </c>
      <c r="BC58" s="4" t="e">
        <f t="shared" si="15"/>
        <v>#DIV/0!</v>
      </c>
      <c r="BD58" s="4">
        <f t="shared" si="16"/>
        <v>0</v>
      </c>
      <c r="BE58" s="12" t="e">
        <f t="shared" si="3"/>
        <v>#DIV/0!</v>
      </c>
      <c r="BF58" s="4" t="e">
        <f t="shared" si="17"/>
        <v>#DIV/0!</v>
      </c>
      <c r="BG58" s="4" t="e">
        <f t="shared" si="18"/>
        <v>#DIV/0!</v>
      </c>
      <c r="BH58" s="4" t="e">
        <f t="shared" si="19"/>
        <v>#DIV/0!</v>
      </c>
      <c r="BI58" s="4">
        <f t="shared" si="20"/>
        <v>0</v>
      </c>
      <c r="BJ58" s="12" t="e">
        <f t="shared" si="4"/>
        <v>#DIV/0!</v>
      </c>
      <c r="BK58" s="12" t="e">
        <f t="shared" si="5"/>
        <v>#DIV/0!</v>
      </c>
      <c r="BL58" s="12"/>
      <c r="BM58" s="10"/>
      <c r="BN58" s="176"/>
      <c r="BO58" s="12" t="e">
        <f t="shared" si="6"/>
        <v>#DIV/0!</v>
      </c>
      <c r="BP58" s="11"/>
      <c r="BQ58" s="6"/>
      <c r="BR58" s="6"/>
    </row>
    <row r="59" spans="1:70" ht="20.25" customHeight="1">
      <c r="A59" s="326">
        <v>24</v>
      </c>
      <c r="B59" s="377"/>
      <c r="C59" s="377"/>
      <c r="D59" s="225"/>
      <c r="E59" s="24">
        <v>1</v>
      </c>
      <c r="F59" s="17"/>
      <c r="G59" s="17"/>
      <c r="H59" s="17"/>
      <c r="I59" s="17"/>
      <c r="J59" s="17"/>
      <c r="K59" s="8" t="e">
        <f t="shared" si="7"/>
        <v>#DIV/0!</v>
      </c>
      <c r="L59" s="17"/>
      <c r="M59" s="17"/>
      <c r="N59" s="17"/>
      <c r="O59" s="17"/>
      <c r="P59" s="17"/>
      <c r="Q59" s="9" t="e">
        <f t="shared" si="23"/>
        <v>#DIV/0!</v>
      </c>
      <c r="R59" s="17"/>
      <c r="S59" s="17"/>
      <c r="T59" s="17"/>
      <c r="U59" s="17"/>
      <c r="V59" s="17"/>
      <c r="W59" s="9" t="e">
        <f t="shared" si="8"/>
        <v>#DIV/0!</v>
      </c>
      <c r="X59" s="233"/>
      <c r="Y59" s="234"/>
      <c r="Z59" s="9" t="str">
        <f t="shared" si="9"/>
        <v>0</v>
      </c>
      <c r="AA59" s="7" t="e">
        <f t="shared" si="0"/>
        <v>#DIV/0!</v>
      </c>
      <c r="AB59" s="365"/>
      <c r="AC59" s="17"/>
      <c r="AD59" s="17"/>
      <c r="AE59" s="17"/>
      <c r="AF59" s="17"/>
      <c r="AG59" s="17"/>
      <c r="AH59" s="9" t="e">
        <f t="shared" si="10"/>
        <v>#DIV/0!</v>
      </c>
      <c r="AI59" s="17"/>
      <c r="AJ59" s="17"/>
      <c r="AK59" s="17"/>
      <c r="AL59" s="17"/>
      <c r="AM59" s="17"/>
      <c r="AN59" s="9" t="e">
        <f t="shared" si="11"/>
        <v>#DIV/0!</v>
      </c>
      <c r="AO59" s="17"/>
      <c r="AP59" s="17"/>
      <c r="AQ59" s="17"/>
      <c r="AR59" s="17"/>
      <c r="AS59" s="17"/>
      <c r="AT59" s="9" t="e">
        <f t="shared" si="12"/>
        <v>#DIV/0!</v>
      </c>
      <c r="AU59" s="208"/>
      <c r="AV59" s="209"/>
      <c r="AW59" s="9" t="str">
        <f t="shared" si="13"/>
        <v>0</v>
      </c>
      <c r="AX59" s="7" t="e">
        <f t="shared" si="1"/>
        <v>#DIV/0!</v>
      </c>
      <c r="AY59" s="18" t="e">
        <f t="shared" si="1"/>
        <v>#DIV/0!</v>
      </c>
      <c r="AZ59" s="231" t="e">
        <f t="shared" ref="AZ59" si="55">IF(BP59&gt;=4.5, " 5 ", IF(BP59&gt;=3.5," 4 ",IF(BP59&gt;=2.5," 3  ",IF(BP59&gt;=1.5," 2 ",IF(BP59&gt;=1,"1 ",IF(BP59&gt;=0,"0"))))))</f>
        <v>#DIV/0!</v>
      </c>
      <c r="BA59" s="4" t="e">
        <f t="shared" si="2"/>
        <v>#DIV/0!</v>
      </c>
      <c r="BB59" s="4" t="e">
        <f t="shared" si="14"/>
        <v>#DIV/0!</v>
      </c>
      <c r="BC59" s="4" t="e">
        <f t="shared" si="15"/>
        <v>#DIV/0!</v>
      </c>
      <c r="BD59" s="4">
        <f t="shared" si="16"/>
        <v>0</v>
      </c>
      <c r="BE59" s="12" t="e">
        <f t="shared" si="3"/>
        <v>#DIV/0!</v>
      </c>
      <c r="BF59" s="4" t="e">
        <f t="shared" si="17"/>
        <v>#DIV/0!</v>
      </c>
      <c r="BG59" s="4" t="e">
        <f t="shared" si="18"/>
        <v>#DIV/0!</v>
      </c>
      <c r="BH59" s="4" t="e">
        <f t="shared" si="19"/>
        <v>#DIV/0!</v>
      </c>
      <c r="BI59" s="4">
        <f t="shared" si="20"/>
        <v>0</v>
      </c>
      <c r="BJ59" s="12" t="e">
        <f t="shared" si="4"/>
        <v>#DIV/0!</v>
      </c>
      <c r="BK59" s="12" t="e">
        <f t="shared" si="5"/>
        <v>#DIV/0!</v>
      </c>
      <c r="BL59" s="12" t="e">
        <f>(BE59+BJ59)/2</f>
        <v>#DIV/0!</v>
      </c>
      <c r="BM59" s="10" t="e">
        <f t="shared" si="21"/>
        <v>#DIV/0!</v>
      </c>
      <c r="BN59" s="176" t="e">
        <f t="shared" si="35"/>
        <v>#DIV/0!</v>
      </c>
      <c r="BO59" s="12" t="e">
        <f t="shared" si="6"/>
        <v>#DIV/0!</v>
      </c>
      <c r="BP59" s="11" t="e">
        <f t="shared" si="25"/>
        <v>#DIV/0!</v>
      </c>
      <c r="BQ59" s="6"/>
      <c r="BR59" s="6"/>
    </row>
    <row r="60" spans="1:70" ht="20.25" customHeight="1" thickBot="1">
      <c r="A60" s="327"/>
      <c r="B60" s="377"/>
      <c r="C60" s="377"/>
      <c r="D60" s="225"/>
      <c r="E60" s="25">
        <v>2</v>
      </c>
      <c r="F60" s="17"/>
      <c r="G60" s="17"/>
      <c r="H60" s="17"/>
      <c r="I60" s="17"/>
      <c r="J60" s="17"/>
      <c r="K60" s="8" t="e">
        <f t="shared" si="7"/>
        <v>#DIV/0!</v>
      </c>
      <c r="L60" s="17"/>
      <c r="M60" s="17"/>
      <c r="N60" s="17"/>
      <c r="O60" s="17"/>
      <c r="P60" s="17"/>
      <c r="Q60" s="9" t="e">
        <f t="shared" si="23"/>
        <v>#DIV/0!</v>
      </c>
      <c r="R60" s="17"/>
      <c r="S60" s="17"/>
      <c r="T60" s="17"/>
      <c r="U60" s="17"/>
      <c r="V60" s="17"/>
      <c r="W60" s="9" t="e">
        <f t="shared" si="8"/>
        <v>#DIV/0!</v>
      </c>
      <c r="X60" s="233"/>
      <c r="Y60" s="234"/>
      <c r="Z60" s="9" t="str">
        <f t="shared" si="9"/>
        <v>0</v>
      </c>
      <c r="AA60" s="7" t="e">
        <f t="shared" si="0"/>
        <v>#DIV/0!</v>
      </c>
      <c r="AB60" s="365"/>
      <c r="AC60" s="17"/>
      <c r="AD60" s="17"/>
      <c r="AE60" s="17"/>
      <c r="AF60" s="17"/>
      <c r="AG60" s="17"/>
      <c r="AH60" s="9" t="e">
        <f t="shared" si="10"/>
        <v>#DIV/0!</v>
      </c>
      <c r="AI60" s="17"/>
      <c r="AJ60" s="17"/>
      <c r="AK60" s="17"/>
      <c r="AL60" s="17"/>
      <c r="AM60" s="17"/>
      <c r="AN60" s="9" t="e">
        <f t="shared" si="11"/>
        <v>#DIV/0!</v>
      </c>
      <c r="AO60" s="17"/>
      <c r="AP60" s="17"/>
      <c r="AQ60" s="17"/>
      <c r="AR60" s="17"/>
      <c r="AS60" s="17"/>
      <c r="AT60" s="9" t="e">
        <f t="shared" si="12"/>
        <v>#DIV/0!</v>
      </c>
      <c r="AU60" s="208"/>
      <c r="AV60" s="209"/>
      <c r="AW60" s="9" t="str">
        <f t="shared" si="13"/>
        <v>0</v>
      </c>
      <c r="AX60" s="7" t="e">
        <f t="shared" si="1"/>
        <v>#DIV/0!</v>
      </c>
      <c r="AY60" s="18" t="e">
        <f t="shared" si="1"/>
        <v>#DIV/0!</v>
      </c>
      <c r="AZ60" s="232"/>
      <c r="BA60" s="4" t="e">
        <f t="shared" si="2"/>
        <v>#DIV/0!</v>
      </c>
      <c r="BB60" s="4" t="e">
        <f t="shared" si="14"/>
        <v>#DIV/0!</v>
      </c>
      <c r="BC60" s="4" t="e">
        <f t="shared" si="15"/>
        <v>#DIV/0!</v>
      </c>
      <c r="BD60" s="4">
        <f t="shared" si="16"/>
        <v>0</v>
      </c>
      <c r="BE60" s="12" t="e">
        <f t="shared" si="3"/>
        <v>#DIV/0!</v>
      </c>
      <c r="BF60" s="4" t="e">
        <f t="shared" si="17"/>
        <v>#DIV/0!</v>
      </c>
      <c r="BG60" s="4" t="e">
        <f t="shared" si="18"/>
        <v>#DIV/0!</v>
      </c>
      <c r="BH60" s="4" t="e">
        <f t="shared" si="19"/>
        <v>#DIV/0!</v>
      </c>
      <c r="BI60" s="4">
        <f t="shared" si="20"/>
        <v>0</v>
      </c>
      <c r="BJ60" s="12" t="e">
        <f t="shared" si="4"/>
        <v>#DIV/0!</v>
      </c>
      <c r="BK60" s="12" t="e">
        <f t="shared" si="5"/>
        <v>#DIV/0!</v>
      </c>
      <c r="BL60" s="12"/>
      <c r="BM60" s="10"/>
      <c r="BN60" s="176"/>
      <c r="BO60" s="12" t="e">
        <f t="shared" si="6"/>
        <v>#DIV/0!</v>
      </c>
      <c r="BP60" s="11"/>
      <c r="BQ60" s="6"/>
      <c r="BR60" s="6"/>
    </row>
    <row r="61" spans="1:70" ht="20.25" customHeight="1">
      <c r="A61" s="326">
        <v>25</v>
      </c>
      <c r="B61" s="377"/>
      <c r="C61" s="377"/>
      <c r="D61" s="225"/>
      <c r="E61" s="24">
        <v>1</v>
      </c>
      <c r="F61" s="17"/>
      <c r="G61" s="17"/>
      <c r="H61" s="17"/>
      <c r="I61" s="17"/>
      <c r="J61" s="17"/>
      <c r="K61" s="8" t="e">
        <f t="shared" si="7"/>
        <v>#DIV/0!</v>
      </c>
      <c r="L61" s="17"/>
      <c r="M61" s="17"/>
      <c r="N61" s="17"/>
      <c r="O61" s="17"/>
      <c r="P61" s="17"/>
      <c r="Q61" s="9" t="e">
        <f t="shared" si="23"/>
        <v>#DIV/0!</v>
      </c>
      <c r="R61" s="17"/>
      <c r="S61" s="17"/>
      <c r="T61" s="17"/>
      <c r="U61" s="17"/>
      <c r="V61" s="17"/>
      <c r="W61" s="9" t="e">
        <f t="shared" si="8"/>
        <v>#DIV/0!</v>
      </c>
      <c r="X61" s="233"/>
      <c r="Y61" s="234"/>
      <c r="Z61" s="9" t="str">
        <f t="shared" si="9"/>
        <v>0</v>
      </c>
      <c r="AA61" s="7" t="e">
        <f t="shared" si="0"/>
        <v>#DIV/0!</v>
      </c>
      <c r="AB61" s="365"/>
      <c r="AC61" s="17"/>
      <c r="AD61" s="17"/>
      <c r="AE61" s="17"/>
      <c r="AF61" s="17"/>
      <c r="AG61" s="17"/>
      <c r="AH61" s="9" t="e">
        <f t="shared" si="10"/>
        <v>#DIV/0!</v>
      </c>
      <c r="AI61" s="17"/>
      <c r="AJ61" s="17"/>
      <c r="AK61" s="17"/>
      <c r="AL61" s="17"/>
      <c r="AM61" s="17"/>
      <c r="AN61" s="9" t="e">
        <f t="shared" si="11"/>
        <v>#DIV/0!</v>
      </c>
      <c r="AO61" s="17"/>
      <c r="AP61" s="17"/>
      <c r="AQ61" s="17"/>
      <c r="AR61" s="17"/>
      <c r="AS61" s="17"/>
      <c r="AT61" s="9" t="e">
        <f t="shared" si="12"/>
        <v>#DIV/0!</v>
      </c>
      <c r="AU61" s="208"/>
      <c r="AV61" s="209"/>
      <c r="AW61" s="9" t="str">
        <f t="shared" si="13"/>
        <v>0</v>
      </c>
      <c r="AX61" s="7" t="e">
        <f t="shared" si="1"/>
        <v>#DIV/0!</v>
      </c>
      <c r="AY61" s="18" t="e">
        <f t="shared" si="1"/>
        <v>#DIV/0!</v>
      </c>
      <c r="AZ61" s="231" t="e">
        <f t="shared" ref="AZ61" si="56">IF(BP61&gt;=4.5, " 5 ", IF(BP61&gt;=3.5," 4 ",IF(BP61&gt;=2.5," 3  ",IF(BP61&gt;=1.5," 2 ",IF(BP61&gt;=1,"1 ",IF(BP61&gt;=0,"0"))))))</f>
        <v>#DIV/0!</v>
      </c>
      <c r="BA61" s="4" t="e">
        <f t="shared" si="2"/>
        <v>#DIV/0!</v>
      </c>
      <c r="BB61" s="4" t="e">
        <f t="shared" si="14"/>
        <v>#DIV/0!</v>
      </c>
      <c r="BC61" s="4" t="e">
        <f t="shared" si="15"/>
        <v>#DIV/0!</v>
      </c>
      <c r="BD61" s="4">
        <f t="shared" si="16"/>
        <v>0</v>
      </c>
      <c r="BE61" s="12" t="e">
        <f t="shared" si="3"/>
        <v>#DIV/0!</v>
      </c>
      <c r="BF61" s="4" t="e">
        <f t="shared" si="17"/>
        <v>#DIV/0!</v>
      </c>
      <c r="BG61" s="4" t="e">
        <f t="shared" si="18"/>
        <v>#DIV/0!</v>
      </c>
      <c r="BH61" s="4" t="e">
        <f t="shared" si="19"/>
        <v>#DIV/0!</v>
      </c>
      <c r="BI61" s="4">
        <f t="shared" si="20"/>
        <v>0</v>
      </c>
      <c r="BJ61" s="12" t="e">
        <f t="shared" si="4"/>
        <v>#DIV/0!</v>
      </c>
      <c r="BK61" s="12" t="e">
        <f t="shared" si="5"/>
        <v>#DIV/0!</v>
      </c>
      <c r="BL61" s="12" t="e">
        <f>(BE61+BJ61)/2</f>
        <v>#DIV/0!</v>
      </c>
      <c r="BM61" s="10" t="e">
        <f t="shared" si="21"/>
        <v>#DIV/0!</v>
      </c>
      <c r="BN61" s="176" t="e">
        <f t="shared" ref="BN61" si="57">ROUND(BO62,)</f>
        <v>#DIV/0!</v>
      </c>
      <c r="BO61" s="12" t="e">
        <f t="shared" si="6"/>
        <v>#DIV/0!</v>
      </c>
      <c r="BP61" s="11" t="e">
        <f t="shared" si="25"/>
        <v>#DIV/0!</v>
      </c>
      <c r="BQ61" s="6"/>
      <c r="BR61" s="6"/>
    </row>
    <row r="62" spans="1:70" ht="17.25" customHeight="1" thickBot="1">
      <c r="A62" s="327"/>
      <c r="B62" s="377"/>
      <c r="C62" s="377"/>
      <c r="D62" s="225"/>
      <c r="E62" s="25">
        <v>2</v>
      </c>
      <c r="F62" s="17"/>
      <c r="G62" s="17"/>
      <c r="H62" s="17"/>
      <c r="I62" s="17"/>
      <c r="J62" s="17"/>
      <c r="K62" s="8" t="e">
        <f t="shared" si="7"/>
        <v>#DIV/0!</v>
      </c>
      <c r="L62" s="17"/>
      <c r="M62" s="17"/>
      <c r="N62" s="17"/>
      <c r="O62" s="17"/>
      <c r="P62" s="17"/>
      <c r="Q62" s="9" t="e">
        <f t="shared" si="23"/>
        <v>#DIV/0!</v>
      </c>
      <c r="R62" s="17"/>
      <c r="S62" s="17"/>
      <c r="T62" s="17"/>
      <c r="U62" s="17"/>
      <c r="V62" s="17"/>
      <c r="W62" s="9" t="e">
        <f t="shared" si="8"/>
        <v>#DIV/0!</v>
      </c>
      <c r="X62" s="233"/>
      <c r="Y62" s="234"/>
      <c r="Z62" s="9" t="str">
        <f t="shared" si="9"/>
        <v>0</v>
      </c>
      <c r="AA62" s="7" t="e">
        <f t="shared" si="0"/>
        <v>#DIV/0!</v>
      </c>
      <c r="AB62" s="365"/>
      <c r="AC62" s="17"/>
      <c r="AD62" s="17"/>
      <c r="AE62" s="17"/>
      <c r="AF62" s="17"/>
      <c r="AG62" s="17"/>
      <c r="AH62" s="9" t="e">
        <f t="shared" si="10"/>
        <v>#DIV/0!</v>
      </c>
      <c r="AI62" s="17"/>
      <c r="AJ62" s="17"/>
      <c r="AK62" s="17"/>
      <c r="AL62" s="17"/>
      <c r="AM62" s="17"/>
      <c r="AN62" s="9" t="e">
        <f t="shared" si="11"/>
        <v>#DIV/0!</v>
      </c>
      <c r="AO62" s="17"/>
      <c r="AP62" s="17"/>
      <c r="AQ62" s="17"/>
      <c r="AR62" s="17"/>
      <c r="AS62" s="17"/>
      <c r="AT62" s="9" t="e">
        <f t="shared" si="12"/>
        <v>#DIV/0!</v>
      </c>
      <c r="AU62" s="208"/>
      <c r="AV62" s="209"/>
      <c r="AW62" s="9" t="str">
        <f t="shared" si="13"/>
        <v>0</v>
      </c>
      <c r="AX62" s="7" t="e">
        <f t="shared" si="1"/>
        <v>#DIV/0!</v>
      </c>
      <c r="AY62" s="18" t="e">
        <f t="shared" si="1"/>
        <v>#DIV/0!</v>
      </c>
      <c r="AZ62" s="232"/>
      <c r="BA62" s="4" t="e">
        <f t="shared" si="2"/>
        <v>#DIV/0!</v>
      </c>
      <c r="BB62" s="4" t="e">
        <f t="shared" si="14"/>
        <v>#DIV/0!</v>
      </c>
      <c r="BC62" s="4" t="e">
        <f t="shared" si="15"/>
        <v>#DIV/0!</v>
      </c>
      <c r="BD62" s="4">
        <f t="shared" si="16"/>
        <v>0</v>
      </c>
      <c r="BE62" s="12" t="e">
        <f t="shared" si="3"/>
        <v>#DIV/0!</v>
      </c>
      <c r="BF62" s="4" t="e">
        <f t="shared" si="17"/>
        <v>#DIV/0!</v>
      </c>
      <c r="BG62" s="4" t="e">
        <f t="shared" si="18"/>
        <v>#DIV/0!</v>
      </c>
      <c r="BH62" s="4" t="e">
        <f t="shared" si="19"/>
        <v>#DIV/0!</v>
      </c>
      <c r="BI62" s="4">
        <f t="shared" si="20"/>
        <v>0</v>
      </c>
      <c r="BJ62" s="12" t="e">
        <f t="shared" si="4"/>
        <v>#DIV/0!</v>
      </c>
      <c r="BK62" s="12" t="e">
        <f t="shared" si="5"/>
        <v>#DIV/0!</v>
      </c>
      <c r="BL62" s="12"/>
      <c r="BM62" s="10"/>
      <c r="BN62" s="176"/>
      <c r="BO62" s="12" t="e">
        <f t="shared" si="6"/>
        <v>#DIV/0!</v>
      </c>
      <c r="BP62" s="11"/>
      <c r="BQ62" s="6"/>
      <c r="BR62" s="6"/>
    </row>
    <row r="63" spans="1:70" ht="21" customHeight="1">
      <c r="A63" s="326">
        <v>26</v>
      </c>
      <c r="B63" s="377"/>
      <c r="C63" s="377"/>
      <c r="D63" s="225"/>
      <c r="E63" s="24">
        <v>1</v>
      </c>
      <c r="F63" s="17"/>
      <c r="G63" s="17"/>
      <c r="H63" s="17"/>
      <c r="I63" s="17"/>
      <c r="J63" s="17"/>
      <c r="K63" s="8" t="e">
        <f t="shared" si="7"/>
        <v>#DIV/0!</v>
      </c>
      <c r="L63" s="17"/>
      <c r="M63" s="17"/>
      <c r="N63" s="17"/>
      <c r="O63" s="17"/>
      <c r="P63" s="17"/>
      <c r="Q63" s="9" t="e">
        <f t="shared" si="23"/>
        <v>#DIV/0!</v>
      </c>
      <c r="R63" s="17"/>
      <c r="S63" s="17"/>
      <c r="T63" s="17"/>
      <c r="U63" s="17"/>
      <c r="V63" s="17"/>
      <c r="W63" s="9" t="e">
        <f t="shared" si="8"/>
        <v>#DIV/0!</v>
      </c>
      <c r="X63" s="233"/>
      <c r="Y63" s="234"/>
      <c r="Z63" s="9" t="str">
        <f t="shared" si="9"/>
        <v>0</v>
      </c>
      <c r="AA63" s="7" t="e">
        <f t="shared" si="0"/>
        <v>#DIV/0!</v>
      </c>
      <c r="AB63" s="365"/>
      <c r="AC63" s="17"/>
      <c r="AD63" s="17"/>
      <c r="AE63" s="17"/>
      <c r="AF63" s="17"/>
      <c r="AG63" s="17"/>
      <c r="AH63" s="9" t="e">
        <f t="shared" si="10"/>
        <v>#DIV/0!</v>
      </c>
      <c r="AI63" s="17"/>
      <c r="AJ63" s="17"/>
      <c r="AK63" s="17"/>
      <c r="AL63" s="17"/>
      <c r="AM63" s="17"/>
      <c r="AN63" s="9" t="e">
        <f t="shared" si="11"/>
        <v>#DIV/0!</v>
      </c>
      <c r="AO63" s="17"/>
      <c r="AP63" s="17"/>
      <c r="AQ63" s="17"/>
      <c r="AR63" s="17"/>
      <c r="AS63" s="17"/>
      <c r="AT63" s="9" t="e">
        <f t="shared" si="12"/>
        <v>#DIV/0!</v>
      </c>
      <c r="AU63" s="208"/>
      <c r="AV63" s="209"/>
      <c r="AW63" s="9" t="str">
        <f t="shared" si="13"/>
        <v>0</v>
      </c>
      <c r="AX63" s="7" t="e">
        <f t="shared" si="1"/>
        <v>#DIV/0!</v>
      </c>
      <c r="AY63" s="18" t="e">
        <f t="shared" si="1"/>
        <v>#DIV/0!</v>
      </c>
      <c r="AZ63" s="231" t="e">
        <f t="shared" ref="AZ63" si="58">IF(BP63&gt;=4.5, " 5 ", IF(BP63&gt;=3.5," 4 ",IF(BP63&gt;=2.5," 3  ",IF(BP63&gt;=1.5," 2 ",IF(BP63&gt;=1,"1 ",IF(BP63&gt;=0,"0"))))))</f>
        <v>#DIV/0!</v>
      </c>
      <c r="BA63" s="4" t="e">
        <f t="shared" si="2"/>
        <v>#DIV/0!</v>
      </c>
      <c r="BB63" s="4" t="e">
        <f t="shared" si="14"/>
        <v>#DIV/0!</v>
      </c>
      <c r="BC63" s="4" t="e">
        <f t="shared" si="15"/>
        <v>#DIV/0!</v>
      </c>
      <c r="BD63" s="4">
        <f t="shared" si="16"/>
        <v>0</v>
      </c>
      <c r="BE63" s="12" t="e">
        <f t="shared" si="3"/>
        <v>#DIV/0!</v>
      </c>
      <c r="BF63" s="4" t="e">
        <f t="shared" si="17"/>
        <v>#DIV/0!</v>
      </c>
      <c r="BG63" s="4" t="e">
        <f t="shared" si="18"/>
        <v>#DIV/0!</v>
      </c>
      <c r="BH63" s="4" t="e">
        <f t="shared" si="19"/>
        <v>#DIV/0!</v>
      </c>
      <c r="BI63" s="4">
        <f t="shared" si="20"/>
        <v>0</v>
      </c>
      <c r="BJ63" s="12" t="e">
        <f t="shared" si="4"/>
        <v>#DIV/0!</v>
      </c>
      <c r="BK63" s="12" t="e">
        <f t="shared" si="5"/>
        <v>#DIV/0!</v>
      </c>
      <c r="BL63" s="12" t="e">
        <f>(BE63+BJ63)/2</f>
        <v>#DIV/0!</v>
      </c>
      <c r="BM63" s="10" t="e">
        <f t="shared" si="21"/>
        <v>#DIV/0!</v>
      </c>
      <c r="BN63" s="176" t="e">
        <f t="shared" si="31"/>
        <v>#DIV/0!</v>
      </c>
      <c r="BO63" s="12" t="e">
        <f t="shared" si="6"/>
        <v>#DIV/0!</v>
      </c>
      <c r="BP63" s="11" t="e">
        <f t="shared" si="25"/>
        <v>#DIV/0!</v>
      </c>
      <c r="BQ63" s="6"/>
      <c r="BR63" s="6"/>
    </row>
    <row r="64" spans="1:70" ht="18" customHeight="1" thickBot="1">
      <c r="A64" s="327"/>
      <c r="B64" s="377"/>
      <c r="C64" s="377"/>
      <c r="D64" s="225"/>
      <c r="E64" s="25">
        <v>2</v>
      </c>
      <c r="F64" s="17"/>
      <c r="G64" s="17"/>
      <c r="H64" s="17"/>
      <c r="I64" s="17"/>
      <c r="J64" s="17"/>
      <c r="K64" s="8" t="e">
        <f t="shared" si="7"/>
        <v>#DIV/0!</v>
      </c>
      <c r="L64" s="17"/>
      <c r="M64" s="17"/>
      <c r="N64" s="17"/>
      <c r="O64" s="17"/>
      <c r="P64" s="17"/>
      <c r="Q64" s="9" t="e">
        <f t="shared" si="23"/>
        <v>#DIV/0!</v>
      </c>
      <c r="R64" s="17"/>
      <c r="S64" s="17"/>
      <c r="T64" s="17"/>
      <c r="U64" s="17"/>
      <c r="V64" s="17"/>
      <c r="W64" s="9" t="e">
        <f t="shared" si="8"/>
        <v>#DIV/0!</v>
      </c>
      <c r="X64" s="233"/>
      <c r="Y64" s="234"/>
      <c r="Z64" s="9" t="str">
        <f t="shared" si="9"/>
        <v>0</v>
      </c>
      <c r="AA64" s="7" t="e">
        <f t="shared" si="0"/>
        <v>#DIV/0!</v>
      </c>
      <c r="AB64" s="365"/>
      <c r="AC64" s="17"/>
      <c r="AD64" s="17"/>
      <c r="AE64" s="17"/>
      <c r="AF64" s="17"/>
      <c r="AG64" s="17"/>
      <c r="AH64" s="9" t="e">
        <f t="shared" si="10"/>
        <v>#DIV/0!</v>
      </c>
      <c r="AI64" s="17"/>
      <c r="AJ64" s="17"/>
      <c r="AK64" s="17"/>
      <c r="AL64" s="17"/>
      <c r="AM64" s="17"/>
      <c r="AN64" s="9" t="e">
        <f t="shared" si="11"/>
        <v>#DIV/0!</v>
      </c>
      <c r="AO64" s="17"/>
      <c r="AP64" s="17"/>
      <c r="AQ64" s="17"/>
      <c r="AR64" s="17"/>
      <c r="AS64" s="17"/>
      <c r="AT64" s="9" t="e">
        <f t="shared" si="12"/>
        <v>#DIV/0!</v>
      </c>
      <c r="AU64" s="208"/>
      <c r="AV64" s="209"/>
      <c r="AW64" s="9" t="str">
        <f t="shared" si="13"/>
        <v>0</v>
      </c>
      <c r="AX64" s="7" t="e">
        <f t="shared" si="1"/>
        <v>#DIV/0!</v>
      </c>
      <c r="AY64" s="18" t="e">
        <f t="shared" si="1"/>
        <v>#DIV/0!</v>
      </c>
      <c r="AZ64" s="232"/>
      <c r="BA64" s="4" t="e">
        <f t="shared" si="2"/>
        <v>#DIV/0!</v>
      </c>
      <c r="BB64" s="4" t="e">
        <f t="shared" si="14"/>
        <v>#DIV/0!</v>
      </c>
      <c r="BC64" s="4" t="e">
        <f t="shared" si="15"/>
        <v>#DIV/0!</v>
      </c>
      <c r="BD64" s="4">
        <f t="shared" si="16"/>
        <v>0</v>
      </c>
      <c r="BE64" s="12" t="e">
        <f t="shared" si="3"/>
        <v>#DIV/0!</v>
      </c>
      <c r="BF64" s="4" t="e">
        <f t="shared" si="17"/>
        <v>#DIV/0!</v>
      </c>
      <c r="BG64" s="4" t="e">
        <f t="shared" si="18"/>
        <v>#DIV/0!</v>
      </c>
      <c r="BH64" s="4" t="e">
        <f t="shared" si="19"/>
        <v>#DIV/0!</v>
      </c>
      <c r="BI64" s="4">
        <f t="shared" si="20"/>
        <v>0</v>
      </c>
      <c r="BJ64" s="12" t="e">
        <f t="shared" si="4"/>
        <v>#DIV/0!</v>
      </c>
      <c r="BK64" s="12" t="e">
        <f t="shared" si="5"/>
        <v>#DIV/0!</v>
      </c>
      <c r="BL64" s="12"/>
      <c r="BM64" s="10"/>
      <c r="BN64" s="176"/>
      <c r="BO64" s="12" t="e">
        <f t="shared" si="6"/>
        <v>#DIV/0!</v>
      </c>
      <c r="BP64" s="11"/>
      <c r="BQ64" s="6"/>
      <c r="BR64" s="6"/>
    </row>
    <row r="65" spans="1:70" ht="18" customHeight="1">
      <c r="A65" s="326">
        <v>27</v>
      </c>
      <c r="B65" s="328"/>
      <c r="C65" s="329"/>
      <c r="D65" s="225"/>
      <c r="E65" s="24">
        <v>1</v>
      </c>
      <c r="F65" s="17"/>
      <c r="G65" s="17"/>
      <c r="H65" s="17"/>
      <c r="I65" s="17"/>
      <c r="J65" s="17"/>
      <c r="K65" s="8" t="e">
        <f t="shared" si="7"/>
        <v>#DIV/0!</v>
      </c>
      <c r="L65" s="17"/>
      <c r="M65" s="17"/>
      <c r="N65" s="17"/>
      <c r="O65" s="17"/>
      <c r="P65" s="17"/>
      <c r="Q65" s="9" t="e">
        <f t="shared" si="23"/>
        <v>#DIV/0!</v>
      </c>
      <c r="R65" s="17"/>
      <c r="S65" s="17"/>
      <c r="T65" s="17"/>
      <c r="U65" s="17"/>
      <c r="V65" s="17"/>
      <c r="W65" s="9" t="e">
        <f t="shared" si="8"/>
        <v>#DIV/0!</v>
      </c>
      <c r="X65" s="233"/>
      <c r="Y65" s="234"/>
      <c r="Z65" s="9" t="str">
        <f t="shared" si="9"/>
        <v>0</v>
      </c>
      <c r="AA65" s="7" t="e">
        <f t="shared" si="0"/>
        <v>#DIV/0!</v>
      </c>
      <c r="AB65" s="365"/>
      <c r="AC65" s="17"/>
      <c r="AD65" s="17"/>
      <c r="AE65" s="17"/>
      <c r="AF65" s="17"/>
      <c r="AG65" s="17"/>
      <c r="AH65" s="9" t="e">
        <f t="shared" si="10"/>
        <v>#DIV/0!</v>
      </c>
      <c r="AI65" s="17"/>
      <c r="AJ65" s="17"/>
      <c r="AK65" s="17"/>
      <c r="AL65" s="17"/>
      <c r="AM65" s="17"/>
      <c r="AN65" s="9" t="e">
        <f t="shared" si="11"/>
        <v>#DIV/0!</v>
      </c>
      <c r="AO65" s="17"/>
      <c r="AP65" s="17"/>
      <c r="AQ65" s="17"/>
      <c r="AR65" s="17"/>
      <c r="AS65" s="17"/>
      <c r="AT65" s="9" t="e">
        <f t="shared" si="12"/>
        <v>#DIV/0!</v>
      </c>
      <c r="AU65" s="208"/>
      <c r="AV65" s="209"/>
      <c r="AW65" s="9" t="str">
        <f t="shared" si="13"/>
        <v>0</v>
      </c>
      <c r="AX65" s="7" t="e">
        <f t="shared" si="1"/>
        <v>#DIV/0!</v>
      </c>
      <c r="AY65" s="18" t="e">
        <f t="shared" si="1"/>
        <v>#DIV/0!</v>
      </c>
      <c r="AZ65" s="231" t="e">
        <f t="shared" ref="AZ65" si="59">IF(BP65&gt;=4.5, " 5 ", IF(BP65&gt;=3.5," 4 ",IF(BP65&gt;=2.5," 3  ",IF(BP65&gt;=1.5," 2 ",IF(BP65&gt;=1,"1 ",IF(BP65&gt;=0,"0"))))))</f>
        <v>#DIV/0!</v>
      </c>
      <c r="BA65" s="4" t="e">
        <f t="shared" si="2"/>
        <v>#DIV/0!</v>
      </c>
      <c r="BB65" s="4" t="e">
        <f t="shared" si="14"/>
        <v>#DIV/0!</v>
      </c>
      <c r="BC65" s="4" t="e">
        <f t="shared" si="15"/>
        <v>#DIV/0!</v>
      </c>
      <c r="BD65" s="4">
        <f t="shared" si="16"/>
        <v>0</v>
      </c>
      <c r="BE65" s="12" t="e">
        <f t="shared" si="3"/>
        <v>#DIV/0!</v>
      </c>
      <c r="BF65" s="4" t="e">
        <f t="shared" si="17"/>
        <v>#DIV/0!</v>
      </c>
      <c r="BG65" s="4" t="e">
        <f t="shared" si="18"/>
        <v>#DIV/0!</v>
      </c>
      <c r="BH65" s="4" t="e">
        <f t="shared" si="19"/>
        <v>#DIV/0!</v>
      </c>
      <c r="BI65" s="4">
        <f t="shared" si="20"/>
        <v>0</v>
      </c>
      <c r="BJ65" s="12" t="e">
        <f t="shared" si="4"/>
        <v>#DIV/0!</v>
      </c>
      <c r="BK65" s="12" t="e">
        <f t="shared" si="5"/>
        <v>#DIV/0!</v>
      </c>
      <c r="BL65" s="12" t="e">
        <f>(BE65+BJ65)/2</f>
        <v>#DIV/0!</v>
      </c>
      <c r="BM65" s="10" t="e">
        <f t="shared" si="21"/>
        <v>#DIV/0!</v>
      </c>
      <c r="BN65" s="176" t="e">
        <f t="shared" si="33"/>
        <v>#DIV/0!</v>
      </c>
      <c r="BO65" s="12" t="e">
        <f t="shared" si="6"/>
        <v>#DIV/0!</v>
      </c>
      <c r="BP65" s="11" t="e">
        <f t="shared" si="25"/>
        <v>#DIV/0!</v>
      </c>
      <c r="BQ65" s="6"/>
      <c r="BR65" s="6"/>
    </row>
    <row r="66" spans="1:70" ht="18" customHeight="1" thickBot="1">
      <c r="A66" s="327"/>
      <c r="B66" s="330"/>
      <c r="C66" s="331"/>
      <c r="D66" s="225"/>
      <c r="E66" s="26">
        <v>2</v>
      </c>
      <c r="F66" s="17"/>
      <c r="G66" s="17"/>
      <c r="H66" s="17"/>
      <c r="I66" s="17"/>
      <c r="J66" s="17"/>
      <c r="K66" s="8" t="e">
        <f t="shared" si="7"/>
        <v>#DIV/0!</v>
      </c>
      <c r="L66" s="17"/>
      <c r="M66" s="17"/>
      <c r="N66" s="17"/>
      <c r="O66" s="17"/>
      <c r="P66" s="17"/>
      <c r="Q66" s="9" t="e">
        <f t="shared" si="23"/>
        <v>#DIV/0!</v>
      </c>
      <c r="R66" s="17"/>
      <c r="S66" s="17"/>
      <c r="T66" s="17"/>
      <c r="U66" s="17"/>
      <c r="V66" s="17"/>
      <c r="W66" s="9" t="e">
        <f t="shared" si="8"/>
        <v>#DIV/0!</v>
      </c>
      <c r="X66" s="233"/>
      <c r="Y66" s="234"/>
      <c r="Z66" s="9" t="str">
        <f t="shared" si="9"/>
        <v>0</v>
      </c>
      <c r="AA66" s="7" t="e">
        <f t="shared" si="0"/>
        <v>#DIV/0!</v>
      </c>
      <c r="AB66" s="365"/>
      <c r="AC66" s="17"/>
      <c r="AD66" s="17"/>
      <c r="AE66" s="17"/>
      <c r="AF66" s="17"/>
      <c r="AG66" s="17"/>
      <c r="AH66" s="9" t="e">
        <f t="shared" si="10"/>
        <v>#DIV/0!</v>
      </c>
      <c r="AI66" s="17"/>
      <c r="AJ66" s="17"/>
      <c r="AK66" s="17"/>
      <c r="AL66" s="17"/>
      <c r="AM66" s="17"/>
      <c r="AN66" s="9" t="e">
        <f t="shared" si="11"/>
        <v>#DIV/0!</v>
      </c>
      <c r="AO66" s="17"/>
      <c r="AP66" s="17"/>
      <c r="AQ66" s="17"/>
      <c r="AR66" s="17"/>
      <c r="AS66" s="17"/>
      <c r="AT66" s="9" t="e">
        <f t="shared" si="12"/>
        <v>#DIV/0!</v>
      </c>
      <c r="AU66" s="208"/>
      <c r="AV66" s="209"/>
      <c r="AW66" s="9" t="str">
        <f t="shared" si="13"/>
        <v>0</v>
      </c>
      <c r="AX66" s="7" t="e">
        <f t="shared" si="1"/>
        <v>#DIV/0!</v>
      </c>
      <c r="AY66" s="18" t="e">
        <f t="shared" si="1"/>
        <v>#DIV/0!</v>
      </c>
      <c r="AZ66" s="232"/>
      <c r="BA66" s="4" t="e">
        <f t="shared" si="2"/>
        <v>#DIV/0!</v>
      </c>
      <c r="BB66" s="4" t="e">
        <f t="shared" si="14"/>
        <v>#DIV/0!</v>
      </c>
      <c r="BC66" s="4" t="e">
        <f t="shared" si="15"/>
        <v>#DIV/0!</v>
      </c>
      <c r="BD66" s="4">
        <f t="shared" si="16"/>
        <v>0</v>
      </c>
      <c r="BE66" s="12" t="e">
        <f t="shared" si="3"/>
        <v>#DIV/0!</v>
      </c>
      <c r="BF66" s="4" t="e">
        <f t="shared" si="17"/>
        <v>#DIV/0!</v>
      </c>
      <c r="BG66" s="4" t="e">
        <f t="shared" si="18"/>
        <v>#DIV/0!</v>
      </c>
      <c r="BH66" s="4" t="e">
        <f t="shared" si="19"/>
        <v>#DIV/0!</v>
      </c>
      <c r="BI66" s="4">
        <f t="shared" si="20"/>
        <v>0</v>
      </c>
      <c r="BJ66" s="12" t="e">
        <f t="shared" si="4"/>
        <v>#DIV/0!</v>
      </c>
      <c r="BK66" s="12" t="e">
        <f t="shared" si="5"/>
        <v>#DIV/0!</v>
      </c>
      <c r="BL66" s="12"/>
      <c r="BM66" s="10"/>
      <c r="BN66" s="176"/>
      <c r="BO66" s="12" t="e">
        <f t="shared" si="6"/>
        <v>#DIV/0!</v>
      </c>
      <c r="BP66" s="11"/>
      <c r="BQ66" s="6"/>
      <c r="BR66" s="6"/>
    </row>
    <row r="67" spans="1:70" ht="18.75" customHeight="1">
      <c r="A67" s="326">
        <v>28</v>
      </c>
      <c r="B67" s="328"/>
      <c r="C67" s="329"/>
      <c r="D67" s="225"/>
      <c r="E67" s="27">
        <v>1</v>
      </c>
      <c r="F67" s="17"/>
      <c r="G67" s="17"/>
      <c r="H67" s="17"/>
      <c r="I67" s="17"/>
      <c r="J67" s="17"/>
      <c r="K67" s="8" t="e">
        <f t="shared" si="7"/>
        <v>#DIV/0!</v>
      </c>
      <c r="L67" s="17"/>
      <c r="M67" s="17"/>
      <c r="N67" s="17"/>
      <c r="O67" s="17"/>
      <c r="P67" s="17"/>
      <c r="Q67" s="9" t="e">
        <f t="shared" si="23"/>
        <v>#DIV/0!</v>
      </c>
      <c r="R67" s="17"/>
      <c r="S67" s="17"/>
      <c r="T67" s="17"/>
      <c r="U67" s="17"/>
      <c r="V67" s="17"/>
      <c r="W67" s="9" t="e">
        <f t="shared" si="8"/>
        <v>#DIV/0!</v>
      </c>
      <c r="X67" s="233"/>
      <c r="Y67" s="234"/>
      <c r="Z67" s="9" t="str">
        <f t="shared" si="9"/>
        <v>0</v>
      </c>
      <c r="AA67" s="7" t="e">
        <f t="shared" si="0"/>
        <v>#DIV/0!</v>
      </c>
      <c r="AB67" s="365"/>
      <c r="AC67" s="17"/>
      <c r="AD67" s="17"/>
      <c r="AE67" s="17"/>
      <c r="AF67" s="17"/>
      <c r="AG67" s="17"/>
      <c r="AH67" s="9" t="e">
        <f t="shared" si="10"/>
        <v>#DIV/0!</v>
      </c>
      <c r="AI67" s="17"/>
      <c r="AJ67" s="17"/>
      <c r="AK67" s="17"/>
      <c r="AL67" s="17"/>
      <c r="AM67" s="17"/>
      <c r="AN67" s="9" t="e">
        <f t="shared" si="11"/>
        <v>#DIV/0!</v>
      </c>
      <c r="AO67" s="17"/>
      <c r="AP67" s="17"/>
      <c r="AQ67" s="17"/>
      <c r="AR67" s="17"/>
      <c r="AS67" s="17"/>
      <c r="AT67" s="9" t="e">
        <f t="shared" si="12"/>
        <v>#DIV/0!</v>
      </c>
      <c r="AU67" s="208"/>
      <c r="AV67" s="209"/>
      <c r="AW67" s="9" t="str">
        <f t="shared" si="13"/>
        <v>0</v>
      </c>
      <c r="AX67" s="7" t="e">
        <f t="shared" si="1"/>
        <v>#DIV/0!</v>
      </c>
      <c r="AY67" s="18" t="e">
        <f t="shared" si="1"/>
        <v>#DIV/0!</v>
      </c>
      <c r="AZ67" s="231" t="e">
        <f t="shared" ref="AZ67" si="60">IF(BP67&gt;=4.5, " 5 ", IF(BP67&gt;=3.5," 4 ",IF(BP67&gt;=2.5," 3  ",IF(BP67&gt;=1.5," 2 ",IF(BP67&gt;=1,"1 ",IF(BP67&gt;=0,"0"))))))</f>
        <v>#DIV/0!</v>
      </c>
      <c r="BA67" s="4" t="e">
        <f t="shared" si="2"/>
        <v>#DIV/0!</v>
      </c>
      <c r="BB67" s="4" t="e">
        <f t="shared" si="14"/>
        <v>#DIV/0!</v>
      </c>
      <c r="BC67" s="4" t="e">
        <f t="shared" si="15"/>
        <v>#DIV/0!</v>
      </c>
      <c r="BD67" s="4">
        <f t="shared" si="16"/>
        <v>0</v>
      </c>
      <c r="BE67" s="12" t="e">
        <f t="shared" si="3"/>
        <v>#DIV/0!</v>
      </c>
      <c r="BF67" s="4" t="e">
        <f t="shared" si="17"/>
        <v>#DIV/0!</v>
      </c>
      <c r="BG67" s="4" t="e">
        <f t="shared" si="18"/>
        <v>#DIV/0!</v>
      </c>
      <c r="BH67" s="4" t="e">
        <f t="shared" si="19"/>
        <v>#DIV/0!</v>
      </c>
      <c r="BI67" s="4">
        <f t="shared" si="20"/>
        <v>0</v>
      </c>
      <c r="BJ67" s="12" t="e">
        <f t="shared" si="4"/>
        <v>#DIV/0!</v>
      </c>
      <c r="BK67" s="12" t="e">
        <f t="shared" si="5"/>
        <v>#DIV/0!</v>
      </c>
      <c r="BL67" s="12" t="e">
        <f>(BE67+BJ67)/2</f>
        <v>#DIV/0!</v>
      </c>
      <c r="BM67" s="10" t="e">
        <f t="shared" si="21"/>
        <v>#DIV/0!</v>
      </c>
      <c r="BN67" s="176" t="e">
        <f t="shared" si="35"/>
        <v>#DIV/0!</v>
      </c>
      <c r="BO67" s="12" t="e">
        <f t="shared" si="6"/>
        <v>#DIV/0!</v>
      </c>
      <c r="BP67" s="11" t="e">
        <f t="shared" si="25"/>
        <v>#DIV/0!</v>
      </c>
      <c r="BQ67" s="6"/>
      <c r="BR67" s="6"/>
    </row>
    <row r="68" spans="1:70" ht="19.5" customHeight="1" thickBot="1">
      <c r="A68" s="327"/>
      <c r="B68" s="330"/>
      <c r="C68" s="331"/>
      <c r="D68" s="225"/>
      <c r="E68" s="28">
        <v>2</v>
      </c>
      <c r="F68" s="17"/>
      <c r="G68" s="17"/>
      <c r="H68" s="17"/>
      <c r="I68" s="17"/>
      <c r="J68" s="17"/>
      <c r="K68" s="8" t="e">
        <f t="shared" si="7"/>
        <v>#DIV/0!</v>
      </c>
      <c r="L68" s="17"/>
      <c r="M68" s="17"/>
      <c r="N68" s="17"/>
      <c r="O68" s="17"/>
      <c r="P68" s="17"/>
      <c r="Q68" s="9" t="e">
        <f t="shared" si="23"/>
        <v>#DIV/0!</v>
      </c>
      <c r="R68" s="17"/>
      <c r="S68" s="17"/>
      <c r="T68" s="17"/>
      <c r="U68" s="17"/>
      <c r="V68" s="17"/>
      <c r="W68" s="9" t="e">
        <f t="shared" si="8"/>
        <v>#DIV/0!</v>
      </c>
      <c r="X68" s="233"/>
      <c r="Y68" s="234"/>
      <c r="Z68" s="9" t="str">
        <f t="shared" si="9"/>
        <v>0</v>
      </c>
      <c r="AA68" s="7" t="e">
        <f t="shared" si="0"/>
        <v>#DIV/0!</v>
      </c>
      <c r="AB68" s="365"/>
      <c r="AC68" s="17"/>
      <c r="AD68" s="17"/>
      <c r="AE68" s="17"/>
      <c r="AF68" s="17"/>
      <c r="AG68" s="17"/>
      <c r="AH68" s="9" t="e">
        <f t="shared" si="10"/>
        <v>#DIV/0!</v>
      </c>
      <c r="AI68" s="17"/>
      <c r="AJ68" s="17"/>
      <c r="AK68" s="17"/>
      <c r="AL68" s="17"/>
      <c r="AM68" s="17"/>
      <c r="AN68" s="9" t="e">
        <f t="shared" si="11"/>
        <v>#DIV/0!</v>
      </c>
      <c r="AO68" s="17"/>
      <c r="AP68" s="17"/>
      <c r="AQ68" s="17"/>
      <c r="AR68" s="17"/>
      <c r="AS68" s="17"/>
      <c r="AT68" s="9" t="e">
        <f t="shared" si="12"/>
        <v>#DIV/0!</v>
      </c>
      <c r="AU68" s="208"/>
      <c r="AV68" s="209"/>
      <c r="AW68" s="9" t="str">
        <f t="shared" si="13"/>
        <v>0</v>
      </c>
      <c r="AX68" s="7" t="e">
        <f t="shared" si="1"/>
        <v>#DIV/0!</v>
      </c>
      <c r="AY68" s="18" t="e">
        <f t="shared" si="1"/>
        <v>#DIV/0!</v>
      </c>
      <c r="AZ68" s="232"/>
      <c r="BA68" s="4" t="e">
        <f t="shared" si="2"/>
        <v>#DIV/0!</v>
      </c>
      <c r="BB68" s="4" t="e">
        <f t="shared" si="14"/>
        <v>#DIV/0!</v>
      </c>
      <c r="BC68" s="4" t="e">
        <f t="shared" si="15"/>
        <v>#DIV/0!</v>
      </c>
      <c r="BD68" s="4">
        <f t="shared" si="16"/>
        <v>0</v>
      </c>
      <c r="BE68" s="12" t="e">
        <f t="shared" si="3"/>
        <v>#DIV/0!</v>
      </c>
      <c r="BF68" s="4" t="e">
        <f t="shared" si="17"/>
        <v>#DIV/0!</v>
      </c>
      <c r="BG68" s="4" t="e">
        <f t="shared" si="18"/>
        <v>#DIV/0!</v>
      </c>
      <c r="BH68" s="4" t="e">
        <f t="shared" si="19"/>
        <v>#DIV/0!</v>
      </c>
      <c r="BI68" s="4">
        <f t="shared" si="20"/>
        <v>0</v>
      </c>
      <c r="BJ68" s="12" t="e">
        <f t="shared" si="4"/>
        <v>#DIV/0!</v>
      </c>
      <c r="BK68" s="12" t="e">
        <f t="shared" si="5"/>
        <v>#DIV/0!</v>
      </c>
      <c r="BL68" s="12"/>
      <c r="BM68" s="10"/>
      <c r="BN68" s="176"/>
      <c r="BO68" s="12" t="e">
        <f t="shared" si="6"/>
        <v>#DIV/0!</v>
      </c>
      <c r="BP68" s="11"/>
      <c r="BQ68" s="6"/>
      <c r="BR68" s="6"/>
    </row>
    <row r="69" spans="1:70" ht="18.75" customHeight="1">
      <c r="A69" s="326">
        <v>29</v>
      </c>
      <c r="B69" s="328"/>
      <c r="C69" s="329"/>
      <c r="D69" s="225"/>
      <c r="E69" s="27">
        <v>1</v>
      </c>
      <c r="F69" s="17"/>
      <c r="G69" s="17"/>
      <c r="H69" s="17"/>
      <c r="I69" s="17"/>
      <c r="J69" s="17"/>
      <c r="K69" s="8" t="e">
        <f t="shared" si="7"/>
        <v>#DIV/0!</v>
      </c>
      <c r="L69" s="17"/>
      <c r="M69" s="17"/>
      <c r="N69" s="17"/>
      <c r="O69" s="17"/>
      <c r="P69" s="17"/>
      <c r="Q69" s="9" t="e">
        <f t="shared" si="23"/>
        <v>#DIV/0!</v>
      </c>
      <c r="R69" s="17"/>
      <c r="S69" s="17"/>
      <c r="T69" s="17"/>
      <c r="U69" s="17"/>
      <c r="V69" s="17"/>
      <c r="W69" s="9" t="e">
        <f t="shared" si="8"/>
        <v>#DIV/0!</v>
      </c>
      <c r="X69" s="233"/>
      <c r="Y69" s="234"/>
      <c r="Z69" s="9" t="str">
        <f t="shared" si="9"/>
        <v>0</v>
      </c>
      <c r="AA69" s="7" t="e">
        <f t="shared" si="0"/>
        <v>#DIV/0!</v>
      </c>
      <c r="AB69" s="365"/>
      <c r="AC69" s="17"/>
      <c r="AD69" s="17"/>
      <c r="AE69" s="17"/>
      <c r="AF69" s="17"/>
      <c r="AG69" s="17"/>
      <c r="AH69" s="9" t="e">
        <f t="shared" si="10"/>
        <v>#DIV/0!</v>
      </c>
      <c r="AI69" s="17"/>
      <c r="AJ69" s="17"/>
      <c r="AK69" s="17"/>
      <c r="AL69" s="17"/>
      <c r="AM69" s="17"/>
      <c r="AN69" s="9" t="e">
        <f t="shared" si="11"/>
        <v>#DIV/0!</v>
      </c>
      <c r="AO69" s="17"/>
      <c r="AP69" s="17"/>
      <c r="AQ69" s="17"/>
      <c r="AR69" s="17"/>
      <c r="AS69" s="17"/>
      <c r="AT69" s="9" t="e">
        <f t="shared" si="12"/>
        <v>#DIV/0!</v>
      </c>
      <c r="AU69" s="208"/>
      <c r="AV69" s="209"/>
      <c r="AW69" s="9" t="str">
        <f t="shared" si="13"/>
        <v>0</v>
      </c>
      <c r="AX69" s="7" t="e">
        <f t="shared" si="1"/>
        <v>#DIV/0!</v>
      </c>
      <c r="AY69" s="18" t="e">
        <f t="shared" si="1"/>
        <v>#DIV/0!</v>
      </c>
      <c r="AZ69" s="231" t="e">
        <f t="shared" ref="AZ69" si="61">IF(BP69&gt;=4.5, " 5 ", IF(BP69&gt;=3.5," 4 ",IF(BP69&gt;=2.5," 3  ",IF(BP69&gt;=1.5," 2 ",IF(BP69&gt;=1,"1 ",IF(BP69&gt;=0,"0"))))))</f>
        <v>#DIV/0!</v>
      </c>
      <c r="BA69" s="4" t="e">
        <f t="shared" si="2"/>
        <v>#DIV/0!</v>
      </c>
      <c r="BB69" s="4" t="e">
        <f t="shared" si="14"/>
        <v>#DIV/0!</v>
      </c>
      <c r="BC69" s="4" t="e">
        <f t="shared" si="15"/>
        <v>#DIV/0!</v>
      </c>
      <c r="BD69" s="4">
        <f t="shared" si="16"/>
        <v>0</v>
      </c>
      <c r="BE69" s="12" t="e">
        <f t="shared" si="3"/>
        <v>#DIV/0!</v>
      </c>
      <c r="BF69" s="4" t="e">
        <f t="shared" si="17"/>
        <v>#DIV/0!</v>
      </c>
      <c r="BG69" s="4" t="e">
        <f t="shared" si="18"/>
        <v>#DIV/0!</v>
      </c>
      <c r="BH69" s="4" t="e">
        <f t="shared" si="19"/>
        <v>#DIV/0!</v>
      </c>
      <c r="BI69" s="4">
        <f t="shared" si="20"/>
        <v>0</v>
      </c>
      <c r="BJ69" s="12" t="e">
        <f t="shared" si="4"/>
        <v>#DIV/0!</v>
      </c>
      <c r="BK69" s="12" t="e">
        <f t="shared" si="5"/>
        <v>#DIV/0!</v>
      </c>
      <c r="BL69" s="12" t="e">
        <f>(BE69+BJ69)/2</f>
        <v>#DIV/0!</v>
      </c>
      <c r="BM69" s="10" t="e">
        <f t="shared" si="21"/>
        <v>#DIV/0!</v>
      </c>
      <c r="BN69" s="176" t="e">
        <f t="shared" ref="BN69" si="62">ROUND(BO70,)</f>
        <v>#DIV/0!</v>
      </c>
      <c r="BO69" s="12" t="e">
        <f t="shared" si="6"/>
        <v>#DIV/0!</v>
      </c>
      <c r="BP69" s="11" t="e">
        <f t="shared" si="25"/>
        <v>#DIV/0!</v>
      </c>
      <c r="BQ69" s="6"/>
      <c r="BR69" s="6"/>
    </row>
    <row r="70" spans="1:70" ht="17.25" customHeight="1" thickBot="1">
      <c r="A70" s="327"/>
      <c r="B70" s="330"/>
      <c r="C70" s="331"/>
      <c r="D70" s="225"/>
      <c r="E70" s="29">
        <v>2</v>
      </c>
      <c r="F70" s="17"/>
      <c r="G70" s="17"/>
      <c r="H70" s="17"/>
      <c r="I70" s="17"/>
      <c r="J70" s="17"/>
      <c r="K70" s="8" t="e">
        <f t="shared" si="7"/>
        <v>#DIV/0!</v>
      </c>
      <c r="L70" s="17"/>
      <c r="M70" s="17"/>
      <c r="N70" s="17"/>
      <c r="O70" s="17"/>
      <c r="P70" s="17"/>
      <c r="Q70" s="9" t="e">
        <f t="shared" si="23"/>
        <v>#DIV/0!</v>
      </c>
      <c r="R70" s="17"/>
      <c r="S70" s="17"/>
      <c r="T70" s="17"/>
      <c r="U70" s="17"/>
      <c r="V70" s="17"/>
      <c r="W70" s="9" t="e">
        <f t="shared" si="8"/>
        <v>#DIV/0!</v>
      </c>
      <c r="X70" s="233"/>
      <c r="Y70" s="234"/>
      <c r="Z70" s="9" t="str">
        <f t="shared" si="9"/>
        <v>0</v>
      </c>
      <c r="AA70" s="7" t="e">
        <f t="shared" si="0"/>
        <v>#DIV/0!</v>
      </c>
      <c r="AB70" s="365"/>
      <c r="AC70" s="17"/>
      <c r="AD70" s="17"/>
      <c r="AE70" s="17"/>
      <c r="AF70" s="17"/>
      <c r="AG70" s="17"/>
      <c r="AH70" s="9" t="e">
        <f t="shared" si="10"/>
        <v>#DIV/0!</v>
      </c>
      <c r="AI70" s="17"/>
      <c r="AJ70" s="17"/>
      <c r="AK70" s="17"/>
      <c r="AL70" s="17"/>
      <c r="AM70" s="17"/>
      <c r="AN70" s="9" t="e">
        <f t="shared" si="11"/>
        <v>#DIV/0!</v>
      </c>
      <c r="AO70" s="17"/>
      <c r="AP70" s="17"/>
      <c r="AQ70" s="17"/>
      <c r="AR70" s="17"/>
      <c r="AS70" s="17"/>
      <c r="AT70" s="9" t="e">
        <f t="shared" si="12"/>
        <v>#DIV/0!</v>
      </c>
      <c r="AU70" s="208"/>
      <c r="AV70" s="209"/>
      <c r="AW70" s="9" t="str">
        <f t="shared" si="13"/>
        <v>0</v>
      </c>
      <c r="AX70" s="7" t="e">
        <f t="shared" si="1"/>
        <v>#DIV/0!</v>
      </c>
      <c r="AY70" s="18" t="e">
        <f t="shared" si="1"/>
        <v>#DIV/0!</v>
      </c>
      <c r="AZ70" s="232"/>
      <c r="BA70" s="4" t="e">
        <f t="shared" si="2"/>
        <v>#DIV/0!</v>
      </c>
      <c r="BB70" s="4" t="e">
        <f t="shared" si="14"/>
        <v>#DIV/0!</v>
      </c>
      <c r="BC70" s="4" t="e">
        <f t="shared" si="15"/>
        <v>#DIV/0!</v>
      </c>
      <c r="BD70" s="4">
        <f t="shared" si="16"/>
        <v>0</v>
      </c>
      <c r="BE70" s="12" t="e">
        <f t="shared" si="3"/>
        <v>#DIV/0!</v>
      </c>
      <c r="BF70" s="4" t="e">
        <f t="shared" si="17"/>
        <v>#DIV/0!</v>
      </c>
      <c r="BG70" s="4" t="e">
        <f t="shared" si="18"/>
        <v>#DIV/0!</v>
      </c>
      <c r="BH70" s="4" t="e">
        <f t="shared" si="19"/>
        <v>#DIV/0!</v>
      </c>
      <c r="BI70" s="4">
        <f t="shared" si="20"/>
        <v>0</v>
      </c>
      <c r="BJ70" s="12" t="e">
        <f t="shared" si="4"/>
        <v>#DIV/0!</v>
      </c>
      <c r="BK70" s="12" t="e">
        <f t="shared" si="5"/>
        <v>#DIV/0!</v>
      </c>
      <c r="BL70" s="12"/>
      <c r="BM70" s="10"/>
      <c r="BN70" s="176"/>
      <c r="BO70" s="12" t="e">
        <f t="shared" si="6"/>
        <v>#DIV/0!</v>
      </c>
      <c r="BP70" s="11"/>
      <c r="BQ70" s="6"/>
      <c r="BR70" s="6"/>
    </row>
    <row r="71" spans="1:70" ht="17.25" customHeight="1">
      <c r="A71" s="326">
        <v>30</v>
      </c>
      <c r="B71" s="328"/>
      <c r="C71" s="329"/>
      <c r="D71" s="225"/>
      <c r="E71" s="24">
        <v>1</v>
      </c>
      <c r="F71" s="17"/>
      <c r="G71" s="17"/>
      <c r="H71" s="17"/>
      <c r="I71" s="17"/>
      <c r="J71" s="17"/>
      <c r="K71" s="8" t="e">
        <f t="shared" si="7"/>
        <v>#DIV/0!</v>
      </c>
      <c r="L71" s="17"/>
      <c r="M71" s="17"/>
      <c r="N71" s="17"/>
      <c r="O71" s="17"/>
      <c r="P71" s="17"/>
      <c r="Q71" s="9" t="e">
        <f t="shared" si="23"/>
        <v>#DIV/0!</v>
      </c>
      <c r="R71" s="17"/>
      <c r="S71" s="17"/>
      <c r="T71" s="17"/>
      <c r="U71" s="17"/>
      <c r="V71" s="17"/>
      <c r="W71" s="9" t="e">
        <f t="shared" si="8"/>
        <v>#DIV/0!</v>
      </c>
      <c r="X71" s="233"/>
      <c r="Y71" s="234"/>
      <c r="Z71" s="9" t="str">
        <f t="shared" si="9"/>
        <v>0</v>
      </c>
      <c r="AA71" s="7" t="e">
        <f t="shared" si="0"/>
        <v>#DIV/0!</v>
      </c>
      <c r="AB71" s="365"/>
      <c r="AC71" s="17"/>
      <c r="AD71" s="17"/>
      <c r="AE71" s="17"/>
      <c r="AF71" s="17"/>
      <c r="AG71" s="17"/>
      <c r="AH71" s="9" t="e">
        <f t="shared" si="10"/>
        <v>#DIV/0!</v>
      </c>
      <c r="AI71" s="17"/>
      <c r="AJ71" s="17"/>
      <c r="AK71" s="17"/>
      <c r="AL71" s="17"/>
      <c r="AM71" s="17"/>
      <c r="AN71" s="9" t="e">
        <f t="shared" si="11"/>
        <v>#DIV/0!</v>
      </c>
      <c r="AO71" s="17"/>
      <c r="AP71" s="17"/>
      <c r="AQ71" s="17"/>
      <c r="AR71" s="17"/>
      <c r="AS71" s="17"/>
      <c r="AT71" s="9" t="e">
        <f t="shared" si="12"/>
        <v>#DIV/0!</v>
      </c>
      <c r="AU71" s="208"/>
      <c r="AV71" s="209"/>
      <c r="AW71" s="9" t="str">
        <f t="shared" si="13"/>
        <v>0</v>
      </c>
      <c r="AX71" s="7" t="e">
        <f t="shared" si="1"/>
        <v>#DIV/0!</v>
      </c>
      <c r="AY71" s="18" t="e">
        <f t="shared" si="1"/>
        <v>#DIV/0!</v>
      </c>
      <c r="AZ71" s="231" t="e">
        <f t="shared" ref="AZ71" si="63">IF(BP71&gt;=4.5, " 5 ", IF(BP71&gt;=3.5," 4 ",IF(BP71&gt;=2.5," 3  ",IF(BP71&gt;=1.5," 2 ",IF(BP71&gt;=1,"1 ",IF(BP71&gt;=0,"0"))))))</f>
        <v>#DIV/0!</v>
      </c>
      <c r="BA71" s="4" t="e">
        <f t="shared" si="2"/>
        <v>#DIV/0!</v>
      </c>
      <c r="BB71" s="4" t="e">
        <f t="shared" si="14"/>
        <v>#DIV/0!</v>
      </c>
      <c r="BC71" s="4" t="e">
        <f t="shared" si="15"/>
        <v>#DIV/0!</v>
      </c>
      <c r="BD71" s="4">
        <f t="shared" si="16"/>
        <v>0</v>
      </c>
      <c r="BE71" s="12" t="e">
        <f t="shared" si="3"/>
        <v>#DIV/0!</v>
      </c>
      <c r="BF71" s="4" t="e">
        <f t="shared" si="17"/>
        <v>#DIV/0!</v>
      </c>
      <c r="BG71" s="4" t="e">
        <f t="shared" si="18"/>
        <v>#DIV/0!</v>
      </c>
      <c r="BH71" s="4" t="e">
        <f t="shared" si="19"/>
        <v>#DIV/0!</v>
      </c>
      <c r="BI71" s="4">
        <f t="shared" si="20"/>
        <v>0</v>
      </c>
      <c r="BJ71" s="12" t="e">
        <f t="shared" si="4"/>
        <v>#DIV/0!</v>
      </c>
      <c r="BK71" s="12" t="e">
        <f t="shared" si="5"/>
        <v>#DIV/0!</v>
      </c>
      <c r="BL71" s="12" t="e">
        <f>(BE71+BJ71)/2</f>
        <v>#DIV/0!</v>
      </c>
      <c r="BM71" s="10" t="e">
        <f t="shared" si="21"/>
        <v>#DIV/0!</v>
      </c>
      <c r="BN71" s="176" t="e">
        <f t="shared" si="31"/>
        <v>#DIV/0!</v>
      </c>
      <c r="BO71" s="12" t="e">
        <f t="shared" si="6"/>
        <v>#DIV/0!</v>
      </c>
      <c r="BP71" s="11" t="e">
        <f t="shared" si="25"/>
        <v>#DIV/0!</v>
      </c>
      <c r="BQ71" s="6"/>
      <c r="BR71" s="6"/>
    </row>
    <row r="72" spans="1:70" ht="17.25" customHeight="1" thickBot="1">
      <c r="A72" s="327"/>
      <c r="B72" s="330"/>
      <c r="C72" s="331"/>
      <c r="D72" s="225"/>
      <c r="E72" s="25">
        <v>2</v>
      </c>
      <c r="F72" s="17"/>
      <c r="G72" s="17"/>
      <c r="H72" s="17"/>
      <c r="I72" s="17"/>
      <c r="J72" s="17"/>
      <c r="K72" s="8" t="e">
        <f t="shared" si="7"/>
        <v>#DIV/0!</v>
      </c>
      <c r="L72" s="17"/>
      <c r="M72" s="17"/>
      <c r="N72" s="17"/>
      <c r="O72" s="17"/>
      <c r="P72" s="17"/>
      <c r="Q72" s="9" t="e">
        <f t="shared" si="23"/>
        <v>#DIV/0!</v>
      </c>
      <c r="R72" s="17"/>
      <c r="S72" s="17"/>
      <c r="T72" s="17"/>
      <c r="U72" s="17"/>
      <c r="V72" s="17"/>
      <c r="W72" s="9" t="e">
        <f>AVERAGE(R72:V72)</f>
        <v>#DIV/0!</v>
      </c>
      <c r="X72" s="233"/>
      <c r="Y72" s="234"/>
      <c r="Z72" s="9" t="str">
        <f t="shared" si="9"/>
        <v>0</v>
      </c>
      <c r="AA72" s="7" t="e">
        <f t="shared" si="0"/>
        <v>#DIV/0!</v>
      </c>
      <c r="AB72" s="366"/>
      <c r="AC72" s="17"/>
      <c r="AD72" s="17"/>
      <c r="AE72" s="17"/>
      <c r="AF72" s="17"/>
      <c r="AG72" s="17"/>
      <c r="AH72" s="9" t="e">
        <f t="shared" si="10"/>
        <v>#DIV/0!</v>
      </c>
      <c r="AI72" s="17"/>
      <c r="AJ72" s="17"/>
      <c r="AK72" s="17"/>
      <c r="AL72" s="17"/>
      <c r="AM72" s="17"/>
      <c r="AN72" s="9" t="e">
        <f t="shared" si="11"/>
        <v>#DIV/0!</v>
      </c>
      <c r="AO72" s="17"/>
      <c r="AP72" s="17"/>
      <c r="AQ72" s="17"/>
      <c r="AR72" s="17"/>
      <c r="AS72" s="17"/>
      <c r="AT72" s="9" t="e">
        <f t="shared" si="12"/>
        <v>#DIV/0!</v>
      </c>
      <c r="AU72" s="208"/>
      <c r="AV72" s="209"/>
      <c r="AW72" s="9" t="str">
        <f t="shared" si="13"/>
        <v>0</v>
      </c>
      <c r="AX72" s="7" t="e">
        <f t="shared" si="1"/>
        <v>#DIV/0!</v>
      </c>
      <c r="AY72" s="18" t="e">
        <f t="shared" si="1"/>
        <v>#DIV/0!</v>
      </c>
      <c r="AZ72" s="232"/>
      <c r="BA72" s="4" t="e">
        <f t="shared" si="2"/>
        <v>#DIV/0!</v>
      </c>
      <c r="BB72" s="4" t="e">
        <f t="shared" si="14"/>
        <v>#DIV/0!</v>
      </c>
      <c r="BC72" s="4" t="e">
        <f t="shared" si="15"/>
        <v>#DIV/0!</v>
      </c>
      <c r="BD72" s="4">
        <f t="shared" si="16"/>
        <v>0</v>
      </c>
      <c r="BE72" s="12" t="e">
        <f t="shared" si="3"/>
        <v>#DIV/0!</v>
      </c>
      <c r="BF72" s="4" t="e">
        <f t="shared" si="17"/>
        <v>#DIV/0!</v>
      </c>
      <c r="BG72" s="4" t="e">
        <f t="shared" si="18"/>
        <v>#DIV/0!</v>
      </c>
      <c r="BH72" s="4" t="e">
        <f t="shared" si="19"/>
        <v>#DIV/0!</v>
      </c>
      <c r="BI72" s="4">
        <f t="shared" si="20"/>
        <v>0</v>
      </c>
      <c r="BJ72" s="12" t="e">
        <f t="shared" si="4"/>
        <v>#DIV/0!</v>
      </c>
      <c r="BK72" s="12" t="e">
        <f t="shared" si="5"/>
        <v>#DIV/0!</v>
      </c>
      <c r="BL72" s="12"/>
      <c r="BM72" s="10"/>
      <c r="BN72" s="176"/>
      <c r="BO72" s="12" t="e">
        <f t="shared" si="6"/>
        <v>#DIV/0!</v>
      </c>
      <c r="BP72" s="11"/>
      <c r="BQ72" s="6"/>
      <c r="BR72" s="6"/>
    </row>
  </sheetData>
  <sheetProtection sheet="1" selectLockedCells="1"/>
  <mergeCells count="414">
    <mergeCell ref="A69:A70"/>
    <mergeCell ref="B69:C70"/>
    <mergeCell ref="D69:D70"/>
    <mergeCell ref="X69:Y69"/>
    <mergeCell ref="AU69:AV69"/>
    <mergeCell ref="AZ69:AZ70"/>
    <mergeCell ref="BN69:BN70"/>
    <mergeCell ref="AZ71:AZ72"/>
    <mergeCell ref="BN71:BN72"/>
    <mergeCell ref="X72:Y72"/>
    <mergeCell ref="AU72:AV72"/>
    <mergeCell ref="X70:Y70"/>
    <mergeCell ref="AU70:AV70"/>
    <mergeCell ref="A71:A72"/>
    <mergeCell ref="B71:C72"/>
    <mergeCell ref="D71:D72"/>
    <mergeCell ref="X71:Y71"/>
    <mergeCell ref="AU71:AV71"/>
    <mergeCell ref="BN65:BN66"/>
    <mergeCell ref="X66:Y66"/>
    <mergeCell ref="AU66:AV66"/>
    <mergeCell ref="A67:A68"/>
    <mergeCell ref="B67:C68"/>
    <mergeCell ref="D67:D68"/>
    <mergeCell ref="X67:Y67"/>
    <mergeCell ref="AU67:AV67"/>
    <mergeCell ref="AZ67:AZ68"/>
    <mergeCell ref="BN67:BN68"/>
    <mergeCell ref="X68:Y68"/>
    <mergeCell ref="AU68:AV68"/>
    <mergeCell ref="A65:A66"/>
    <mergeCell ref="B65:C66"/>
    <mergeCell ref="D65:D66"/>
    <mergeCell ref="X65:Y65"/>
    <mergeCell ref="AU65:AV65"/>
    <mergeCell ref="AZ65:AZ66"/>
    <mergeCell ref="BN61:BN62"/>
    <mergeCell ref="X62:Y62"/>
    <mergeCell ref="AU62:AV62"/>
    <mergeCell ref="A63:A64"/>
    <mergeCell ref="B63:C64"/>
    <mergeCell ref="D63:D64"/>
    <mergeCell ref="X63:Y63"/>
    <mergeCell ref="AU63:AV63"/>
    <mergeCell ref="AZ63:AZ64"/>
    <mergeCell ref="BN63:BN64"/>
    <mergeCell ref="A61:A62"/>
    <mergeCell ref="B61:C62"/>
    <mergeCell ref="D61:D62"/>
    <mergeCell ref="X61:Y61"/>
    <mergeCell ref="AU61:AV61"/>
    <mergeCell ref="AZ61:AZ62"/>
    <mergeCell ref="X64:Y64"/>
    <mergeCell ref="AU64:AV64"/>
    <mergeCell ref="X58:Y58"/>
    <mergeCell ref="AU58:AV58"/>
    <mergeCell ref="A59:A60"/>
    <mergeCell ref="B59:C60"/>
    <mergeCell ref="D59:D60"/>
    <mergeCell ref="X59:Y59"/>
    <mergeCell ref="AU59:AV59"/>
    <mergeCell ref="BN55:BN56"/>
    <mergeCell ref="X56:Y56"/>
    <mergeCell ref="AU56:AV56"/>
    <mergeCell ref="A57:A58"/>
    <mergeCell ref="B57:C58"/>
    <mergeCell ref="D57:D58"/>
    <mergeCell ref="X57:Y57"/>
    <mergeCell ref="AU57:AV57"/>
    <mergeCell ref="AZ57:AZ58"/>
    <mergeCell ref="BN57:BN58"/>
    <mergeCell ref="AZ59:AZ60"/>
    <mergeCell ref="BN59:BN60"/>
    <mergeCell ref="X60:Y60"/>
    <mergeCell ref="AU60:AV60"/>
    <mergeCell ref="BN53:BN54"/>
    <mergeCell ref="X54:Y54"/>
    <mergeCell ref="AU54:AV54"/>
    <mergeCell ref="A55:A56"/>
    <mergeCell ref="B55:C56"/>
    <mergeCell ref="D55:D56"/>
    <mergeCell ref="X55:Y55"/>
    <mergeCell ref="AU55:AV55"/>
    <mergeCell ref="AZ55:AZ56"/>
    <mergeCell ref="A53:A54"/>
    <mergeCell ref="B53:C54"/>
    <mergeCell ref="D53:D54"/>
    <mergeCell ref="X53:Y53"/>
    <mergeCell ref="AU53:AV53"/>
    <mergeCell ref="AZ53:AZ54"/>
    <mergeCell ref="BN49:BN50"/>
    <mergeCell ref="X50:Y50"/>
    <mergeCell ref="AU50:AV50"/>
    <mergeCell ref="A51:A52"/>
    <mergeCell ref="B51:C52"/>
    <mergeCell ref="D51:D52"/>
    <mergeCell ref="X51:Y51"/>
    <mergeCell ref="AU51:AV51"/>
    <mergeCell ref="AZ51:AZ52"/>
    <mergeCell ref="BN51:BN52"/>
    <mergeCell ref="A49:A50"/>
    <mergeCell ref="B49:C50"/>
    <mergeCell ref="D49:D50"/>
    <mergeCell ref="X49:Y49"/>
    <mergeCell ref="AU49:AV49"/>
    <mergeCell ref="AZ49:AZ50"/>
    <mergeCell ref="X52:Y52"/>
    <mergeCell ref="AU52:AV52"/>
    <mergeCell ref="X46:Y46"/>
    <mergeCell ref="AU46:AV46"/>
    <mergeCell ref="A47:A48"/>
    <mergeCell ref="B47:C48"/>
    <mergeCell ref="D47:D48"/>
    <mergeCell ref="X47:Y47"/>
    <mergeCell ref="AU47:AV47"/>
    <mergeCell ref="BN43:BN44"/>
    <mergeCell ref="X44:Y44"/>
    <mergeCell ref="AU44:AV44"/>
    <mergeCell ref="A45:A46"/>
    <mergeCell ref="B45:C46"/>
    <mergeCell ref="D45:D46"/>
    <mergeCell ref="X45:Y45"/>
    <mergeCell ref="AU45:AV45"/>
    <mergeCell ref="AZ45:AZ46"/>
    <mergeCell ref="BN45:BN46"/>
    <mergeCell ref="AZ47:AZ48"/>
    <mergeCell ref="BN47:BN48"/>
    <mergeCell ref="X48:Y48"/>
    <mergeCell ref="AU48:AV48"/>
    <mergeCell ref="BN41:BN42"/>
    <mergeCell ref="X42:Y42"/>
    <mergeCell ref="AU42:AV42"/>
    <mergeCell ref="A43:A44"/>
    <mergeCell ref="B43:C44"/>
    <mergeCell ref="D43:D44"/>
    <mergeCell ref="X43:Y43"/>
    <mergeCell ref="AU43:AV43"/>
    <mergeCell ref="AZ43:AZ44"/>
    <mergeCell ref="A41:A42"/>
    <mergeCell ref="B41:C42"/>
    <mergeCell ref="D41:D42"/>
    <mergeCell ref="X41:Y41"/>
    <mergeCell ref="AU41:AV41"/>
    <mergeCell ref="AZ41:AZ42"/>
    <mergeCell ref="BN37:BN38"/>
    <mergeCell ref="X38:Y38"/>
    <mergeCell ref="AU38:AV38"/>
    <mergeCell ref="A39:A40"/>
    <mergeCell ref="B39:C40"/>
    <mergeCell ref="D39:D40"/>
    <mergeCell ref="X39:Y39"/>
    <mergeCell ref="AU39:AV39"/>
    <mergeCell ref="AZ39:AZ40"/>
    <mergeCell ref="BN39:BN40"/>
    <mergeCell ref="A37:A38"/>
    <mergeCell ref="B37:C38"/>
    <mergeCell ref="D37:D38"/>
    <mergeCell ref="X37:Y37"/>
    <mergeCell ref="AU37:AV37"/>
    <mergeCell ref="AZ37:AZ38"/>
    <mergeCell ref="X40:Y40"/>
    <mergeCell ref="AU40:AV40"/>
    <mergeCell ref="X34:Y34"/>
    <mergeCell ref="AU34:AV34"/>
    <mergeCell ref="A35:A36"/>
    <mergeCell ref="B35:C36"/>
    <mergeCell ref="D35:D36"/>
    <mergeCell ref="X35:Y35"/>
    <mergeCell ref="AU35:AV35"/>
    <mergeCell ref="BN31:BN32"/>
    <mergeCell ref="X32:Y32"/>
    <mergeCell ref="AU32:AV32"/>
    <mergeCell ref="A33:A34"/>
    <mergeCell ref="B33:C34"/>
    <mergeCell ref="D33:D34"/>
    <mergeCell ref="X33:Y33"/>
    <mergeCell ref="AU33:AV33"/>
    <mergeCell ref="AZ33:AZ34"/>
    <mergeCell ref="BN33:BN34"/>
    <mergeCell ref="AZ35:AZ36"/>
    <mergeCell ref="BN35:BN36"/>
    <mergeCell ref="X36:Y36"/>
    <mergeCell ref="AU36:AV36"/>
    <mergeCell ref="BN29:BN30"/>
    <mergeCell ref="X30:Y30"/>
    <mergeCell ref="AU30:AV30"/>
    <mergeCell ref="A31:A32"/>
    <mergeCell ref="B31:C32"/>
    <mergeCell ref="D31:D32"/>
    <mergeCell ref="X31:Y31"/>
    <mergeCell ref="AU31:AV31"/>
    <mergeCell ref="AZ31:AZ32"/>
    <mergeCell ref="A29:A30"/>
    <mergeCell ref="B29:C30"/>
    <mergeCell ref="D29:D30"/>
    <mergeCell ref="X29:Y29"/>
    <mergeCell ref="AU29:AV29"/>
    <mergeCell ref="AZ29:AZ30"/>
    <mergeCell ref="BN25:BN26"/>
    <mergeCell ref="X26:Y26"/>
    <mergeCell ref="AU26:AV26"/>
    <mergeCell ref="A27:A28"/>
    <mergeCell ref="B27:C28"/>
    <mergeCell ref="D27:D28"/>
    <mergeCell ref="X27:Y27"/>
    <mergeCell ref="AU27:AV27"/>
    <mergeCell ref="AZ27:AZ28"/>
    <mergeCell ref="BN27:BN28"/>
    <mergeCell ref="A25:A26"/>
    <mergeCell ref="B25:C26"/>
    <mergeCell ref="D25:D26"/>
    <mergeCell ref="X25:Y25"/>
    <mergeCell ref="AU25:AV25"/>
    <mergeCell ref="AZ25:AZ26"/>
    <mergeCell ref="X28:Y28"/>
    <mergeCell ref="AU28:AV28"/>
    <mergeCell ref="X22:Y22"/>
    <mergeCell ref="AU22:AV22"/>
    <mergeCell ref="A23:A24"/>
    <mergeCell ref="B23:C24"/>
    <mergeCell ref="D23:D24"/>
    <mergeCell ref="X23:Y23"/>
    <mergeCell ref="AU23:AV23"/>
    <mergeCell ref="BN19:BN20"/>
    <mergeCell ref="X20:Y20"/>
    <mergeCell ref="AU20:AV20"/>
    <mergeCell ref="A21:A22"/>
    <mergeCell ref="B21:C22"/>
    <mergeCell ref="D21:D22"/>
    <mergeCell ref="X21:Y21"/>
    <mergeCell ref="AU21:AV21"/>
    <mergeCell ref="AZ21:AZ22"/>
    <mergeCell ref="BN21:BN22"/>
    <mergeCell ref="AZ23:AZ24"/>
    <mergeCell ref="BN23:BN24"/>
    <mergeCell ref="X24:Y24"/>
    <mergeCell ref="AU24:AV24"/>
    <mergeCell ref="BN17:BN18"/>
    <mergeCell ref="X18:Y18"/>
    <mergeCell ref="AU18:AV18"/>
    <mergeCell ref="A19:A20"/>
    <mergeCell ref="B19:C20"/>
    <mergeCell ref="D19:D20"/>
    <mergeCell ref="X19:Y19"/>
    <mergeCell ref="AU19:AV19"/>
    <mergeCell ref="AZ19:AZ20"/>
    <mergeCell ref="X16:Y16"/>
    <mergeCell ref="AU16:AV16"/>
    <mergeCell ref="A17:A18"/>
    <mergeCell ref="B17:C18"/>
    <mergeCell ref="D17:D18"/>
    <mergeCell ref="X17:Y17"/>
    <mergeCell ref="AU17:AV17"/>
    <mergeCell ref="BN13:BN14"/>
    <mergeCell ref="X14:Y14"/>
    <mergeCell ref="AU14:AV14"/>
    <mergeCell ref="A15:A16"/>
    <mergeCell ref="B15:C16"/>
    <mergeCell ref="D15:D16"/>
    <mergeCell ref="X15:Y15"/>
    <mergeCell ref="AU15:AV15"/>
    <mergeCell ref="AZ15:AZ16"/>
    <mergeCell ref="BN15:BN16"/>
    <mergeCell ref="A13:A14"/>
    <mergeCell ref="B13:C14"/>
    <mergeCell ref="D13:D14"/>
    <mergeCell ref="X13:Y13"/>
    <mergeCell ref="AU13:AV13"/>
    <mergeCell ref="AZ13:AZ14"/>
    <mergeCell ref="AZ17:AZ18"/>
    <mergeCell ref="AT9:AT12"/>
    <mergeCell ref="AU9:AV11"/>
    <mergeCell ref="AW9:AW12"/>
    <mergeCell ref="AX9:AX11"/>
    <mergeCell ref="AY9:AY12"/>
    <mergeCell ref="AZ9:AZ12"/>
    <mergeCell ref="AU12:AV12"/>
    <mergeCell ref="AB9:AB72"/>
    <mergeCell ref="AC9:AG11"/>
    <mergeCell ref="AH9:AH12"/>
    <mergeCell ref="AI9:AM11"/>
    <mergeCell ref="AN9:AN12"/>
    <mergeCell ref="AO9:AS11"/>
    <mergeCell ref="AC12:AG12"/>
    <mergeCell ref="AI12:AM12"/>
    <mergeCell ref="AO12:AS12"/>
    <mergeCell ref="Q9:Q12"/>
    <mergeCell ref="R9:V11"/>
    <mergeCell ref="W9:W12"/>
    <mergeCell ref="X9:Y11"/>
    <mergeCell ref="Z9:Z12"/>
    <mergeCell ref="AA9:AA11"/>
    <mergeCell ref="R12:V12"/>
    <mergeCell ref="X12:Y12"/>
    <mergeCell ref="A9:C10"/>
    <mergeCell ref="D9:D12"/>
    <mergeCell ref="E9:E12"/>
    <mergeCell ref="F9:J11"/>
    <mergeCell ref="K9:K12"/>
    <mergeCell ref="L9:P11"/>
    <mergeCell ref="A11:A12"/>
    <mergeCell ref="B11:C12"/>
    <mergeCell ref="F12:J12"/>
    <mergeCell ref="L12:P12"/>
    <mergeCell ref="A8:C8"/>
    <mergeCell ref="D8:R8"/>
    <mergeCell ref="S8:AC8"/>
    <mergeCell ref="AD8:AF8"/>
    <mergeCell ref="AG8:AN8"/>
    <mergeCell ref="AO8:AQ8"/>
    <mergeCell ref="AM7:AN7"/>
    <mergeCell ref="AO7:AQ7"/>
    <mergeCell ref="AR7:AS7"/>
    <mergeCell ref="A6:C7"/>
    <mergeCell ref="D6:R7"/>
    <mergeCell ref="AT7:AU7"/>
    <mergeCell ref="AW7:AX7"/>
    <mergeCell ref="AY7:AZ7"/>
    <mergeCell ref="AT6:AU6"/>
    <mergeCell ref="AW6:AX6"/>
    <mergeCell ref="AY6:AZ6"/>
    <mergeCell ref="S7:W7"/>
    <mergeCell ref="X7:Y7"/>
    <mergeCell ref="Z7:AA7"/>
    <mergeCell ref="AD7:AF7"/>
    <mergeCell ref="AG7:AH7"/>
    <mergeCell ref="AI7:AJ7"/>
    <mergeCell ref="AK7:AL7"/>
    <mergeCell ref="AG6:AH6"/>
    <mergeCell ref="AI6:AJ6"/>
    <mergeCell ref="AK6:AL6"/>
    <mergeCell ref="AM6:AN6"/>
    <mergeCell ref="AO6:AQ6"/>
    <mergeCell ref="AR6:AS6"/>
    <mergeCell ref="S6:W6"/>
    <mergeCell ref="X6:Y6"/>
    <mergeCell ref="Z6:AA6"/>
    <mergeCell ref="AD6:AF6"/>
    <mergeCell ref="AT5:AU5"/>
    <mergeCell ref="AW5:AX5"/>
    <mergeCell ref="AT4:AU4"/>
    <mergeCell ref="AW4:AX4"/>
    <mergeCell ref="AY4:AZ4"/>
    <mergeCell ref="AK4:AL4"/>
    <mergeCell ref="AM4:AN4"/>
    <mergeCell ref="AO4:AQ4"/>
    <mergeCell ref="AR4:AS4"/>
    <mergeCell ref="A4:C5"/>
    <mergeCell ref="D4:R4"/>
    <mergeCell ref="S4:W4"/>
    <mergeCell ref="X4:Y4"/>
    <mergeCell ref="Z4:AA4"/>
    <mergeCell ref="AD4:AF4"/>
    <mergeCell ref="AK3:AL3"/>
    <mergeCell ref="AM3:AN3"/>
    <mergeCell ref="AO3:AQ3"/>
    <mergeCell ref="A1:A3"/>
    <mergeCell ref="B1:R1"/>
    <mergeCell ref="S1:X1"/>
    <mergeCell ref="Y1:AF1"/>
    <mergeCell ref="AG1:AQ1"/>
    <mergeCell ref="D5:R5"/>
    <mergeCell ref="S5:W5"/>
    <mergeCell ref="X5:Y5"/>
    <mergeCell ref="Z5:AA5"/>
    <mergeCell ref="AD5:AF5"/>
    <mergeCell ref="AG5:AH5"/>
    <mergeCell ref="AI5:AJ5"/>
    <mergeCell ref="AG4:AH4"/>
    <mergeCell ref="AI4:AJ4"/>
    <mergeCell ref="AK5:AL5"/>
    <mergeCell ref="BM2:BM12"/>
    <mergeCell ref="BN2:BN12"/>
    <mergeCell ref="BO2:BO12"/>
    <mergeCell ref="BP2:BP12"/>
    <mergeCell ref="S3:W3"/>
    <mergeCell ref="X3:Y3"/>
    <mergeCell ref="Z3:AA3"/>
    <mergeCell ref="AD3:AF3"/>
    <mergeCell ref="AG3:AH3"/>
    <mergeCell ref="AI3:AJ3"/>
    <mergeCell ref="AW2:AX2"/>
    <mergeCell ref="AY2:AZ2"/>
    <mergeCell ref="BE2:BE12"/>
    <mergeCell ref="BJ2:BJ12"/>
    <mergeCell ref="BK2:BK12"/>
    <mergeCell ref="BL2:BL12"/>
    <mergeCell ref="AY3:AZ3"/>
    <mergeCell ref="AY5:AZ5"/>
    <mergeCell ref="AR8:AX8"/>
    <mergeCell ref="AY8:AZ8"/>
    <mergeCell ref="AI2:AJ2"/>
    <mergeCell ref="AM5:AN5"/>
    <mergeCell ref="AO5:AQ5"/>
    <mergeCell ref="AR5:AS5"/>
    <mergeCell ref="AR1:AZ1"/>
    <mergeCell ref="B2:C3"/>
    <mergeCell ref="D2:H3"/>
    <mergeCell ref="I2:L3"/>
    <mergeCell ref="M2:O3"/>
    <mergeCell ref="AK2:AL2"/>
    <mergeCell ref="AM2:AN2"/>
    <mergeCell ref="AO2:AQ2"/>
    <mergeCell ref="AR2:AS2"/>
    <mergeCell ref="AT2:AU2"/>
    <mergeCell ref="P2:R3"/>
    <mergeCell ref="S2:W2"/>
    <mergeCell ref="X2:Y2"/>
    <mergeCell ref="Z2:AA2"/>
    <mergeCell ref="AD2:AF2"/>
    <mergeCell ref="AG2:AH2"/>
    <mergeCell ref="AR3:AS3"/>
    <mergeCell ref="AT3:AU3"/>
    <mergeCell ref="AW3:AX3"/>
  </mergeCells>
  <pageMargins left="0.21030092592592592" right="4.5717592592592594E-2" top="0.37037037037037035" bottom="0.25" header="7.9166666666666673E-3" footer="0"/>
  <pageSetup scale="80" fitToWidth="0" fitToHeight="0" orientation="landscape" r:id="rId1"/>
  <headerFooter>
    <oddHeader>&amp;L                                                                                                                         &amp;18     DITARI PERSONAL I MËSIMDHËNËSIT-ES</oddHeader>
  </headerFooter>
  <rowBreaks count="1" manualBreakCount="1">
    <brk id="36" max="5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D3E5-E8F5-41F0-9E9A-54CDC579ACCA}">
  <sheetPr>
    <tabColor theme="4" tint="-0.249977111117893"/>
  </sheetPr>
  <dimension ref="A1:AJ71"/>
  <sheetViews>
    <sheetView view="pageLayout" zoomScale="60" zoomScaleNormal="100" zoomScaleSheetLayoutView="90" zoomScalePageLayoutView="60" workbookViewId="0">
      <selection activeCell="H45" sqref="H45"/>
    </sheetView>
  </sheetViews>
  <sheetFormatPr defaultColWidth="6.6640625" defaultRowHeight="23.25" customHeight="1"/>
  <cols>
    <col min="1" max="1" width="2.1640625" style="43" customWidth="1"/>
    <col min="2" max="3" width="7" style="43" bestFit="1" customWidth="1"/>
    <col min="4" max="4" width="8" style="43" customWidth="1"/>
    <col min="5" max="5" width="7" style="43" customWidth="1"/>
    <col min="6" max="6" width="10.83203125" style="43" customWidth="1"/>
    <col min="7" max="7" width="6" style="43" customWidth="1"/>
    <col min="8" max="8" width="18.6640625" style="43" customWidth="1"/>
    <col min="9" max="9" width="3.6640625" style="43" customWidth="1"/>
    <col min="10" max="10" width="13" style="43" customWidth="1"/>
    <col min="11" max="11" width="7.6640625" style="43" customWidth="1"/>
    <col min="12" max="12" width="6.83203125" style="43" customWidth="1"/>
    <col min="13" max="13" width="7.83203125" style="43" customWidth="1"/>
    <col min="14" max="14" width="5.83203125" style="43" customWidth="1"/>
    <col min="15" max="15" width="9" style="43" customWidth="1"/>
    <col min="16" max="16" width="10.83203125" style="43" customWidth="1"/>
    <col min="17" max="17" width="3.6640625" style="43" customWidth="1"/>
    <col min="18" max="18" width="14.6640625" style="43" customWidth="1"/>
    <col min="19" max="19" width="12.83203125" style="43" customWidth="1"/>
    <col min="20" max="20" width="12.33203125" style="43" customWidth="1"/>
    <col min="21" max="22" width="13.1640625" style="43" customWidth="1"/>
    <col min="23" max="23" width="6.6640625" style="43" customWidth="1"/>
    <col min="24" max="24" width="6.5" style="43" customWidth="1"/>
    <col min="25" max="25" width="7.1640625" style="43" customWidth="1"/>
    <col min="26" max="26" width="6.6640625" style="43"/>
    <col min="27" max="28" width="12" style="43" customWidth="1"/>
    <col min="29" max="29" width="4.6640625" style="43" customWidth="1"/>
    <col min="30" max="30" width="13.5" style="43" customWidth="1"/>
    <col min="31" max="31" width="17" style="43" customWidth="1"/>
    <col min="32" max="34" width="12" style="43" customWidth="1"/>
    <col min="35" max="35" width="14.1640625" style="43" customWidth="1"/>
    <col min="36" max="36" width="12.1640625" style="43" customWidth="1"/>
    <col min="37" max="37" width="10.83203125" style="43" customWidth="1"/>
    <col min="38" max="16384" width="6.6640625" style="43"/>
  </cols>
  <sheetData>
    <row r="1" spans="1:36" s="42" customFormat="1" ht="39.75" customHeight="1">
      <c r="B1" s="387" t="s">
        <v>109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2" t="str">
        <f>IF($F$45=1,F44,F44&amp;"-"&amp;F44+1)</f>
        <v>2023-2024</v>
      </c>
      <c r="Q1" s="382"/>
      <c r="R1" s="382"/>
      <c r="S1" s="382"/>
      <c r="T1" s="382"/>
      <c r="U1" s="382"/>
      <c r="V1" s="382"/>
      <c r="W1" s="382"/>
      <c r="X1" s="382"/>
      <c r="Y1" s="41"/>
    </row>
    <row r="2" spans="1:36" s="54" customFormat="1" ht="23.25" customHeight="1">
      <c r="A2" s="430" t="s">
        <v>67</v>
      </c>
      <c r="B2" s="74"/>
      <c r="C2" s="75"/>
      <c r="D2" s="75"/>
      <c r="E2" s="75"/>
      <c r="F2" s="76"/>
      <c r="G2" s="75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</row>
    <row r="3" spans="1:36" s="54" customFormat="1" ht="32.25" customHeight="1">
      <c r="A3" s="430"/>
      <c r="B3" s="78"/>
      <c r="C3" s="75"/>
      <c r="D3" s="75"/>
      <c r="E3" s="75"/>
      <c r="F3" s="75"/>
      <c r="G3" s="78"/>
      <c r="H3" s="79"/>
      <c r="I3" s="77"/>
      <c r="J3" s="77"/>
      <c r="K3" s="77"/>
      <c r="L3" s="79"/>
      <c r="M3" s="77"/>
      <c r="N3" s="77"/>
      <c r="O3" s="77"/>
      <c r="P3" s="77"/>
      <c r="Q3" s="77"/>
      <c r="R3" s="77"/>
      <c r="S3" s="79"/>
      <c r="T3" s="79"/>
      <c r="U3" s="79"/>
      <c r="V3" s="79"/>
      <c r="W3" s="79"/>
      <c r="X3" s="80"/>
      <c r="Y3" s="55"/>
      <c r="Z3" s="56"/>
    </row>
    <row r="4" spans="1:36" s="54" customFormat="1" ht="34.5" customHeight="1">
      <c r="A4" s="430"/>
      <c r="B4" s="75"/>
      <c r="C4" s="81"/>
      <c r="D4" s="75"/>
      <c r="E4" s="82"/>
      <c r="F4" s="82"/>
      <c r="G4" s="75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57"/>
      <c r="Z4" s="58"/>
    </row>
    <row r="5" spans="1:36" s="54" customFormat="1" ht="23.25" customHeight="1">
      <c r="A5" s="430"/>
      <c r="B5" s="75"/>
      <c r="C5" s="75"/>
      <c r="D5" s="75"/>
      <c r="E5" s="75"/>
      <c r="F5" s="83"/>
      <c r="G5" s="84"/>
      <c r="H5" s="79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</row>
    <row r="6" spans="1:36" s="54" customFormat="1" ht="23.25" customHeight="1">
      <c r="A6" s="430"/>
      <c r="B6" s="85"/>
      <c r="C6" s="85"/>
      <c r="D6" s="85"/>
      <c r="E6" s="85"/>
      <c r="F6" s="85"/>
      <c r="G6" s="85"/>
      <c r="H6" s="86"/>
      <c r="I6" s="87"/>
      <c r="J6" s="87"/>
      <c r="K6" s="87"/>
      <c r="L6" s="87"/>
      <c r="M6" s="77"/>
      <c r="N6" s="77"/>
      <c r="O6" s="77"/>
      <c r="P6" s="77"/>
      <c r="Q6" s="77"/>
      <c r="R6" s="77"/>
      <c r="S6" s="88"/>
      <c r="T6" s="88"/>
      <c r="U6" s="88"/>
      <c r="V6" s="88"/>
      <c r="W6" s="88"/>
      <c r="X6" s="88"/>
      <c r="Y6" s="58"/>
    </row>
    <row r="7" spans="1:36" s="54" customFormat="1" ht="23.25" customHeight="1">
      <c r="A7" s="430"/>
      <c r="B7" s="75"/>
      <c r="C7" s="75"/>
      <c r="D7" s="89"/>
      <c r="E7" s="89"/>
      <c r="F7" s="89"/>
      <c r="G7" s="89"/>
      <c r="H7" s="90"/>
      <c r="I7" s="91"/>
      <c r="J7" s="92"/>
      <c r="K7" s="92"/>
      <c r="L7" s="92"/>
      <c r="M7" s="92"/>
      <c r="N7" s="92"/>
      <c r="O7" s="92"/>
      <c r="P7" s="92"/>
      <c r="Q7" s="91"/>
      <c r="R7" s="91"/>
      <c r="S7" s="91"/>
      <c r="T7" s="91"/>
      <c r="U7" s="91"/>
      <c r="V7" s="91"/>
      <c r="W7" s="91"/>
      <c r="X7" s="91"/>
      <c r="Y7" s="59"/>
    </row>
    <row r="8" spans="1:36" s="54" customFormat="1" ht="66.75" customHeight="1">
      <c r="B8" s="93"/>
      <c r="C8" s="93"/>
      <c r="D8" s="93"/>
      <c r="E8" s="93"/>
      <c r="F8" s="93"/>
      <c r="G8" s="93"/>
      <c r="H8" s="93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60"/>
    </row>
    <row r="9" spans="1:36" s="45" customFormat="1" ht="29.25" customHeight="1">
      <c r="B9" s="433">
        <f>DATE(F44,F45,1)</f>
        <v>45170</v>
      </c>
      <c r="C9" s="433"/>
      <c r="D9" s="433"/>
      <c r="E9" s="433"/>
      <c r="F9" s="433"/>
      <c r="G9" s="433"/>
      <c r="H9" s="433"/>
      <c r="J9" s="433">
        <f>DATE(YEAR(B9+42),MONTH(B9+42),1)</f>
        <v>45200</v>
      </c>
      <c r="K9" s="433"/>
      <c r="L9" s="433"/>
      <c r="M9" s="433"/>
      <c r="N9" s="433"/>
      <c r="O9" s="433"/>
      <c r="P9" s="433"/>
      <c r="R9" s="433">
        <f>DATE(YEAR(J9+42),MONTH(J9+42),1)</f>
        <v>45231</v>
      </c>
      <c r="S9" s="433"/>
      <c r="T9" s="433"/>
      <c r="U9" s="433"/>
      <c r="V9" s="433"/>
      <c r="W9" s="433"/>
      <c r="X9" s="433"/>
    </row>
    <row r="10" spans="1:36" s="48" customFormat="1" ht="23.25" customHeight="1">
      <c r="A10" s="66"/>
      <c r="B10" s="46" t="str">
        <f>CHOOSE(1+MOD($F$46+1-2,7),"D","H","M","Mër","E","P","SH")</f>
        <v>H</v>
      </c>
      <c r="C10" s="46" t="str">
        <f>CHOOSE(1+MOD($F$46+2-2,7),"D","H","M","Mër","E","P","SH")</f>
        <v>M</v>
      </c>
      <c r="D10" s="46" t="str">
        <f>CHOOSE(1+MOD($F$46+3-2,7),"D","H","M","Mër","E","P","SH")</f>
        <v>Mër</v>
      </c>
      <c r="E10" s="46" t="str">
        <f>CHOOSE(1+MOD($F$46+4-2,7),"D","H","M","Mër","E","P","SH")</f>
        <v>E</v>
      </c>
      <c r="F10" s="46" t="str">
        <f>CHOOSE(1+MOD($F$46+5-2,7),"D","H","M","Mër","E","P","SH")</f>
        <v>P</v>
      </c>
      <c r="G10" s="46" t="str">
        <f>CHOOSE(1+MOD($F$46+6-2,7),"D","H","M","Mër","E","P","SH")</f>
        <v>SH</v>
      </c>
      <c r="H10" s="46" t="str">
        <f>CHOOSE(1+MOD($F$46+7-2,7),"D","H","M","Mër","E","P","SH")</f>
        <v>D</v>
      </c>
      <c r="I10" s="44"/>
      <c r="J10" s="46" t="str">
        <f>CHOOSE(1+MOD($F$46+1-2,7),"D","H","M","Mër","E","P","SH")</f>
        <v>H</v>
      </c>
      <c r="K10" s="46" t="str">
        <f>CHOOSE(1+MOD($F$46+2-2,7),"D","H","M","Mër","E","P","SH")</f>
        <v>M</v>
      </c>
      <c r="L10" s="46" t="str">
        <f>CHOOSE(1+MOD($F$46+3-2,7),"D","H","M","Mër","E","P","SH")</f>
        <v>Mër</v>
      </c>
      <c r="M10" s="46" t="str">
        <f>CHOOSE(1+MOD($F$46+4-2,7),"D","H","M","Mër","E","P","SH")</f>
        <v>E</v>
      </c>
      <c r="N10" s="46" t="str">
        <f>CHOOSE(1+MOD($F$46+5-2,7),"D","H","M","Mër","E","P","SH")</f>
        <v>P</v>
      </c>
      <c r="O10" s="46" t="str">
        <f>CHOOSE(1+MOD($F$46+6-2,7),"D","H","M","Mër","E","P","SH")</f>
        <v>SH</v>
      </c>
      <c r="P10" s="46" t="str">
        <f>CHOOSE(1+MOD($F$46+7-2,7),"D","H","M","Mër","E","P","SH")</f>
        <v>D</v>
      </c>
      <c r="Q10" s="44"/>
      <c r="R10" s="46" t="str">
        <f>CHOOSE(1+MOD($F$46+1-2,7),"D","H","M","Mër","E","P","SH")</f>
        <v>H</v>
      </c>
      <c r="S10" s="46" t="str">
        <f>CHOOSE(1+MOD($F$46+2-2,7),"D","H","M","Mër","E","P","SH")</f>
        <v>M</v>
      </c>
      <c r="T10" s="46" t="str">
        <f>CHOOSE(1+MOD($F$46+3-2,7),"D","H","M","Mër","E","P","SH")</f>
        <v>Mër</v>
      </c>
      <c r="U10" s="46" t="str">
        <f>CHOOSE(1+MOD($F$46+4-2,7),"D","H","M","Mër","E","P","SH")</f>
        <v>E</v>
      </c>
      <c r="V10" s="46" t="str">
        <f>CHOOSE(1+MOD($F$46+5-2,7),"D","H","M","Mër","E","P","SH")</f>
        <v>P</v>
      </c>
      <c r="W10" s="46" t="str">
        <f>CHOOSE(1+MOD($F$46+6-2,7),"D","H","M","Mër","E","P","SH")</f>
        <v>SH</v>
      </c>
      <c r="X10" s="46" t="str">
        <f>CHOOSE(1+MOD($F$46+7-2,7),"D","H","M","Mër","E","P","SH")</f>
        <v>D</v>
      </c>
      <c r="Y10" s="47"/>
    </row>
    <row r="11" spans="1:36" s="50" customFormat="1" ht="23.25" customHeight="1">
      <c r="A11" s="66"/>
      <c r="B11" s="49" t="str">
        <f>IF(WEEKDAY(B9,1)=MOD($F$46,7),B9,"")</f>
        <v/>
      </c>
      <c r="C11" s="49" t="str">
        <f>IF(B11="",IF(WEEKDAY(B9,1)=MOD($F$46,7)+1,B9,""),B11+1)</f>
        <v/>
      </c>
      <c r="D11" s="49" t="str">
        <f>IF(C11="",IF(WEEKDAY(B9,1)=MOD($F$46+1,7)+1,B9,""),C11+1)</f>
        <v/>
      </c>
      <c r="E11" s="49" t="str">
        <f>IF(D11="",IF(WEEKDAY(B9,1)=MOD($F$46+2,7)+1,B9,""),D11+1)</f>
        <v/>
      </c>
      <c r="F11" s="49">
        <f>IF(E11="",IF(WEEKDAY(B9,1)=MOD($F$46+3,7)+1,B9,""),E11+1)</f>
        <v>45170</v>
      </c>
      <c r="G11" s="49">
        <f>IF(F11="",IF(WEEKDAY(B9,1)=MOD($F$46+4,7)+1,B9,""),F11+1)</f>
        <v>45171</v>
      </c>
      <c r="H11" s="49">
        <f>IF(G11="",IF(WEEKDAY(B9,1)=MOD($F$46+5,7)+1,B9,""),G11+1)</f>
        <v>45172</v>
      </c>
      <c r="I11" s="44"/>
      <c r="J11" s="49" t="str">
        <f>IF(WEEKDAY(J9,1)=MOD($F$46,7),J9,"")</f>
        <v/>
      </c>
      <c r="K11" s="49" t="str">
        <f>IF(J11="",IF(WEEKDAY(J9,1)=MOD($F$46,7)+1,J9,""),J11+1)</f>
        <v/>
      </c>
      <c r="L11" s="49" t="str">
        <f>IF(K11="",IF(WEEKDAY(J9,1)=MOD($F$46+1,7)+1,J9,""),K11+1)</f>
        <v/>
      </c>
      <c r="M11" s="49" t="str">
        <f>IF(L11="",IF(WEEKDAY(J9,1)=MOD($F$46+2,7)+1,J9,""),L11+1)</f>
        <v/>
      </c>
      <c r="N11" s="49" t="str">
        <f>IF(M11="",IF(WEEKDAY(J9,1)=MOD($F$46+3,7)+1,J9,""),M11+1)</f>
        <v/>
      </c>
      <c r="O11" s="49" t="str">
        <f>IF(N11="",IF(WEEKDAY(J9,1)=MOD($F$46+4,7)+1,J9,""),N11+1)</f>
        <v/>
      </c>
      <c r="P11" s="49">
        <f>IF(O11="",IF(WEEKDAY(J9,1)=MOD($F$46+5,7)+1,J9,""),O11+1)</f>
        <v>45200</v>
      </c>
      <c r="Q11" s="44"/>
      <c r="R11" s="49" t="str">
        <f>IF(WEEKDAY(R9,1)=MOD($F$46,7),R9,"")</f>
        <v/>
      </c>
      <c r="S11" s="49" t="str">
        <f>IF(R11="",IF(WEEKDAY(R9,1)=MOD($F$46,7)+1,R9,""),R11+1)</f>
        <v/>
      </c>
      <c r="T11" s="139">
        <f>IF(S11="",IF(WEEKDAY(R9,1)=MOD($F$46+1,7)+1,R9,""),S11+1)</f>
        <v>45231</v>
      </c>
      <c r="U11" s="139">
        <f>IF(T11="",IF(WEEKDAY(R9,1)=MOD($F$46+2,7)+1,R9,""),T11+1)</f>
        <v>45232</v>
      </c>
      <c r="V11" s="139">
        <f>IF(U11="",IF(WEEKDAY(R9,1)=MOD($F$46+3,7)+1,R9,""),U11+1)</f>
        <v>45233</v>
      </c>
      <c r="W11" s="49">
        <f>IF(V11="",IF(WEEKDAY(R9,1)=MOD($F$46+4,7)+1,R9,""),V11+1)</f>
        <v>45234</v>
      </c>
      <c r="X11" s="49">
        <f>IF(W11="",IF(WEEKDAY(R9,1)=MOD($F$46+5,7)+1,R9,""),W11+1)</f>
        <v>45235</v>
      </c>
      <c r="Y11" s="47"/>
    </row>
    <row r="12" spans="1:36" s="50" customFormat="1" ht="23.25" customHeight="1">
      <c r="A12" s="66"/>
      <c r="B12" s="49">
        <f>IF(H11="","",IF(MONTH(H11+1)&lt;&gt;MONTH(H11),"",H11+1))</f>
        <v>45173</v>
      </c>
      <c r="C12" s="49">
        <f t="shared" ref="C12:H16" si="0">IF(B12="","",IF(MONTH(B12+1)&lt;&gt;MONTH(B12),"",B12+1))</f>
        <v>45174</v>
      </c>
      <c r="D12" s="49">
        <f t="shared" si="0"/>
        <v>45175</v>
      </c>
      <c r="E12" s="49">
        <f t="shared" si="0"/>
        <v>45176</v>
      </c>
      <c r="F12" s="49">
        <f t="shared" si="0"/>
        <v>45177</v>
      </c>
      <c r="G12" s="49">
        <f t="shared" si="0"/>
        <v>45178</v>
      </c>
      <c r="H12" s="49">
        <f t="shared" si="0"/>
        <v>45179</v>
      </c>
      <c r="I12" s="44"/>
      <c r="J12" s="49">
        <f>IF(P11="","",IF(MONTH(P11+1)&lt;&gt;MONTH(P11),"",P11+1))</f>
        <v>45201</v>
      </c>
      <c r="K12" s="49">
        <f t="shared" ref="K12:P16" si="1">IF(J12="","",IF(MONTH(J12+1)&lt;&gt;MONTH(J12),"",J12+1))</f>
        <v>45202</v>
      </c>
      <c r="L12" s="49">
        <f t="shared" si="1"/>
        <v>45203</v>
      </c>
      <c r="M12" s="49">
        <f t="shared" si="1"/>
        <v>45204</v>
      </c>
      <c r="N12" s="49">
        <f t="shared" si="1"/>
        <v>45205</v>
      </c>
      <c r="O12" s="49">
        <f t="shared" si="1"/>
        <v>45206</v>
      </c>
      <c r="P12" s="49">
        <f t="shared" si="1"/>
        <v>45207</v>
      </c>
      <c r="Q12" s="44"/>
      <c r="R12" s="49">
        <f>IF(X11="","",IF(MONTH(X11+1)&lt;&gt;MONTH(X11),"",X11+1))</f>
        <v>45236</v>
      </c>
      <c r="S12" s="49">
        <f t="shared" ref="S12:X16" si="2">IF(R12="","",IF(MONTH(R12+1)&lt;&gt;MONTH(R12),"",R12+1))</f>
        <v>45237</v>
      </c>
      <c r="T12" s="49">
        <f t="shared" si="2"/>
        <v>45238</v>
      </c>
      <c r="U12" s="49">
        <f t="shared" si="2"/>
        <v>45239</v>
      </c>
      <c r="V12" s="49">
        <f t="shared" si="2"/>
        <v>45240</v>
      </c>
      <c r="W12" s="49">
        <f t="shared" si="2"/>
        <v>45241</v>
      </c>
      <c r="X12" s="49">
        <f t="shared" si="2"/>
        <v>45242</v>
      </c>
      <c r="Y12" s="47"/>
      <c r="AA12" s="69"/>
      <c r="AB12" s="69"/>
      <c r="AC12" s="69"/>
      <c r="AD12" s="69"/>
      <c r="AE12" s="69"/>
      <c r="AF12" s="69"/>
      <c r="AG12" s="69"/>
      <c r="AH12" s="69"/>
      <c r="AI12" s="69"/>
      <c r="AJ12" s="69"/>
    </row>
    <row r="13" spans="1:36" s="50" customFormat="1" ht="23.25" customHeight="1">
      <c r="A13" s="66"/>
      <c r="B13" s="49">
        <f>IF(H12="","",IF(MONTH(H12+1)&lt;&gt;MONTH(H12),"",H12+1))</f>
        <v>45180</v>
      </c>
      <c r="C13" s="49">
        <f t="shared" si="0"/>
        <v>45181</v>
      </c>
      <c r="D13" s="49">
        <f t="shared" si="0"/>
        <v>45182</v>
      </c>
      <c r="E13" s="49">
        <f t="shared" si="0"/>
        <v>45183</v>
      </c>
      <c r="F13" s="49">
        <f t="shared" si="0"/>
        <v>45184</v>
      </c>
      <c r="G13" s="49">
        <f t="shared" si="0"/>
        <v>45185</v>
      </c>
      <c r="H13" s="49">
        <f t="shared" si="0"/>
        <v>45186</v>
      </c>
      <c r="I13" s="44"/>
      <c r="J13" s="49">
        <f>IF(P12="","",IF(MONTH(P12+1)&lt;&gt;MONTH(P12),"",P12+1))</f>
        <v>45208</v>
      </c>
      <c r="K13" s="49">
        <f t="shared" si="1"/>
        <v>45209</v>
      </c>
      <c r="L13" s="49">
        <f t="shared" si="1"/>
        <v>45210</v>
      </c>
      <c r="M13" s="49">
        <f t="shared" si="1"/>
        <v>45211</v>
      </c>
      <c r="N13" s="49">
        <f t="shared" si="1"/>
        <v>45212</v>
      </c>
      <c r="O13" s="49">
        <f t="shared" si="1"/>
        <v>45213</v>
      </c>
      <c r="P13" s="49">
        <f t="shared" si="1"/>
        <v>45214</v>
      </c>
      <c r="Q13" s="44"/>
      <c r="R13" s="49">
        <f>IF(X12="","",IF(MONTH(X12+1)&lt;&gt;MONTH(X12),"",X12+1))</f>
        <v>45243</v>
      </c>
      <c r="S13" s="49">
        <f t="shared" si="2"/>
        <v>45244</v>
      </c>
      <c r="T13" s="49">
        <f t="shared" si="2"/>
        <v>45245</v>
      </c>
      <c r="U13" s="49">
        <f t="shared" si="2"/>
        <v>45246</v>
      </c>
      <c r="V13" s="49">
        <f t="shared" si="2"/>
        <v>45247</v>
      </c>
      <c r="W13" s="49">
        <f t="shared" si="2"/>
        <v>45248</v>
      </c>
      <c r="X13" s="49">
        <f t="shared" si="2"/>
        <v>45249</v>
      </c>
      <c r="Y13" s="47"/>
      <c r="AA13" s="69"/>
      <c r="AB13" s="69"/>
      <c r="AC13" s="69"/>
      <c r="AD13" s="69"/>
      <c r="AE13" s="69"/>
      <c r="AF13" s="69"/>
      <c r="AG13" s="69"/>
      <c r="AH13" s="69"/>
      <c r="AI13" s="69"/>
      <c r="AJ13" s="69"/>
    </row>
    <row r="14" spans="1:36" s="50" customFormat="1" ht="23.25" customHeight="1">
      <c r="A14" s="45"/>
      <c r="B14" s="49">
        <f>IF(H13="","",IF(MONTH(H13+1)&lt;&gt;MONTH(H13),"",H13+1))</f>
        <v>45187</v>
      </c>
      <c r="C14" s="49">
        <f t="shared" si="0"/>
        <v>45188</v>
      </c>
      <c r="D14" s="49">
        <f t="shared" si="0"/>
        <v>45189</v>
      </c>
      <c r="E14" s="49">
        <f t="shared" si="0"/>
        <v>45190</v>
      </c>
      <c r="F14" s="49">
        <f t="shared" si="0"/>
        <v>45191</v>
      </c>
      <c r="G14" s="49">
        <f t="shared" si="0"/>
        <v>45192</v>
      </c>
      <c r="H14" s="49">
        <f t="shared" si="0"/>
        <v>45193</v>
      </c>
      <c r="I14" s="44"/>
      <c r="J14" s="49">
        <f>IF(P13="","",IF(MONTH(P13+1)&lt;&gt;MONTH(P13),"",P13+1))</f>
        <v>45215</v>
      </c>
      <c r="K14" s="49">
        <f t="shared" si="1"/>
        <v>45216</v>
      </c>
      <c r="L14" s="49">
        <f t="shared" si="1"/>
        <v>45217</v>
      </c>
      <c r="M14" s="49">
        <f t="shared" si="1"/>
        <v>45218</v>
      </c>
      <c r="N14" s="49">
        <f t="shared" si="1"/>
        <v>45219</v>
      </c>
      <c r="O14" s="49">
        <f t="shared" si="1"/>
        <v>45220</v>
      </c>
      <c r="P14" s="49">
        <f t="shared" si="1"/>
        <v>45221</v>
      </c>
      <c r="Q14" s="44"/>
      <c r="R14" s="49">
        <f>IF(X13="","",IF(MONTH(X13+1)&lt;&gt;MONTH(X13),"",X13+1))</f>
        <v>45250</v>
      </c>
      <c r="S14" s="49">
        <f t="shared" si="2"/>
        <v>45251</v>
      </c>
      <c r="T14" s="49">
        <f t="shared" si="2"/>
        <v>45252</v>
      </c>
      <c r="U14" s="49">
        <f t="shared" si="2"/>
        <v>45253</v>
      </c>
      <c r="V14" s="49">
        <f t="shared" si="2"/>
        <v>45254</v>
      </c>
      <c r="W14" s="49">
        <f t="shared" si="2"/>
        <v>45255</v>
      </c>
      <c r="X14" s="49">
        <f t="shared" si="2"/>
        <v>45256</v>
      </c>
      <c r="Y14" s="47"/>
      <c r="AA14" s="69"/>
    </row>
    <row r="15" spans="1:36" s="50" customFormat="1" ht="23.25" customHeight="1">
      <c r="A15" s="45"/>
      <c r="B15" s="49">
        <f>IF(H14="","",IF(MONTH(H14+1)&lt;&gt;MONTH(H14),"",H14+1))</f>
        <v>45194</v>
      </c>
      <c r="C15" s="49">
        <f t="shared" si="0"/>
        <v>45195</v>
      </c>
      <c r="D15" s="49">
        <f t="shared" si="0"/>
        <v>45196</v>
      </c>
      <c r="E15" s="49">
        <f t="shared" si="0"/>
        <v>45197</v>
      </c>
      <c r="F15" s="49">
        <f t="shared" si="0"/>
        <v>45198</v>
      </c>
      <c r="G15" s="49">
        <f t="shared" si="0"/>
        <v>45199</v>
      </c>
      <c r="H15" s="49" t="str">
        <f t="shared" si="0"/>
        <v/>
      </c>
      <c r="I15" s="44"/>
      <c r="J15" s="49">
        <f>IF(P14="","",IF(MONTH(P14+1)&lt;&gt;MONTH(P14),"",P14+1))</f>
        <v>45222</v>
      </c>
      <c r="K15" s="49">
        <f t="shared" si="1"/>
        <v>45223</v>
      </c>
      <c r="L15" s="49">
        <f t="shared" si="1"/>
        <v>45224</v>
      </c>
      <c r="M15" s="49">
        <f t="shared" si="1"/>
        <v>45225</v>
      </c>
      <c r="N15" s="49">
        <f t="shared" si="1"/>
        <v>45226</v>
      </c>
      <c r="O15" s="49">
        <f t="shared" si="1"/>
        <v>45227</v>
      </c>
      <c r="P15" s="49">
        <f t="shared" si="1"/>
        <v>45228</v>
      </c>
      <c r="Q15" s="44"/>
      <c r="R15" s="49">
        <f>IF(X14="","",IF(MONTH(X14+1)&lt;&gt;MONTH(X14),"",X14+1))</f>
        <v>45257</v>
      </c>
      <c r="S15" s="49">
        <f>IF(R15="","",IF(MONTH(R15+1)&lt;&gt;MONTH(R15),"",R15+1))</f>
        <v>45258</v>
      </c>
      <c r="T15" s="49">
        <f t="shared" si="2"/>
        <v>45259</v>
      </c>
      <c r="U15" s="49">
        <f t="shared" si="2"/>
        <v>45260</v>
      </c>
      <c r="V15" s="49" t="str">
        <f t="shared" si="2"/>
        <v/>
      </c>
      <c r="W15" s="49" t="str">
        <f t="shared" si="2"/>
        <v/>
      </c>
      <c r="X15" s="49" t="str">
        <f t="shared" si="2"/>
        <v/>
      </c>
      <c r="Y15" s="47"/>
      <c r="AA15" s="69"/>
    </row>
    <row r="16" spans="1:36" s="50" customFormat="1" ht="23.25" customHeight="1">
      <c r="A16" s="45"/>
      <c r="B16" s="49" t="str">
        <f>IF(H15="","",IF(MONTH(H15+1)&lt;&gt;MONTH(H15),"",H15+1))</f>
        <v/>
      </c>
      <c r="C16" s="49" t="str">
        <f t="shared" si="0"/>
        <v/>
      </c>
      <c r="D16" s="49" t="str">
        <f t="shared" si="0"/>
        <v/>
      </c>
      <c r="E16" s="49" t="str">
        <f t="shared" si="0"/>
        <v/>
      </c>
      <c r="F16" s="49" t="str">
        <f t="shared" si="0"/>
        <v/>
      </c>
      <c r="G16" s="49" t="str">
        <f t="shared" si="0"/>
        <v/>
      </c>
      <c r="H16" s="49" t="str">
        <f t="shared" si="0"/>
        <v/>
      </c>
      <c r="I16" s="44"/>
      <c r="J16" s="49">
        <f>IF(P15="","",IF(MONTH(P15+1)&lt;&gt;MONTH(P15),"",P15+1))</f>
        <v>45229</v>
      </c>
      <c r="K16" s="49">
        <f t="shared" si="1"/>
        <v>45230</v>
      </c>
      <c r="L16" s="49" t="str">
        <f t="shared" si="1"/>
        <v/>
      </c>
      <c r="M16" s="49" t="str">
        <f t="shared" si="1"/>
        <v/>
      </c>
      <c r="N16" s="49" t="str">
        <f t="shared" si="1"/>
        <v/>
      </c>
      <c r="O16" s="49" t="str">
        <f t="shared" si="1"/>
        <v/>
      </c>
      <c r="P16" s="49" t="str">
        <f t="shared" si="1"/>
        <v/>
      </c>
      <c r="Q16" s="44"/>
      <c r="R16" s="49" t="str">
        <f>IF(X15="","",IF(MONTH(X15+1)&lt;&gt;MONTH(X15),"",X15+1))</f>
        <v/>
      </c>
      <c r="S16" s="49" t="str">
        <f t="shared" si="2"/>
        <v/>
      </c>
      <c r="T16" s="49" t="str">
        <f t="shared" si="2"/>
        <v/>
      </c>
      <c r="U16" s="49" t="str">
        <f t="shared" si="2"/>
        <v/>
      </c>
      <c r="V16" s="49" t="str">
        <f t="shared" si="2"/>
        <v/>
      </c>
      <c r="W16" s="49" t="str">
        <f t="shared" si="2"/>
        <v/>
      </c>
      <c r="X16" s="49" t="str">
        <f t="shared" si="2"/>
        <v/>
      </c>
      <c r="Y16" s="51"/>
      <c r="AA16" s="69"/>
    </row>
    <row r="17" spans="1:27" ht="30" customHeight="1">
      <c r="A17" s="45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AA17" s="69"/>
    </row>
    <row r="18" spans="1:27" ht="23.25" customHeight="1">
      <c r="B18" s="433">
        <f>DATE(YEAR(R9+42),MONTH(R9+42),1)</f>
        <v>45261</v>
      </c>
      <c r="C18" s="433"/>
      <c r="D18" s="433"/>
      <c r="E18" s="433"/>
      <c r="F18" s="433"/>
      <c r="G18" s="433"/>
      <c r="H18" s="433"/>
      <c r="J18" s="433">
        <f>DATE(YEAR(B18+42),MONTH(B18+42),1)</f>
        <v>45292</v>
      </c>
      <c r="K18" s="433"/>
      <c r="L18" s="433"/>
      <c r="M18" s="433"/>
      <c r="N18" s="433"/>
      <c r="O18" s="433"/>
      <c r="P18" s="433"/>
      <c r="R18" s="433">
        <f>DATE(YEAR(J18+42),MONTH(J18+42),1)</f>
        <v>45323</v>
      </c>
      <c r="S18" s="433"/>
      <c r="T18" s="433"/>
      <c r="U18" s="433"/>
      <c r="V18" s="433"/>
      <c r="W18" s="433"/>
      <c r="X18" s="433"/>
      <c r="Y18" s="47"/>
      <c r="AA18" s="69"/>
    </row>
    <row r="19" spans="1:27" ht="23.25" customHeight="1">
      <c r="A19" s="45"/>
      <c r="B19" s="46" t="str">
        <f>CHOOSE(1+MOD($F$46+1-2,7),"D","H","M","Mër","E","P","SH")</f>
        <v>H</v>
      </c>
      <c r="C19" s="46" t="str">
        <f>CHOOSE(1+MOD($F$46+2-2,7),"D","H","M","Mër","E","P","SH")</f>
        <v>M</v>
      </c>
      <c r="D19" s="46" t="str">
        <f>CHOOSE(1+MOD($F$46+3-2,7),"D","H","M","Mër","E","P","SH")</f>
        <v>Mër</v>
      </c>
      <c r="E19" s="46" t="str">
        <f>CHOOSE(1+MOD($F$46+4-2,7),"D","H","M","Mër","E","P","SH")</f>
        <v>E</v>
      </c>
      <c r="F19" s="46" t="str">
        <f>CHOOSE(1+MOD($F$46+5-2,7),"D","H","M","Mër","E","P","SH")</f>
        <v>P</v>
      </c>
      <c r="G19" s="46" t="str">
        <f>CHOOSE(1+MOD($F$46+6-2,7),"D","H","M","Mër","E","P","SH")</f>
        <v>SH</v>
      </c>
      <c r="H19" s="46" t="str">
        <f>CHOOSE(1+MOD($F$46+7-2,7),"D","H","M","Mër","E","P","SH")</f>
        <v>D</v>
      </c>
      <c r="I19" s="44"/>
      <c r="J19" s="46" t="str">
        <f>CHOOSE(1+MOD($F$46+1-2,7),"D","H","M","Mër","E","P","SH")</f>
        <v>H</v>
      </c>
      <c r="K19" s="46" t="str">
        <f>CHOOSE(1+MOD($F$46+2-2,7),"D","H","M","Mër","E","P","SH")</f>
        <v>M</v>
      </c>
      <c r="L19" s="46" t="str">
        <f>CHOOSE(1+MOD($F$46+3-2,7),"D","H","M","Mër","E","P","SH")</f>
        <v>Mër</v>
      </c>
      <c r="M19" s="46" t="str">
        <f>CHOOSE(1+MOD($F$46+4-2,7),"D","H","M","Mër","E","P","SH")</f>
        <v>E</v>
      </c>
      <c r="N19" s="46" t="str">
        <f>CHOOSE(1+MOD($F$46+5-2,7),"D","H","M","Mër","E","P","SH")</f>
        <v>P</v>
      </c>
      <c r="O19" s="46" t="str">
        <f>CHOOSE(1+MOD($F$46+6-2,7),"D","H","M","Mër","E","P","SH")</f>
        <v>SH</v>
      </c>
      <c r="P19" s="46" t="str">
        <f>CHOOSE(1+MOD($F$46+7-2,7),"D","H","M","Mër","E","P","SH")</f>
        <v>D</v>
      </c>
      <c r="Q19" s="44"/>
      <c r="R19" s="46" t="str">
        <f>CHOOSE(1+MOD($F$46+1-2,7),"D","H","M","Mër","E","P","SH")</f>
        <v>H</v>
      </c>
      <c r="S19" s="46" t="str">
        <f>CHOOSE(1+MOD($F$46+2-2,7),"D","H","M","Mër","E","P","SH")</f>
        <v>M</v>
      </c>
      <c r="T19" s="46" t="str">
        <f>CHOOSE(1+MOD($F$46+3-2,7),"D","H","M","Mër","E","P","SH")</f>
        <v>Mër</v>
      </c>
      <c r="U19" s="46" t="str">
        <f>CHOOSE(1+MOD($F$46+4-2,7),"D","H","M","Mër","E","P","SH")</f>
        <v>E</v>
      </c>
      <c r="V19" s="46" t="str">
        <f>CHOOSE(1+MOD($F$46+5-2,7),"D","H","M","Mër","E","P","SH")</f>
        <v>P</v>
      </c>
      <c r="W19" s="46" t="str">
        <f>CHOOSE(1+MOD($F$46+6-2,7),"D","H","M","Mër","E","P","SH")</f>
        <v>SH</v>
      </c>
      <c r="X19" s="46" t="str">
        <f>CHOOSE(1+MOD($F$46+7-2,7),"D","H","M","Mër","E","P","SH")</f>
        <v>D</v>
      </c>
      <c r="Y19" s="47"/>
      <c r="AA19" s="69"/>
    </row>
    <row r="20" spans="1:27" ht="23.25" customHeight="1">
      <c r="A20" s="45"/>
      <c r="B20" s="49" t="str">
        <f>IF(WEEKDAY(B18,1)=MOD($F$46,7),B18,"")</f>
        <v/>
      </c>
      <c r="C20" s="49" t="str">
        <f>IF(B20="",IF(WEEKDAY(B18,1)=MOD($F$46,7)+1,B18,""),B20+1)</f>
        <v/>
      </c>
      <c r="D20" s="49" t="str">
        <f>IF(C20="",IF(WEEKDAY(B18,1)=MOD($F$46+1,7)+1,B18,""),C20+1)</f>
        <v/>
      </c>
      <c r="E20" s="49" t="str">
        <f>IF(D20="",IF(WEEKDAY(B18,1)=MOD($F$46+2,7)+1,B18,""),D20+1)</f>
        <v/>
      </c>
      <c r="F20" s="49">
        <f>IF(E20="",IF(WEEKDAY(B18,1)=MOD($F$46+3,7)+1,B18,""),E20+1)</f>
        <v>45261</v>
      </c>
      <c r="G20" s="49">
        <f>IF(F20="",IF(WEEKDAY(B18,1)=MOD($F$46+4,7)+1,B18,""),F20+1)</f>
        <v>45262</v>
      </c>
      <c r="H20" s="49">
        <f>IF(G20="",IF(WEEKDAY(B18,1)=MOD($F$46+5,7)+1,B18,""),G20+1)</f>
        <v>45263</v>
      </c>
      <c r="I20" s="44"/>
      <c r="J20" s="53">
        <f>IF(WEEKDAY(J18,1)=MOD($F$46,7),J18,"")</f>
        <v>45292</v>
      </c>
      <c r="K20" s="53">
        <f>IF(J20="",IF(WEEKDAY(J18,1)=MOD($F$46,7)+1,J18,""),J20+1)</f>
        <v>45293</v>
      </c>
      <c r="L20" s="140">
        <f>IF(K20="",IF(WEEKDAY(J18,1)=MOD($F$46+1,7)+1,J18,""),K20+1)</f>
        <v>45294</v>
      </c>
      <c r="M20" s="140">
        <f>IF(L20="",IF(WEEKDAY(J18,1)=MOD($F$46+2,7)+1,J18,""),L20+1)</f>
        <v>45295</v>
      </c>
      <c r="N20" s="140">
        <f>IF(M20="",IF(WEEKDAY(J18,1)=MOD($F$46+3,7)+1,J18,""),M20+1)</f>
        <v>45296</v>
      </c>
      <c r="O20" s="49">
        <f>IF(N20="",IF(WEEKDAY(J18,1)=MOD($F$46+4,7)+1,J18,""),N20+1)</f>
        <v>45297</v>
      </c>
      <c r="P20" s="49">
        <f>IF(O20="",IF(WEEKDAY(J18,1)=MOD($F$46+5,7)+1,J18,""),O20+1)</f>
        <v>45298</v>
      </c>
      <c r="Q20" s="44"/>
      <c r="R20" s="49" t="str">
        <f>IF(WEEKDAY(R18,1)=MOD($F$46,7),R18,"")</f>
        <v/>
      </c>
      <c r="S20" s="49" t="str">
        <f>IF(R20="",IF(WEEKDAY(R18,1)=MOD($F$46,7)+1,R18,""),R20+1)</f>
        <v/>
      </c>
      <c r="T20" s="49" t="str">
        <f>IF(S20="",IF(WEEKDAY(R18,1)=MOD($F$46+1,7)+1,R18,""),S20+1)</f>
        <v/>
      </c>
      <c r="U20" s="49">
        <f>IF(T20="",IF(WEEKDAY(R18,1)=MOD($F$46+2,7)+1,R18,""),T20+1)</f>
        <v>45323</v>
      </c>
      <c r="V20" s="49">
        <f>IF(U20="",IF(WEEKDAY(R18,1)=MOD($F$46+3,7)+1,R18,""),U20+1)</f>
        <v>45324</v>
      </c>
      <c r="W20" s="49">
        <f>IF(V20="",IF(WEEKDAY(R18,1)=MOD($F$46+4,7)+1,R18,""),V20+1)</f>
        <v>45325</v>
      </c>
      <c r="X20" s="49">
        <f>IF(W20="",IF(WEEKDAY(R18,1)=MOD($F$46+5,7)+1,R18,""),W20+1)</f>
        <v>45326</v>
      </c>
      <c r="Y20" s="47"/>
      <c r="AA20" s="69"/>
    </row>
    <row r="21" spans="1:27" ht="23.25" customHeight="1">
      <c r="A21" s="45"/>
      <c r="B21" s="49">
        <f>IF(H20="","",IF(MONTH(H20+1)&lt;&gt;MONTH(H20),"",H20+1))</f>
        <v>45264</v>
      </c>
      <c r="C21" s="49">
        <f t="shared" ref="C21:H25" si="3">IF(B21="","",IF(MONTH(B21+1)&lt;&gt;MONTH(B21),"",B21+1))</f>
        <v>45265</v>
      </c>
      <c r="D21" s="49">
        <f t="shared" si="3"/>
        <v>45266</v>
      </c>
      <c r="E21" s="49">
        <f t="shared" si="3"/>
        <v>45267</v>
      </c>
      <c r="F21" s="49">
        <f t="shared" si="3"/>
        <v>45268</v>
      </c>
      <c r="G21" s="49">
        <f t="shared" si="3"/>
        <v>45269</v>
      </c>
      <c r="H21" s="49">
        <f t="shared" si="3"/>
        <v>45270</v>
      </c>
      <c r="I21" s="44"/>
      <c r="J21" s="140">
        <f>IF(P20="","",IF(MONTH(P20+1)&lt;&gt;MONTH(P20),"",P20+1))</f>
        <v>45299</v>
      </c>
      <c r="K21" s="140">
        <f>IF(J21="","",IF(MONTH(J21+1)&lt;&gt;MONTH(J21),"",J21+1))</f>
        <v>45300</v>
      </c>
      <c r="L21" s="140">
        <f>IF(K21="","",IF(MONTH(K21+1)&lt;&gt;MONTH(K21),"",K21+1))</f>
        <v>45301</v>
      </c>
      <c r="M21" s="140">
        <f>IF(L21="","",IF(MONTH(L21+1)&lt;&gt;MONTH(L21),"",L21+1))</f>
        <v>45302</v>
      </c>
      <c r="N21" s="140">
        <f>IF(M21="","",IF(MONTH(M21+1)&lt;&gt;MONTH(M21),"",M21+1))</f>
        <v>45303</v>
      </c>
      <c r="O21" s="49">
        <f t="shared" ref="K21:P25" si="4">IF(N21="","",IF(MONTH(N21+1)&lt;&gt;MONTH(N21),"",N21+1))</f>
        <v>45304</v>
      </c>
      <c r="P21" s="49">
        <f t="shared" si="4"/>
        <v>45305</v>
      </c>
      <c r="Q21" s="44"/>
      <c r="R21" s="49">
        <f>IF(X20="","",IF(MONTH(X20+1)&lt;&gt;MONTH(X20),"",X20+1))</f>
        <v>45327</v>
      </c>
      <c r="S21" s="49">
        <f t="shared" ref="S21:X25" si="5">IF(R21="","",IF(MONTH(R21+1)&lt;&gt;MONTH(R21),"",R21+1))</f>
        <v>45328</v>
      </c>
      <c r="T21" s="49">
        <f t="shared" si="5"/>
        <v>45329</v>
      </c>
      <c r="U21" s="49">
        <f t="shared" si="5"/>
        <v>45330</v>
      </c>
      <c r="V21" s="49">
        <f t="shared" si="5"/>
        <v>45331</v>
      </c>
      <c r="W21" s="49">
        <f t="shared" si="5"/>
        <v>45332</v>
      </c>
      <c r="X21" s="49">
        <f t="shared" si="5"/>
        <v>45333</v>
      </c>
      <c r="Y21" s="47"/>
      <c r="AA21" s="69"/>
    </row>
    <row r="22" spans="1:27" ht="23.25" customHeight="1">
      <c r="A22" s="45"/>
      <c r="B22" s="49">
        <f>IF(H21="","",IF(MONTH(H21+1)&lt;&gt;MONTH(H21),"",H21+1))</f>
        <v>45271</v>
      </c>
      <c r="C22" s="49">
        <f t="shared" si="3"/>
        <v>45272</v>
      </c>
      <c r="D22" s="49">
        <f t="shared" si="3"/>
        <v>45273</v>
      </c>
      <c r="E22" s="49">
        <f t="shared" si="3"/>
        <v>45274</v>
      </c>
      <c r="F22" s="49">
        <f t="shared" si="3"/>
        <v>45275</v>
      </c>
      <c r="G22" s="49">
        <f t="shared" si="3"/>
        <v>45276</v>
      </c>
      <c r="H22" s="49">
        <f t="shared" si="3"/>
        <v>45277</v>
      </c>
      <c r="I22" s="44"/>
      <c r="J22" s="139">
        <f>IF(P21="","",IF(MONTH(P21+1)&lt;&gt;MONTH(P21),"",P21+1))</f>
        <v>45306</v>
      </c>
      <c r="K22" s="139">
        <f t="shared" si="4"/>
        <v>45307</v>
      </c>
      <c r="L22" s="139">
        <f t="shared" si="4"/>
        <v>45308</v>
      </c>
      <c r="M22" s="139">
        <f t="shared" si="4"/>
        <v>45309</v>
      </c>
      <c r="N22" s="139">
        <f t="shared" si="4"/>
        <v>45310</v>
      </c>
      <c r="O22" s="49">
        <f t="shared" si="4"/>
        <v>45311</v>
      </c>
      <c r="P22" s="49">
        <f t="shared" si="4"/>
        <v>45312</v>
      </c>
      <c r="Q22" s="44"/>
      <c r="R22" s="49">
        <f>IF(X21="","",IF(MONTH(X21+1)&lt;&gt;MONTH(X21),"",X21+1))</f>
        <v>45334</v>
      </c>
      <c r="S22" s="49">
        <f t="shared" si="5"/>
        <v>45335</v>
      </c>
      <c r="T22" s="49">
        <f t="shared" si="5"/>
        <v>45336</v>
      </c>
      <c r="U22" s="49">
        <f t="shared" si="5"/>
        <v>45337</v>
      </c>
      <c r="V22" s="49">
        <f t="shared" si="5"/>
        <v>45338</v>
      </c>
      <c r="W22" s="49">
        <f>IF(V22="","",IF(MONTH(V22+1)&lt;&gt;MONTH(V22),"",V22+1))</f>
        <v>45339</v>
      </c>
      <c r="X22" s="49">
        <f t="shared" si="5"/>
        <v>45340</v>
      </c>
      <c r="Y22" s="47"/>
    </row>
    <row r="23" spans="1:27" ht="23.25" customHeight="1">
      <c r="A23" s="45"/>
      <c r="B23" s="49">
        <f>IF(H22="","",IF(MONTH(H22+1)&lt;&gt;MONTH(H22),"",H22+1))</f>
        <v>45278</v>
      </c>
      <c r="C23" s="49">
        <f t="shared" si="3"/>
        <v>45279</v>
      </c>
      <c r="D23" s="49">
        <f t="shared" si="3"/>
        <v>45280</v>
      </c>
      <c r="E23" s="49">
        <f t="shared" si="3"/>
        <v>45281</v>
      </c>
      <c r="F23" s="49">
        <f t="shared" si="3"/>
        <v>45282</v>
      </c>
      <c r="G23" s="49">
        <f t="shared" si="3"/>
        <v>45283</v>
      </c>
      <c r="H23" s="49">
        <f t="shared" si="3"/>
        <v>45284</v>
      </c>
      <c r="I23" s="44"/>
      <c r="J23" s="139">
        <f>IF(P22="","",IF(MONTH(P22+1)&lt;&gt;MONTH(P22),"",P22+1))</f>
        <v>45313</v>
      </c>
      <c r="K23" s="139">
        <f t="shared" si="4"/>
        <v>45314</v>
      </c>
      <c r="L23" s="49">
        <f t="shared" si="4"/>
        <v>45315</v>
      </c>
      <c r="M23" s="49">
        <f t="shared" si="4"/>
        <v>45316</v>
      </c>
      <c r="N23" s="49">
        <f t="shared" si="4"/>
        <v>45317</v>
      </c>
      <c r="O23" s="49">
        <f t="shared" si="4"/>
        <v>45318</v>
      </c>
      <c r="P23" s="49">
        <f t="shared" si="4"/>
        <v>45319</v>
      </c>
      <c r="Q23" s="44"/>
      <c r="R23" s="49">
        <f>IF(X22="","",IF(MONTH(X22+1)&lt;&gt;MONTH(X22),"",X22+1))</f>
        <v>45341</v>
      </c>
      <c r="S23" s="49">
        <f t="shared" si="5"/>
        <v>45342</v>
      </c>
      <c r="T23" s="49">
        <f t="shared" si="5"/>
        <v>45343</v>
      </c>
      <c r="U23" s="49">
        <f t="shared" si="5"/>
        <v>45344</v>
      </c>
      <c r="V23" s="49">
        <f t="shared" si="5"/>
        <v>45345</v>
      </c>
      <c r="W23" s="49">
        <f t="shared" si="5"/>
        <v>45346</v>
      </c>
      <c r="X23" s="49">
        <f t="shared" si="5"/>
        <v>45347</v>
      </c>
      <c r="Y23" s="47"/>
    </row>
    <row r="24" spans="1:27" ht="23.25" customHeight="1">
      <c r="A24" s="45"/>
      <c r="B24" s="49">
        <f>IF(H23="","",IF(MONTH(H23+1)&lt;&gt;MONTH(H23),"",H23+1))</f>
        <v>45285</v>
      </c>
      <c r="C24" s="49">
        <f t="shared" si="3"/>
        <v>45286</v>
      </c>
      <c r="D24" s="49">
        <f t="shared" si="3"/>
        <v>45287</v>
      </c>
      <c r="E24" s="49">
        <f t="shared" si="3"/>
        <v>45288</v>
      </c>
      <c r="F24" s="49">
        <f t="shared" si="3"/>
        <v>45289</v>
      </c>
      <c r="G24" s="49">
        <f t="shared" si="3"/>
        <v>45290</v>
      </c>
      <c r="H24" s="49">
        <f t="shared" si="3"/>
        <v>45291</v>
      </c>
      <c r="I24" s="44"/>
      <c r="J24" s="49">
        <f>IF(P23="","",IF(MONTH(P23+1)&lt;&gt;MONTH(P23),"",P23+1))</f>
        <v>45320</v>
      </c>
      <c r="K24" s="49">
        <f t="shared" si="4"/>
        <v>45321</v>
      </c>
      <c r="L24" s="49">
        <f t="shared" si="4"/>
        <v>45322</v>
      </c>
      <c r="M24" s="49" t="str">
        <f t="shared" si="4"/>
        <v/>
      </c>
      <c r="N24" s="49" t="str">
        <f t="shared" si="4"/>
        <v/>
      </c>
      <c r="O24" s="49" t="str">
        <f t="shared" si="4"/>
        <v/>
      </c>
      <c r="P24" s="49" t="str">
        <f t="shared" si="4"/>
        <v/>
      </c>
      <c r="Q24" s="44"/>
      <c r="R24" s="49">
        <f>IF(X23="","",IF(MONTH(X23+1)&lt;&gt;MONTH(X23),"",X23+1))</f>
        <v>45348</v>
      </c>
      <c r="S24" s="49">
        <f t="shared" si="5"/>
        <v>45349</v>
      </c>
      <c r="T24" s="49">
        <f t="shared" si="5"/>
        <v>45350</v>
      </c>
      <c r="U24" s="49">
        <f t="shared" si="5"/>
        <v>45351</v>
      </c>
      <c r="V24" s="49" t="str">
        <f t="shared" si="5"/>
        <v/>
      </c>
      <c r="W24" s="49" t="str">
        <f t="shared" si="5"/>
        <v/>
      </c>
      <c r="X24" s="49" t="str">
        <f t="shared" si="5"/>
        <v/>
      </c>
      <c r="Y24" s="47"/>
      <c r="AA24" s="69"/>
    </row>
    <row r="25" spans="1:27" ht="30.75" customHeight="1">
      <c r="A25" s="45"/>
      <c r="B25" s="49" t="str">
        <f>IF(H24="","",IF(MONTH(H24+1)&lt;&gt;MONTH(H24),"",H24+1))</f>
        <v/>
      </c>
      <c r="C25" s="49" t="str">
        <f t="shared" si="3"/>
        <v/>
      </c>
      <c r="D25" s="49" t="str">
        <f t="shared" si="3"/>
        <v/>
      </c>
      <c r="E25" s="49" t="str">
        <f t="shared" si="3"/>
        <v/>
      </c>
      <c r="F25" s="49" t="str">
        <f t="shared" si="3"/>
        <v/>
      </c>
      <c r="G25" s="49" t="str">
        <f t="shared" si="3"/>
        <v/>
      </c>
      <c r="H25" s="49" t="str">
        <f t="shared" si="3"/>
        <v/>
      </c>
      <c r="I25" s="44"/>
      <c r="J25" s="49" t="str">
        <f>IF(P24="","",IF(MONTH(P24+1)&lt;&gt;MONTH(P24),"",P24+1))</f>
        <v/>
      </c>
      <c r="K25" s="49" t="str">
        <f t="shared" si="4"/>
        <v/>
      </c>
      <c r="L25" s="49" t="str">
        <f t="shared" si="4"/>
        <v/>
      </c>
      <c r="M25" s="49" t="str">
        <f t="shared" si="4"/>
        <v/>
      </c>
      <c r="N25" s="49" t="str">
        <f t="shared" si="4"/>
        <v/>
      </c>
      <c r="O25" s="49" t="str">
        <f t="shared" si="4"/>
        <v/>
      </c>
      <c r="P25" s="49" t="str">
        <f t="shared" si="4"/>
        <v/>
      </c>
      <c r="Q25" s="44"/>
      <c r="R25" s="49" t="str">
        <f>IF(X24="","",IF(MONTH(X24+1)&lt;&gt;MONTH(X24),"",X24+1))</f>
        <v/>
      </c>
      <c r="S25" s="49" t="str">
        <f t="shared" si="5"/>
        <v/>
      </c>
      <c r="T25" s="49" t="str">
        <f t="shared" si="5"/>
        <v/>
      </c>
      <c r="U25" s="49" t="str">
        <f t="shared" si="5"/>
        <v/>
      </c>
      <c r="V25" s="49" t="str">
        <f t="shared" si="5"/>
        <v/>
      </c>
      <c r="W25" s="49" t="str">
        <f t="shared" si="5"/>
        <v/>
      </c>
      <c r="X25" s="49" t="str">
        <f t="shared" si="5"/>
        <v/>
      </c>
      <c r="AA25" s="69"/>
    </row>
    <row r="26" spans="1:27" ht="23.25" customHeight="1">
      <c r="A26" s="45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AA26" s="69"/>
    </row>
    <row r="27" spans="1:27" ht="23.25" customHeight="1">
      <c r="B27" s="433">
        <f>DATE(YEAR(R18+42),MONTH(R18+42),1)</f>
        <v>45352</v>
      </c>
      <c r="C27" s="433"/>
      <c r="D27" s="433"/>
      <c r="E27" s="433"/>
      <c r="F27" s="433"/>
      <c r="G27" s="433"/>
      <c r="H27" s="433"/>
      <c r="J27" s="433">
        <f>DATE(YEAR(B27+42),MONTH(B27+42),1)</f>
        <v>45383</v>
      </c>
      <c r="K27" s="433"/>
      <c r="L27" s="433"/>
      <c r="M27" s="433"/>
      <c r="N27" s="433"/>
      <c r="O27" s="433"/>
      <c r="P27" s="433"/>
      <c r="R27" s="433">
        <f>DATE(YEAR(J27+42),MONTH(J27+42),1)</f>
        <v>45413</v>
      </c>
      <c r="S27" s="433"/>
      <c r="T27" s="433"/>
      <c r="U27" s="433"/>
      <c r="V27" s="433"/>
      <c r="W27" s="433"/>
      <c r="X27" s="433"/>
      <c r="AA27" s="69"/>
    </row>
    <row r="28" spans="1:27" ht="23.25" customHeight="1">
      <c r="A28" s="45"/>
      <c r="B28" s="46" t="str">
        <f>CHOOSE(1+MOD($F$46+1-2,7),"D","H","M","Mër","E","P","SH")</f>
        <v>H</v>
      </c>
      <c r="C28" s="46" t="str">
        <f>CHOOSE(1+MOD($F$46+2-2,7),"D","H","M","Mër","E","P","SH")</f>
        <v>M</v>
      </c>
      <c r="D28" s="46" t="str">
        <f>CHOOSE(1+MOD($F$46+3-2,7),"D","H","M","Mër","E","P","SH")</f>
        <v>Mër</v>
      </c>
      <c r="E28" s="46" t="str">
        <f>CHOOSE(1+MOD($F$46+4-2,7),"D","H","M","Mër","E","P","SH")</f>
        <v>E</v>
      </c>
      <c r="F28" s="46" t="str">
        <f>CHOOSE(1+MOD($F$46+5-2,7),"D","H","M","Mër","E","P","SH")</f>
        <v>P</v>
      </c>
      <c r="G28" s="46" t="str">
        <f>CHOOSE(1+MOD($F$46+6-2,7),"D","H","M","Mër","E","P","SH")</f>
        <v>SH</v>
      </c>
      <c r="H28" s="46" t="str">
        <f>CHOOSE(1+MOD($F$46+7-2,7),"D","H","M","Mër","E","P","SH")</f>
        <v>D</v>
      </c>
      <c r="I28" s="44"/>
      <c r="J28" s="46" t="str">
        <f>CHOOSE(1+MOD($F$46+1-2,7),"D","H","M","Mër","E","P","SH")</f>
        <v>H</v>
      </c>
      <c r="K28" s="46" t="str">
        <f>CHOOSE(1+MOD($F$46+2-2,7),"D","H","M","Mër","E","P","SH")</f>
        <v>M</v>
      </c>
      <c r="L28" s="46" t="str">
        <f>CHOOSE(1+MOD($F$46+3-2,7),"D","H","M","Mër","E","P","SH")</f>
        <v>Mër</v>
      </c>
      <c r="M28" s="46" t="str">
        <f>CHOOSE(1+MOD($F$46+4-2,7),"D","H","M","Mër","E","P","SH")</f>
        <v>E</v>
      </c>
      <c r="N28" s="46" t="str">
        <f>CHOOSE(1+MOD($F$46+5-2,7),"D","H","M","Mër","E","P","SH")</f>
        <v>P</v>
      </c>
      <c r="O28" s="46" t="str">
        <f>CHOOSE(1+MOD($F$46+6-2,7),"D","H","M","Mër","E","P","SH")</f>
        <v>SH</v>
      </c>
      <c r="P28" s="46" t="str">
        <f>CHOOSE(1+MOD($F$46+7-2,7),"D","H","M","Mër","E","P","SH")</f>
        <v>D</v>
      </c>
      <c r="Q28" s="44"/>
      <c r="R28" s="46" t="str">
        <f>CHOOSE(1+MOD($F$46+1-2,7),"D","H","M","Mër","E","P","SH")</f>
        <v>H</v>
      </c>
      <c r="S28" s="46" t="str">
        <f>CHOOSE(1+MOD($F$46+2-2,7),"D","H","M","Mër","E","P","SH")</f>
        <v>M</v>
      </c>
      <c r="T28" s="46" t="str">
        <f>CHOOSE(1+MOD($F$46+3-2,7),"D","H","M","Mër","E","P","SH")</f>
        <v>Mër</v>
      </c>
      <c r="U28" s="46" t="str">
        <f>CHOOSE(1+MOD($F$46+4-2,7),"D","H","M","Mër","E","P","SH")</f>
        <v>E</v>
      </c>
      <c r="V28" s="46" t="str">
        <f>CHOOSE(1+MOD($F$46+5-2,7),"D","H","M","Mër","E","P","SH")</f>
        <v>P</v>
      </c>
      <c r="W28" s="46" t="str">
        <f>CHOOSE(1+MOD($F$46+6-2,7),"D","H","M","Mër","E","P","SH")</f>
        <v>SH</v>
      </c>
      <c r="X28" s="46" t="str">
        <f>CHOOSE(1+MOD($F$46+7-2,7),"D","H","M","Mër","E","P","SH")</f>
        <v>D</v>
      </c>
      <c r="AA28" s="69"/>
    </row>
    <row r="29" spans="1:27" ht="23.25" customHeight="1">
      <c r="A29" s="45"/>
      <c r="B29" s="49" t="str">
        <f>IF(WEEKDAY(B27,1)=MOD($F$46,7),B27,"")</f>
        <v/>
      </c>
      <c r="C29" s="49" t="str">
        <f>IF(B29="",IF(WEEKDAY(B27,1)=MOD($F$46,7)+1,B27,""),B29+1)</f>
        <v/>
      </c>
      <c r="D29" s="49" t="str">
        <f>IF(C29="",IF(WEEKDAY(B27,1)=MOD($F$46+1,7)+1,B27,""),C29+1)</f>
        <v/>
      </c>
      <c r="E29" s="49" t="str">
        <f>IF(D29="",IF(WEEKDAY(B27,1)=MOD($F$46+2,7)+1,B27,""),D29+1)</f>
        <v/>
      </c>
      <c r="F29" s="49">
        <f>IF(E29="",IF(WEEKDAY(B27,1)=MOD($F$46+3,7)+1,B27,""),E29+1)</f>
        <v>45352</v>
      </c>
      <c r="G29" s="49">
        <f>IF(F29="",IF(WEEKDAY(B27,1)=MOD($F$46+4,7)+1,B27,""),F29+1)</f>
        <v>45353</v>
      </c>
      <c r="H29" s="49">
        <f>IF(G29="",IF(WEEKDAY(B27,1)=MOD($F$46+5,7)+1,B27,""),G29+1)</f>
        <v>45354</v>
      </c>
      <c r="I29" s="44"/>
      <c r="J29" s="49">
        <f>IF(WEEKDAY(J27,1)=MOD($F$46,7),J27,"")</f>
        <v>45383</v>
      </c>
      <c r="K29" s="140">
        <f>IF(J29="",IF(WEEKDAY(J27,1)=MOD($F$46,7)+1,J27,""),J29+1)</f>
        <v>45384</v>
      </c>
      <c r="L29" s="140">
        <f>IF(K29="",IF(WEEKDAY(J27,1)=MOD($F$46+1,7)+1,J27,""),K29+1)</f>
        <v>45385</v>
      </c>
      <c r="M29" s="140">
        <f>IF(L29="",IF(WEEKDAY(J27,1)=MOD($F$46+2,7)+1,J27,""),L29+1)</f>
        <v>45386</v>
      </c>
      <c r="N29" s="140">
        <f>IF(M29="",IF(WEEKDAY(J27,1)=MOD($F$46+3,7)+1,J27,""),M29+1)</f>
        <v>45387</v>
      </c>
      <c r="O29" s="49">
        <f>IF(N29="",IF(WEEKDAY(J27,1)=MOD($F$46+4,7)+1,J27,""),N29+1)</f>
        <v>45388</v>
      </c>
      <c r="P29" s="49">
        <f>IF(O29="",IF(WEEKDAY(J27,1)=MOD($F$46+5,7)+1,J27,""),O29+1)</f>
        <v>45389</v>
      </c>
      <c r="Q29" s="44"/>
      <c r="R29" s="49" t="str">
        <f>IF(WEEKDAY(R27,1)=MOD($F$46,7),R27,"")</f>
        <v/>
      </c>
      <c r="S29" s="49" t="str">
        <f>IF(R29="",IF(WEEKDAY(R27,1)=MOD($F$46,7)+1,R27,""),R29+1)</f>
        <v/>
      </c>
      <c r="T29" s="49">
        <f>IF(S29="",IF(WEEKDAY(R27,1)=MOD($F$46+1,7)+1,R27,""),S29+1)</f>
        <v>45413</v>
      </c>
      <c r="U29" s="49">
        <f>IF(T29="",IF(WEEKDAY(R27,1)=MOD($F$46+2,7)+1,R27,""),T29+1)</f>
        <v>45414</v>
      </c>
      <c r="V29" s="49">
        <f>IF(U29="",IF(WEEKDAY(R27,1)=MOD($F$46+3,7)+1,R27,""),U29+1)</f>
        <v>45415</v>
      </c>
      <c r="W29" s="49">
        <f>IF(V29="",IF(WEEKDAY(R27,1)=MOD($F$46+4,7)+1,R27,""),V29+1)</f>
        <v>45416</v>
      </c>
      <c r="X29" s="49">
        <f>IF(W29="",IF(WEEKDAY(R27,1)=MOD($F$46+5,7)+1,R27,""),W29+1)</f>
        <v>45417</v>
      </c>
      <c r="AA29" s="69"/>
    </row>
    <row r="30" spans="1:27" ht="23.25" customHeight="1">
      <c r="A30" s="45"/>
      <c r="B30" s="49">
        <f>IF(H29="","",IF(MONTH(H29+1)&lt;&gt;MONTH(H29),"",H29+1))</f>
        <v>45355</v>
      </c>
      <c r="C30" s="49">
        <f t="shared" ref="C30:H34" si="6">IF(B30="","",IF(MONTH(B30+1)&lt;&gt;MONTH(B30),"",B30+1))</f>
        <v>45356</v>
      </c>
      <c r="D30" s="49">
        <f t="shared" si="6"/>
        <v>45357</v>
      </c>
      <c r="E30" s="49">
        <f t="shared" si="6"/>
        <v>45358</v>
      </c>
      <c r="F30" s="49">
        <f t="shared" si="6"/>
        <v>45359</v>
      </c>
      <c r="G30" s="49">
        <f t="shared" si="6"/>
        <v>45360</v>
      </c>
      <c r="H30" s="49">
        <f t="shared" si="6"/>
        <v>45361</v>
      </c>
      <c r="I30" s="44"/>
      <c r="J30" s="139">
        <f>IF(P29="","",IF(MONTH(P29+1)&lt;&gt;MONTH(P29),"",P29+1))</f>
        <v>45390</v>
      </c>
      <c r="K30" s="49">
        <f>IF(J30="","",IF(MONTH(J30+1)&lt;&gt;MONTH(J30),"",J30+1))</f>
        <v>45391</v>
      </c>
      <c r="L30" s="49">
        <f>IF(K30="","",IF(MONTH(K30+1)&lt;&gt;MONTH(K30),"",K30+1))</f>
        <v>45392</v>
      </c>
      <c r="M30" s="139">
        <f t="shared" ref="K30:P34" si="7">IF(L30="","",IF(MONTH(L30+1)&lt;&gt;MONTH(L30),"",L30+1))</f>
        <v>45393</v>
      </c>
      <c r="N30" s="139">
        <f t="shared" si="7"/>
        <v>45394</v>
      </c>
      <c r="O30" s="49">
        <f t="shared" si="7"/>
        <v>45395</v>
      </c>
      <c r="P30" s="49">
        <f t="shared" si="7"/>
        <v>45396</v>
      </c>
      <c r="Q30" s="44"/>
      <c r="R30" s="49">
        <f>IF(X29="","",IF(MONTH(X29+1)&lt;&gt;MONTH(X29),"",X29+1))</f>
        <v>45418</v>
      </c>
      <c r="S30" s="49">
        <f t="shared" ref="S30:X34" si="8">IF(R30="","",IF(MONTH(R30+1)&lt;&gt;MONTH(R30),"",R30+1))</f>
        <v>45419</v>
      </c>
      <c r="T30" s="49">
        <f t="shared" si="8"/>
        <v>45420</v>
      </c>
      <c r="U30" s="49">
        <f>IF(T30="","",IF(MONTH(T30+1)&lt;&gt;MONTH(T30),"",T30+1))</f>
        <v>45421</v>
      </c>
      <c r="V30" s="49">
        <f t="shared" si="8"/>
        <v>45422</v>
      </c>
      <c r="W30" s="49">
        <f t="shared" si="8"/>
        <v>45423</v>
      </c>
      <c r="X30" s="49">
        <f t="shared" si="8"/>
        <v>45424</v>
      </c>
      <c r="AA30" s="69"/>
    </row>
    <row r="31" spans="1:27" ht="23.25" customHeight="1">
      <c r="A31" s="45"/>
      <c r="B31" s="49">
        <f>IF(H30="","",IF(MONTH(H30+1)&lt;&gt;MONTH(H30),"",H30+1))</f>
        <v>45362</v>
      </c>
      <c r="C31" s="49">
        <f t="shared" si="6"/>
        <v>45363</v>
      </c>
      <c r="D31" s="49">
        <f t="shared" si="6"/>
        <v>45364</v>
      </c>
      <c r="E31" s="49">
        <f t="shared" si="6"/>
        <v>45365</v>
      </c>
      <c r="F31" s="49">
        <f t="shared" si="6"/>
        <v>45366</v>
      </c>
      <c r="G31" s="49">
        <f t="shared" si="6"/>
        <v>45367</v>
      </c>
      <c r="H31" s="49">
        <f t="shared" si="6"/>
        <v>45368</v>
      </c>
      <c r="I31" s="44"/>
      <c r="J31" s="49">
        <f>IF(P30="","",IF(MONTH(P30+1)&lt;&gt;MONTH(P30),"",P30+1))</f>
        <v>45397</v>
      </c>
      <c r="K31" s="49">
        <f t="shared" si="7"/>
        <v>45398</v>
      </c>
      <c r="L31" s="49">
        <f t="shared" si="7"/>
        <v>45399</v>
      </c>
      <c r="M31" s="49">
        <f t="shared" si="7"/>
        <v>45400</v>
      </c>
      <c r="N31" s="49">
        <f t="shared" si="7"/>
        <v>45401</v>
      </c>
      <c r="O31" s="49">
        <f t="shared" si="7"/>
        <v>45402</v>
      </c>
      <c r="P31" s="49">
        <f t="shared" si="7"/>
        <v>45403</v>
      </c>
      <c r="Q31" s="44"/>
      <c r="R31" s="49">
        <f>IF(X30="","",IF(MONTH(X30+1)&lt;&gt;MONTH(X30),"",X30+1))</f>
        <v>45425</v>
      </c>
      <c r="S31" s="49">
        <f t="shared" si="8"/>
        <v>45426</v>
      </c>
      <c r="T31" s="49">
        <f t="shared" si="8"/>
        <v>45427</v>
      </c>
      <c r="U31" s="49">
        <f t="shared" si="8"/>
        <v>45428</v>
      </c>
      <c r="V31" s="49">
        <f t="shared" si="8"/>
        <v>45429</v>
      </c>
      <c r="W31" s="49">
        <f t="shared" si="8"/>
        <v>45430</v>
      </c>
      <c r="X31" s="49">
        <f t="shared" si="8"/>
        <v>45431</v>
      </c>
      <c r="AA31" s="69"/>
    </row>
    <row r="32" spans="1:27" ht="23.25" customHeight="1">
      <c r="A32" s="45"/>
      <c r="B32" s="49">
        <f>IF(H31="","",IF(MONTH(H31+1)&lt;&gt;MONTH(H31),"",H31+1))</f>
        <v>45369</v>
      </c>
      <c r="C32" s="49">
        <f t="shared" si="6"/>
        <v>45370</v>
      </c>
      <c r="D32" s="49">
        <f t="shared" si="6"/>
        <v>45371</v>
      </c>
      <c r="E32" s="49">
        <f t="shared" si="6"/>
        <v>45372</v>
      </c>
      <c r="F32" s="49">
        <f t="shared" si="6"/>
        <v>45373</v>
      </c>
      <c r="G32" s="49">
        <f t="shared" si="6"/>
        <v>45374</v>
      </c>
      <c r="H32" s="49">
        <f t="shared" si="6"/>
        <v>45375</v>
      </c>
      <c r="I32" s="44"/>
      <c r="J32" s="49">
        <f>IF(P31="","",IF(MONTH(P31+1)&lt;&gt;MONTH(P31),"",P31+1))</f>
        <v>45404</v>
      </c>
      <c r="K32" s="49">
        <f t="shared" si="7"/>
        <v>45405</v>
      </c>
      <c r="L32" s="49">
        <f t="shared" si="7"/>
        <v>45406</v>
      </c>
      <c r="M32" s="49">
        <f t="shared" si="7"/>
        <v>45407</v>
      </c>
      <c r="N32" s="49">
        <f t="shared" si="7"/>
        <v>45408</v>
      </c>
      <c r="O32" s="49">
        <f t="shared" si="7"/>
        <v>45409</v>
      </c>
      <c r="P32" s="49">
        <f t="shared" si="7"/>
        <v>45410</v>
      </c>
      <c r="Q32" s="44"/>
      <c r="R32" s="49">
        <f>IF(X31="","",IF(MONTH(X31+1)&lt;&gt;MONTH(X31),"",X31+1))</f>
        <v>45432</v>
      </c>
      <c r="S32" s="49">
        <f t="shared" si="8"/>
        <v>45433</v>
      </c>
      <c r="T32" s="49">
        <f t="shared" si="8"/>
        <v>45434</v>
      </c>
      <c r="U32" s="49">
        <f t="shared" si="8"/>
        <v>45435</v>
      </c>
      <c r="V32" s="49">
        <f t="shared" si="8"/>
        <v>45436</v>
      </c>
      <c r="W32" s="49">
        <f t="shared" si="8"/>
        <v>45437</v>
      </c>
      <c r="X32" s="49">
        <f t="shared" si="8"/>
        <v>45438</v>
      </c>
      <c r="AA32" s="69"/>
    </row>
    <row r="33" spans="1:28" ht="32.25" customHeight="1">
      <c r="A33" s="45"/>
      <c r="B33" s="49">
        <f>IF(H32="","",IF(MONTH(H32+1)&lt;&gt;MONTH(H32),"",H32+1))</f>
        <v>45376</v>
      </c>
      <c r="C33" s="49">
        <f t="shared" si="6"/>
        <v>45377</v>
      </c>
      <c r="D33" s="49">
        <f t="shared" si="6"/>
        <v>45378</v>
      </c>
      <c r="E33" s="49">
        <f t="shared" si="6"/>
        <v>45379</v>
      </c>
      <c r="F33" s="49">
        <f t="shared" si="6"/>
        <v>45380</v>
      </c>
      <c r="G33" s="49">
        <f t="shared" si="6"/>
        <v>45381</v>
      </c>
      <c r="H33" s="49">
        <f t="shared" si="6"/>
        <v>45382</v>
      </c>
      <c r="I33" s="44"/>
      <c r="J33" s="49">
        <f>IF(P32="","",IF(MONTH(P32+1)&lt;&gt;MONTH(P32),"",P32+1))</f>
        <v>45411</v>
      </c>
      <c r="K33" s="49">
        <f t="shared" si="7"/>
        <v>45412</v>
      </c>
      <c r="L33" s="49" t="str">
        <f t="shared" si="7"/>
        <v/>
      </c>
      <c r="M33" s="49" t="str">
        <f t="shared" si="7"/>
        <v/>
      </c>
      <c r="N33" s="49" t="str">
        <f t="shared" si="7"/>
        <v/>
      </c>
      <c r="O33" s="49" t="str">
        <f t="shared" si="7"/>
        <v/>
      </c>
      <c r="P33" s="49" t="str">
        <f t="shared" si="7"/>
        <v/>
      </c>
      <c r="Q33" s="44"/>
      <c r="R33" s="49">
        <f>IF(X32="","",IF(MONTH(X32+1)&lt;&gt;MONTH(X32),"",X32+1))</f>
        <v>45439</v>
      </c>
      <c r="S33" s="49">
        <f t="shared" si="8"/>
        <v>45440</v>
      </c>
      <c r="T33" s="49">
        <f t="shared" si="8"/>
        <v>45441</v>
      </c>
      <c r="U33" s="49">
        <f t="shared" si="8"/>
        <v>45442</v>
      </c>
      <c r="V33" s="49">
        <f t="shared" si="8"/>
        <v>45443</v>
      </c>
      <c r="W33" s="49" t="str">
        <f t="shared" si="8"/>
        <v/>
      </c>
      <c r="X33" s="49" t="str">
        <f t="shared" si="8"/>
        <v/>
      </c>
      <c r="Y33" s="95"/>
      <c r="Z33" s="95"/>
      <c r="AA33" s="69"/>
    </row>
    <row r="34" spans="1:28" ht="23.25" customHeight="1" thickBot="1">
      <c r="A34" s="45"/>
      <c r="B34" s="49" t="str">
        <f>IF(H33="","",IF(MONTH(H33+1)&lt;&gt;MONTH(H33),"",H33+1))</f>
        <v/>
      </c>
      <c r="C34" s="49" t="str">
        <f t="shared" si="6"/>
        <v/>
      </c>
      <c r="D34" s="49" t="str">
        <f t="shared" si="6"/>
        <v/>
      </c>
      <c r="E34" s="49" t="str">
        <f t="shared" si="6"/>
        <v/>
      </c>
      <c r="F34" s="49" t="str">
        <f t="shared" si="6"/>
        <v/>
      </c>
      <c r="G34" s="49" t="str">
        <f t="shared" si="6"/>
        <v/>
      </c>
      <c r="H34" s="49" t="str">
        <f t="shared" si="6"/>
        <v/>
      </c>
      <c r="I34" s="44"/>
      <c r="J34" s="49" t="str">
        <f>IF(P33="","",IF(MONTH(P33+1)&lt;&gt;MONTH(P33),"",P33+1))</f>
        <v/>
      </c>
      <c r="K34" s="49" t="str">
        <f t="shared" si="7"/>
        <v/>
      </c>
      <c r="L34" s="49" t="str">
        <f t="shared" si="7"/>
        <v/>
      </c>
      <c r="M34" s="49" t="str">
        <f t="shared" si="7"/>
        <v/>
      </c>
      <c r="N34" s="49" t="str">
        <f t="shared" si="7"/>
        <v/>
      </c>
      <c r="O34" s="49" t="str">
        <f t="shared" si="7"/>
        <v/>
      </c>
      <c r="P34" s="49" t="str">
        <f t="shared" si="7"/>
        <v/>
      </c>
      <c r="Q34" s="44"/>
      <c r="R34" s="49" t="str">
        <f>IF(X33="","",IF(MONTH(X33+1)&lt;&gt;MONTH(X33),"",X33+1))</f>
        <v/>
      </c>
      <c r="S34" s="49" t="str">
        <f t="shared" si="8"/>
        <v/>
      </c>
      <c r="T34" s="49" t="str">
        <f t="shared" si="8"/>
        <v/>
      </c>
      <c r="U34" s="49" t="str">
        <f t="shared" si="8"/>
        <v/>
      </c>
      <c r="V34" s="49" t="str">
        <f t="shared" si="8"/>
        <v/>
      </c>
      <c r="W34" s="49" t="str">
        <f t="shared" si="8"/>
        <v/>
      </c>
      <c r="X34" s="49" t="str">
        <f t="shared" si="8"/>
        <v/>
      </c>
    </row>
    <row r="35" spans="1:28" ht="23.25" customHeight="1" thickTop="1">
      <c r="A35" s="45"/>
      <c r="B35" s="433">
        <f>DATE(YEAR(R27+42),MONTH(R27+42),1)</f>
        <v>45444</v>
      </c>
      <c r="C35" s="433"/>
      <c r="D35" s="433"/>
      <c r="E35" s="433"/>
      <c r="F35" s="433"/>
      <c r="G35" s="433"/>
      <c r="H35" s="433"/>
      <c r="I35" s="44"/>
      <c r="J35" s="434" t="s">
        <v>90</v>
      </c>
      <c r="K35" s="435"/>
      <c r="L35" s="435"/>
      <c r="M35" s="435"/>
      <c r="N35" s="435"/>
      <c r="O35" s="435"/>
      <c r="P35" s="436"/>
      <c r="Q35" s="70"/>
      <c r="R35" s="395" t="s">
        <v>82</v>
      </c>
      <c r="S35" s="396"/>
      <c r="T35" s="396"/>
      <c r="U35" s="396"/>
      <c r="V35" s="397"/>
      <c r="W35" s="431" t="s">
        <v>93</v>
      </c>
      <c r="X35" s="432"/>
    </row>
    <row r="36" spans="1:28" ht="23.25" customHeight="1">
      <c r="B36" s="46" t="str">
        <f>CHOOSE(1+MOD($F$46+1-2,7),"D","H","M","Mër","E","P","SH")</f>
        <v>H</v>
      </c>
      <c r="C36" s="46" t="str">
        <f>CHOOSE(1+MOD($F$46+2-2,7),"D","H","M","Mër","E","P","SH")</f>
        <v>M</v>
      </c>
      <c r="D36" s="46" t="str">
        <f>CHOOSE(1+MOD($F$46+3-2,7),"D","H","M","Mër","E","P","SH")</f>
        <v>Mër</v>
      </c>
      <c r="E36" s="46" t="str">
        <f>CHOOSE(1+MOD($F$46+4-2,7),"D","H","M","Mër","E","P","SH")</f>
        <v>E</v>
      </c>
      <c r="F36" s="46" t="str">
        <f>CHOOSE(1+MOD($F$46+5-2,7),"D","H","M","Mër","E","P","SH")</f>
        <v>P</v>
      </c>
      <c r="G36" s="46" t="str">
        <f>CHOOSE(1+MOD($F$46+6-2,7),"D","H","M","Mër","E","P","SH")</f>
        <v>SH</v>
      </c>
      <c r="H36" s="46" t="str">
        <f>CHOOSE(1+MOD($F$46+7-2,7),"D","H","M","Mër","E","P","SH")</f>
        <v>D</v>
      </c>
      <c r="I36" s="44"/>
      <c r="J36" s="400" t="s">
        <v>68</v>
      </c>
      <c r="K36" s="401"/>
      <c r="L36" s="401"/>
      <c r="M36" s="401"/>
      <c r="N36" s="401"/>
      <c r="O36" s="401"/>
      <c r="P36" s="402"/>
      <c r="Q36" s="52"/>
      <c r="R36" s="383">
        <f>DATE($F$44,$F$45+2,1+27)</f>
        <v>45258</v>
      </c>
      <c r="S36" s="384"/>
      <c r="T36" s="384"/>
      <c r="U36" s="385" t="s">
        <v>94</v>
      </c>
      <c r="V36" s="386"/>
      <c r="W36" s="398" t="s">
        <v>86</v>
      </c>
      <c r="X36" s="399"/>
      <c r="AA36" s="69"/>
      <c r="AB36" s="69"/>
    </row>
    <row r="37" spans="1:28" ht="23.25" customHeight="1">
      <c r="A37" s="45"/>
      <c r="B37" s="49" t="str">
        <f>IF(WEEKDAY(B35,1)=MOD($F$46,7),B35,"")</f>
        <v/>
      </c>
      <c r="C37" s="49" t="str">
        <f>IF(B37="",IF(WEEKDAY(B35,1)=MOD($F$46,7)+1,B35,""),B37+1)</f>
        <v/>
      </c>
      <c r="D37" s="49" t="str">
        <f>IF(C37="",IF(WEEKDAY(B35,1)=MOD($F$46+1,7)+1,B35,""),C37+1)</f>
        <v/>
      </c>
      <c r="E37" s="49" t="str">
        <f>IF(D37="",IF(WEEKDAY(B35,1)=MOD($F$46+2,7)+1,B35,""),D37+1)</f>
        <v/>
      </c>
      <c r="F37" s="49" t="str">
        <f>IF(E37="",IF(WEEKDAY(B35,1)=MOD($F$46+3,7)+1,B35,""),E37+1)</f>
        <v/>
      </c>
      <c r="G37" s="49">
        <f>IF(F37="",IF(WEEKDAY(B35,1)=MOD($F$46+4,7)+1,B35,""),F37+1)</f>
        <v>45444</v>
      </c>
      <c r="H37" s="49">
        <f>IF(G37="",IF(WEEKDAY(B35,1)=MOD($F$46+5,7)+1,B35,""),G37+1)</f>
        <v>45445</v>
      </c>
      <c r="I37" s="44"/>
      <c r="J37" s="114"/>
      <c r="K37" s="115" t="str">
        <f>CHOOSE(1+MOD($F$46+1-2,7),"D","H","M","Mër","E","P","SH")</f>
        <v>H</v>
      </c>
      <c r="L37" s="115" t="str">
        <f>CHOOSE(1+MOD($F$46+2-2,7),"D","H","M","Mër","E","P","SH")</f>
        <v>M</v>
      </c>
      <c r="M37" s="115" t="str">
        <f>CHOOSE(1+MOD($F$46+3-2,7),"D","H","M","Mër","E","P","SH")</f>
        <v>Mër</v>
      </c>
      <c r="N37" s="115" t="str">
        <f>CHOOSE(1+MOD($F$46+4-2,7),"D","H","M","Mër","E","P","SH")</f>
        <v>E</v>
      </c>
      <c r="O37" s="115" t="str">
        <f>CHOOSE(1+MOD($F$46+5-2,7),"D","H","M","Mër","E","P","SH")</f>
        <v>P</v>
      </c>
      <c r="P37" s="116" t="s">
        <v>70</v>
      </c>
      <c r="Q37" s="52"/>
      <c r="R37" s="383">
        <f>DATE($F$44,$F$45+3,1+24)</f>
        <v>45285</v>
      </c>
      <c r="S37" s="384"/>
      <c r="T37" s="384"/>
      <c r="U37" s="385" t="s">
        <v>95</v>
      </c>
      <c r="V37" s="386"/>
      <c r="W37" s="388">
        <f>E49</f>
        <v>45170</v>
      </c>
      <c r="X37" s="389"/>
    </row>
    <row r="38" spans="1:28" ht="23.25" customHeight="1">
      <c r="A38" s="45"/>
      <c r="B38" s="49">
        <f>IF(H37="","",IF(MONTH(H37+1)&lt;&gt;MONTH(H37),"",H37+1))</f>
        <v>45446</v>
      </c>
      <c r="C38" s="49">
        <f t="shared" ref="C38:H42" si="9">IF(B38="","",IF(MONTH(B38+1)&lt;&gt;MONTH(B38),"",B38+1))</f>
        <v>45447</v>
      </c>
      <c r="D38" s="49">
        <f t="shared" si="9"/>
        <v>45448</v>
      </c>
      <c r="E38" s="49">
        <f t="shared" si="9"/>
        <v>45449</v>
      </c>
      <c r="F38" s="49">
        <f t="shared" si="9"/>
        <v>45450</v>
      </c>
      <c r="G38" s="49">
        <f t="shared" si="9"/>
        <v>45451</v>
      </c>
      <c r="H38" s="49">
        <f t="shared" si="9"/>
        <v>45452</v>
      </c>
      <c r="I38" s="44"/>
      <c r="J38" s="117" t="s">
        <v>71</v>
      </c>
      <c r="K38" s="118">
        <f>NETWORKDAYS.INTL(W37,$W48,"0111111",$R$36:$S$54)</f>
        <v>4</v>
      </c>
      <c r="L38" s="118">
        <f>NETWORKDAYS.INTL(W37,W48,"1011111",$R$36:$S$54)</f>
        <v>4</v>
      </c>
      <c r="M38" s="118">
        <f>NETWORKDAYS.INTL(W37,W48,"1101111",$R$36:$S$54)</f>
        <v>4</v>
      </c>
      <c r="N38" s="118">
        <f>NETWORKDAYS.INTL(W37,W48,"1110111",$R$36:$S$54)</f>
        <v>4</v>
      </c>
      <c r="O38" s="118">
        <f>NETWORKDAYS.INTL(W37,W48,"1111011",$R$36:$S$54)</f>
        <v>5</v>
      </c>
      <c r="P38" s="119">
        <f>NETWORKDAYS.INTL(W37,W48,1,$R$36:$S$54)</f>
        <v>21</v>
      </c>
      <c r="Q38" s="52"/>
      <c r="R38" s="383">
        <f>DATE($F$44,$F$45+4,1)</f>
        <v>45292</v>
      </c>
      <c r="S38" s="384"/>
      <c r="T38" s="384"/>
      <c r="U38" s="385" t="s">
        <v>96</v>
      </c>
      <c r="V38" s="386"/>
      <c r="W38" s="388">
        <f>DATE(YEAR($B$9+42),MONTH($B$9+42),1)</f>
        <v>45200</v>
      </c>
      <c r="X38" s="389"/>
    </row>
    <row r="39" spans="1:28" ht="23.25" customHeight="1">
      <c r="A39" s="45"/>
      <c r="B39" s="49">
        <f>IF(H38="","",IF(MONTH(H38+1)&lt;&gt;MONTH(H38),"",H38+1))</f>
        <v>45453</v>
      </c>
      <c r="C39" s="49">
        <f t="shared" si="9"/>
        <v>45454</v>
      </c>
      <c r="D39" s="49">
        <f t="shared" si="9"/>
        <v>45455</v>
      </c>
      <c r="E39" s="49">
        <f t="shared" si="9"/>
        <v>45456</v>
      </c>
      <c r="F39" s="49">
        <f t="shared" si="9"/>
        <v>45457</v>
      </c>
      <c r="G39" s="49">
        <f t="shared" si="9"/>
        <v>45458</v>
      </c>
      <c r="H39" s="49">
        <f t="shared" si="9"/>
        <v>45459</v>
      </c>
      <c r="I39" s="44"/>
      <c r="J39" s="117" t="s">
        <v>73</v>
      </c>
      <c r="K39" s="118">
        <f>NETWORKDAYS.INTL(W38,$W49,"0111111",$R$36:$S$54)</f>
        <v>5</v>
      </c>
      <c r="L39" s="118">
        <f>NETWORKDAYS.INTL(W38,W49,"1011111",$R$36:$S$54)</f>
        <v>5</v>
      </c>
      <c r="M39" s="118">
        <f>NETWORKDAYS.INTL(W38,W49,"1101111",$R$36:$S$54)</f>
        <v>4</v>
      </c>
      <c r="N39" s="118">
        <f>NETWORKDAYS.INTL(W38,W49,"1110111",$R$36:$S$54)</f>
        <v>4</v>
      </c>
      <c r="O39" s="118">
        <f>NETWORKDAYS.INTL(W38,W49,"1111011",$R$36:$S$54)</f>
        <v>4</v>
      </c>
      <c r="P39" s="119">
        <f>NETWORKDAYS.INTL(W38,W49,1,$R$36:$S$54)</f>
        <v>22</v>
      </c>
      <c r="Q39" s="52"/>
      <c r="R39" s="383">
        <f>DATE($F$44,$F$45+4,1+1)</f>
        <v>45293</v>
      </c>
      <c r="S39" s="384"/>
      <c r="T39" s="384"/>
      <c r="U39" s="385" t="s">
        <v>97</v>
      </c>
      <c r="V39" s="386"/>
      <c r="W39" s="388">
        <f>E51</f>
        <v>45236</v>
      </c>
      <c r="X39" s="389"/>
    </row>
    <row r="40" spans="1:28" ht="23.25" customHeight="1">
      <c r="A40" s="45"/>
      <c r="B40" s="49">
        <f>IF(H39="","",IF(MONTH(H39+1)&lt;&gt;MONTH(H39),"",H39+1))</f>
        <v>45460</v>
      </c>
      <c r="C40" s="49">
        <f t="shared" si="9"/>
        <v>45461</v>
      </c>
      <c r="D40" s="49">
        <f t="shared" si="9"/>
        <v>45462</v>
      </c>
      <c r="E40" s="49">
        <f t="shared" si="9"/>
        <v>45463</v>
      </c>
      <c r="F40" s="49">
        <f t="shared" si="9"/>
        <v>45464</v>
      </c>
      <c r="G40" s="49">
        <f t="shared" si="9"/>
        <v>45465</v>
      </c>
      <c r="H40" s="49">
        <f t="shared" si="9"/>
        <v>45466</v>
      </c>
      <c r="I40" s="44"/>
      <c r="J40" s="117" t="s">
        <v>75</v>
      </c>
      <c r="K40" s="118">
        <f>NETWORKDAYS.INTL(W39,$W50,"0111111",$R$36:$S$54)</f>
        <v>4</v>
      </c>
      <c r="L40" s="118">
        <f>NETWORKDAYS.INTL(W39,W50,"1011111",$R$36:$S$54)</f>
        <v>3</v>
      </c>
      <c r="M40" s="118">
        <f>NETWORKDAYS.INTL(W39,W50,"1101111",$R$36:$S$54)</f>
        <v>4</v>
      </c>
      <c r="N40" s="118">
        <f>NETWORKDAYS.INTL(W39,W50,"1110111",$R$36:$S$54)</f>
        <v>4</v>
      </c>
      <c r="O40" s="118">
        <f>NETWORKDAYS.INTL(W39,W50,"1111011",$R$36:$S$54)</f>
        <v>3</v>
      </c>
      <c r="P40" s="119">
        <f>NETWORKDAYS.INTL(W39,W50,1,$R$36:$S$54)</f>
        <v>18</v>
      </c>
      <c r="Q40" s="52"/>
      <c r="R40" s="390">
        <v>45298</v>
      </c>
      <c r="S40" s="391"/>
      <c r="T40" s="392"/>
      <c r="U40" s="393" t="s">
        <v>129</v>
      </c>
      <c r="V40" s="394"/>
      <c r="W40" s="388">
        <f>DATE(YEAR($R$9+42),MONTH($R$9+42),1)</f>
        <v>45261</v>
      </c>
      <c r="X40" s="389"/>
    </row>
    <row r="41" spans="1:28" ht="29.25" customHeight="1">
      <c r="A41" s="45"/>
      <c r="B41" s="53">
        <f>IF(H40="","",IF(MONTH(H40+1)&lt;&gt;MONTH(H40),"",H40+1))</f>
        <v>45467</v>
      </c>
      <c r="C41" s="53">
        <f t="shared" si="9"/>
        <v>45468</v>
      </c>
      <c r="D41" s="53">
        <f t="shared" si="9"/>
        <v>45469</v>
      </c>
      <c r="E41" s="53">
        <f t="shared" si="9"/>
        <v>45470</v>
      </c>
      <c r="F41" s="53">
        <f t="shared" si="9"/>
        <v>45471</v>
      </c>
      <c r="G41" s="49">
        <f t="shared" si="9"/>
        <v>45472</v>
      </c>
      <c r="H41" s="49">
        <f t="shared" si="9"/>
        <v>45473</v>
      </c>
      <c r="I41" s="44"/>
      <c r="J41" s="117" t="s">
        <v>77</v>
      </c>
      <c r="K41" s="118">
        <f>NETWORKDAYS.INTL(W40,$W51,"0111111",$R$36:$S$54)</f>
        <v>3</v>
      </c>
      <c r="L41" s="118">
        <f>NETWORKDAYS.INTL(W40,W51,"1011111",$R$36:$S$54)</f>
        <v>4</v>
      </c>
      <c r="M41" s="118">
        <f>NETWORKDAYS.INTL(W40,W51,"1101111",$R$36:$S$54)</f>
        <v>4</v>
      </c>
      <c r="N41" s="118">
        <f>NETWORKDAYS.INTL(W40,W51,"1110111",$R$36:$S$54)</f>
        <v>4</v>
      </c>
      <c r="O41" s="118">
        <f>NETWORKDAYS.INTL(W40,W51,"1111011",$R$36:$S$54)</f>
        <v>5</v>
      </c>
      <c r="P41" s="119">
        <f>NETWORKDAYS.INTL(W40,W51,1,$R$36:$S$54)</f>
        <v>20</v>
      </c>
      <c r="Q41" s="52"/>
      <c r="R41" s="383">
        <f>DATE($F$44,$F$45+5,1+16)</f>
        <v>45339</v>
      </c>
      <c r="S41" s="384"/>
      <c r="T41" s="384"/>
      <c r="U41" s="385" t="s">
        <v>99</v>
      </c>
      <c r="V41" s="386"/>
      <c r="W41" s="388">
        <f>E54</f>
        <v>45294</v>
      </c>
      <c r="X41" s="389"/>
    </row>
    <row r="42" spans="1:28" ht="23.25" customHeight="1" thickBot="1">
      <c r="A42" s="45"/>
      <c r="B42" s="49" t="str">
        <f>IF(H41="","",IF(MONTH(H41+1)&lt;&gt;MONTH(H41),"",H41+1))</f>
        <v/>
      </c>
      <c r="C42" s="49" t="str">
        <f t="shared" si="9"/>
        <v/>
      </c>
      <c r="D42" s="49" t="str">
        <f t="shared" si="9"/>
        <v/>
      </c>
      <c r="E42" s="49" t="str">
        <f t="shared" si="9"/>
        <v/>
      </c>
      <c r="F42" s="49" t="str">
        <f t="shared" si="9"/>
        <v/>
      </c>
      <c r="G42" s="49" t="str">
        <f t="shared" si="9"/>
        <v/>
      </c>
      <c r="H42" s="49" t="str">
        <f t="shared" si="9"/>
        <v/>
      </c>
      <c r="I42" s="44"/>
      <c r="J42" s="122" t="s">
        <v>72</v>
      </c>
      <c r="K42" s="123">
        <f>NETWORKDAYS.INTL(E54,H54,"0111111",$R$36:$T$57)</f>
        <v>0</v>
      </c>
      <c r="L42" s="123">
        <f>NETWORKDAYS.INTL(E54,H54,"1011111",$O$61:$Q$76)</f>
        <v>1</v>
      </c>
      <c r="M42" s="123">
        <f>NETWORKDAYS.INTL(E54,H54,"1101111",$O$61:$Q$76)</f>
        <v>2</v>
      </c>
      <c r="N42" s="123">
        <f>NETWORKDAYS.INTL(E54,H54,"1110111",$O$61:$Q$76)</f>
        <v>2</v>
      </c>
      <c r="O42" s="123">
        <f>NETWORKDAYS.INTL(E54,H54,"1111011",$O$61:$Q$76)</f>
        <v>2</v>
      </c>
      <c r="P42" s="124">
        <f>NETWORKDAYS.INTL(E54,H54,1,$R$36:$S$54)</f>
        <v>7</v>
      </c>
      <c r="Q42" s="52"/>
      <c r="R42" s="418">
        <f>DATE($F$44,$F$45+7,1+8)</f>
        <v>45391</v>
      </c>
      <c r="S42" s="419"/>
      <c r="T42" s="420"/>
      <c r="U42" s="157" t="s">
        <v>101</v>
      </c>
      <c r="V42" s="158"/>
      <c r="W42" s="388">
        <f>DATE(YEAR($J$18+42),MONTH($J$18+42),1)</f>
        <v>45323</v>
      </c>
      <c r="X42" s="389"/>
    </row>
    <row r="43" spans="1:28" ht="23.25" customHeight="1" thickTop="1" thickBot="1">
      <c r="A43" s="45"/>
      <c r="B43" s="427" t="s">
        <v>120</v>
      </c>
      <c r="C43" s="428"/>
      <c r="D43" s="428"/>
      <c r="E43" s="428"/>
      <c r="F43" s="428"/>
      <c r="G43" s="428"/>
      <c r="H43" s="429"/>
      <c r="I43" s="44"/>
      <c r="J43" s="117" t="s">
        <v>79</v>
      </c>
      <c r="K43" s="120">
        <f t="shared" ref="K43:P43" si="10">SUM(K38:K42)</f>
        <v>16</v>
      </c>
      <c r="L43" s="120">
        <f t="shared" si="10"/>
        <v>17</v>
      </c>
      <c r="M43" s="120">
        <f t="shared" si="10"/>
        <v>18</v>
      </c>
      <c r="N43" s="120">
        <f t="shared" si="10"/>
        <v>18</v>
      </c>
      <c r="O43" s="120">
        <f t="shared" si="10"/>
        <v>19</v>
      </c>
      <c r="P43" s="121">
        <f t="shared" si="10"/>
        <v>88</v>
      </c>
      <c r="Q43" s="52"/>
      <c r="R43" s="418">
        <f>DATE($F$44,$F$45+8,1)</f>
        <v>45413</v>
      </c>
      <c r="S43" s="419"/>
      <c r="T43" s="420"/>
      <c r="U43" s="157" t="s">
        <v>103</v>
      </c>
      <c r="V43" s="158"/>
      <c r="W43" s="388">
        <f>DATE(YEAR($R$18+42),MONTH($R$18+42),1)</f>
        <v>45352</v>
      </c>
      <c r="X43" s="389"/>
    </row>
    <row r="44" spans="1:28" ht="30.75" customHeight="1" thickTop="1" thickBot="1">
      <c r="B44" s="416" t="s">
        <v>110</v>
      </c>
      <c r="C44" s="417"/>
      <c r="D44" s="417"/>
      <c r="E44" s="417"/>
      <c r="F44" s="466">
        <v>2023</v>
      </c>
      <c r="G44" s="466"/>
      <c r="H44" s="141" t="s">
        <v>124</v>
      </c>
      <c r="I44" s="71"/>
      <c r="J44" s="400" t="s">
        <v>69</v>
      </c>
      <c r="K44" s="401"/>
      <c r="L44" s="401"/>
      <c r="M44" s="401"/>
      <c r="N44" s="401"/>
      <c r="O44" s="401"/>
      <c r="P44" s="402"/>
      <c r="Q44" s="96"/>
      <c r="R44" s="418">
        <f>DATE($F$44,$F$45+8,1+8)</f>
        <v>45421</v>
      </c>
      <c r="S44" s="419"/>
      <c r="T44" s="420"/>
      <c r="U44" s="157" t="s">
        <v>105</v>
      </c>
      <c r="V44" s="158"/>
      <c r="W44" s="388">
        <f>DATE(YEAR($B$27+42),MONTH($B$27+42),8)</f>
        <v>45390</v>
      </c>
      <c r="X44" s="389"/>
    </row>
    <row r="45" spans="1:28" s="45" customFormat="1" ht="23.25" customHeight="1" thickTop="1" thickBot="1">
      <c r="A45" s="43"/>
      <c r="B45" s="439" t="s">
        <v>112</v>
      </c>
      <c r="C45" s="440"/>
      <c r="D45" s="440"/>
      <c r="E45" s="440"/>
      <c r="F45" s="441">
        <v>9</v>
      </c>
      <c r="G45" s="442"/>
      <c r="H45" s="165">
        <v>45351</v>
      </c>
      <c r="I45" s="72"/>
      <c r="J45" s="122" t="s">
        <v>72</v>
      </c>
      <c r="K45" s="123">
        <f>NETWORKDAYS.INTL(E55,H55,"0111111",$R$36:$T$57)</f>
        <v>1</v>
      </c>
      <c r="L45" s="123">
        <f>NETWORKDAYS.INTL(E55,H55,"1011111",$R$36:$T$57)</f>
        <v>1</v>
      </c>
      <c r="M45" s="123">
        <f>NETWORKDAYS.INTL(E55,H55,"1101111",$R$36:$T$57)</f>
        <v>2</v>
      </c>
      <c r="N45" s="123">
        <f>NETWORKDAYS.INTL(E55,H55,"1110111",$R$36:$T$57)</f>
        <v>1</v>
      </c>
      <c r="O45" s="123">
        <f>NETWORKDAYS.INTL(E55,H55,"1111011",$R$36:$T$57)</f>
        <v>1</v>
      </c>
      <c r="P45" s="124">
        <f>NETWORKDAYS.INTL(E55,H55,1,$R$36:$S$57)</f>
        <v>6</v>
      </c>
      <c r="Q45" s="43"/>
      <c r="R45" s="421">
        <f>DATE($F$44,$F$45+9,1+11)</f>
        <v>45455</v>
      </c>
      <c r="S45" s="422"/>
      <c r="T45" s="423"/>
      <c r="U45" s="161" t="s">
        <v>111</v>
      </c>
      <c r="V45" s="162"/>
      <c r="W45" s="388">
        <f>DATE(YEAR($J$27+42),MONTH($J$27+42),1)</f>
        <v>45413</v>
      </c>
      <c r="X45" s="389"/>
    </row>
    <row r="46" spans="1:28" s="48" customFormat="1" ht="23.25" customHeight="1" thickTop="1" thickBot="1">
      <c r="A46" s="43"/>
      <c r="B46" s="443" t="s">
        <v>114</v>
      </c>
      <c r="C46" s="444"/>
      <c r="D46" s="444"/>
      <c r="E46" s="444"/>
      <c r="F46" s="445">
        <v>2</v>
      </c>
      <c r="G46" s="446"/>
      <c r="H46" s="125" t="s">
        <v>121</v>
      </c>
      <c r="I46" s="97"/>
      <c r="J46" s="122" t="s">
        <v>74</v>
      </c>
      <c r="K46" s="123">
        <f>NETWORKDAYS.INTL(W42,W53,"0111111",$R$36:$S$54)</f>
        <v>3</v>
      </c>
      <c r="L46" s="123">
        <f>NETWORKDAYS.INTL(W42,W53,"1011111",$R$36:$S$54)</f>
        <v>4</v>
      </c>
      <c r="M46" s="123">
        <f>NETWORKDAYS.INTL(W42,W53,"1101111",$R$36:$S$54)</f>
        <v>4</v>
      </c>
      <c r="N46" s="123">
        <f>NETWORKDAYS.INTL(W42,W53,"1110111",$R$36:$S$54)</f>
        <v>5</v>
      </c>
      <c r="O46" s="123">
        <f>NETWORKDAYS.INTL(W42,W53,"1111011",$R$36:$S$54)</f>
        <v>4</v>
      </c>
      <c r="P46" s="124">
        <f>NETWORKDAYS.INTL(W42,W53,1,$R$36:$S$54)</f>
        <v>20</v>
      </c>
      <c r="Q46" s="43"/>
      <c r="R46" s="424">
        <v>45341</v>
      </c>
      <c r="S46" s="425"/>
      <c r="T46" s="426"/>
      <c r="U46" s="163" t="s">
        <v>113</v>
      </c>
      <c r="V46" s="164"/>
      <c r="W46" s="388">
        <f>DATE(YEAR($R$27+42),MONTH($R$27+42),1)</f>
        <v>45444</v>
      </c>
      <c r="X46" s="389"/>
    </row>
    <row r="47" spans="1:28" s="48" customFormat="1" ht="28.5" customHeight="1" thickTop="1">
      <c r="A47" s="45"/>
      <c r="B47" s="459" t="s">
        <v>92</v>
      </c>
      <c r="C47" s="460"/>
      <c r="D47" s="460"/>
      <c r="E47" s="460"/>
      <c r="F47" s="460"/>
      <c r="G47" s="460"/>
      <c r="H47" s="461"/>
      <c r="I47" s="73"/>
      <c r="J47" s="122" t="s">
        <v>76</v>
      </c>
      <c r="K47" s="123">
        <f>NETWORKDAYS.INTL(W43,W54,"0111111",$R$36:$S$54)</f>
        <v>4</v>
      </c>
      <c r="L47" s="123">
        <f>NETWORKDAYS.INTL(W43,W54,"1011111",$R$36:$S$54)</f>
        <v>4</v>
      </c>
      <c r="M47" s="123">
        <f>NETWORKDAYS.INTL(W43,W54,"1101111",$R$36:$S$54)</f>
        <v>4</v>
      </c>
      <c r="N47" s="123">
        <f>NETWORKDAYS.INTL(W43,W54,"1110111",$R$36:$S$54)</f>
        <v>4</v>
      </c>
      <c r="O47" s="123">
        <f>NETWORKDAYS.INTL(W43,W54,"1111011",$R$36:$S$54)</f>
        <v>5</v>
      </c>
      <c r="P47" s="124">
        <f>NETWORKDAYS.INTL(W43,W54,1,$R$36:$S$54)</f>
        <v>21</v>
      </c>
      <c r="Q47" s="45"/>
      <c r="R47" s="403">
        <v>45383</v>
      </c>
      <c r="S47" s="404"/>
      <c r="T47" s="405"/>
      <c r="U47" s="159" t="s">
        <v>100</v>
      </c>
      <c r="V47" s="160"/>
      <c r="W47" s="437" t="s">
        <v>87</v>
      </c>
      <c r="X47" s="438"/>
    </row>
    <row r="48" spans="1:28" s="50" customFormat="1" ht="27" customHeight="1">
      <c r="A48" s="48"/>
      <c r="B48" s="462" t="s">
        <v>115</v>
      </c>
      <c r="C48" s="463"/>
      <c r="D48" s="463"/>
      <c r="E48" s="464" t="s">
        <v>116</v>
      </c>
      <c r="F48" s="464"/>
      <c r="G48" s="142"/>
      <c r="H48" s="98" t="s">
        <v>117</v>
      </c>
      <c r="I48" s="73"/>
      <c r="J48" s="122" t="s">
        <v>78</v>
      </c>
      <c r="K48" s="123">
        <f>NETWORKDAYS.INTL(E58,H58,"0111111",$R$36:$S$54)</f>
        <v>0</v>
      </c>
      <c r="L48" s="123">
        <f>NETWORKDAYS.INTL(E58,H58,"1011111",$R$36:$S$54)</f>
        <v>1</v>
      </c>
      <c r="M48" s="123">
        <f>NETWORKDAYS.INTL(E58,H58,"1101111",$R$36:$S$54)</f>
        <v>1</v>
      </c>
      <c r="N48" s="123">
        <f>NETWORKDAYS.INTL(E58,H58,"1110111",$R$36:$S$54)</f>
        <v>1</v>
      </c>
      <c r="O48" s="123">
        <f>NETWORKDAYS.INTL(E58,H58,"1111011",$R$36:$S$54)</f>
        <v>1</v>
      </c>
      <c r="P48" s="124">
        <f>NETWORKDAYS.INTL(E58,H58,1,$R$36:$S$54)</f>
        <v>4</v>
      </c>
      <c r="Q48" s="48"/>
      <c r="R48" s="403">
        <v>45392</v>
      </c>
      <c r="S48" s="404"/>
      <c r="T48" s="405"/>
      <c r="U48" s="159" t="s">
        <v>102</v>
      </c>
      <c r="V48" s="160"/>
      <c r="W48" s="388">
        <f>DATE(F44,F45,30)</f>
        <v>45199</v>
      </c>
      <c r="X48" s="389"/>
    </row>
    <row r="49" spans="1:24" s="50" customFormat="1" ht="23.25" customHeight="1">
      <c r="A49" s="48"/>
      <c r="B49" s="462"/>
      <c r="C49" s="463"/>
      <c r="D49" s="463"/>
      <c r="E49" s="454">
        <v>45170</v>
      </c>
      <c r="F49" s="454"/>
      <c r="G49" s="48"/>
      <c r="H49" s="99">
        <v>45467</v>
      </c>
      <c r="I49" s="48"/>
      <c r="J49" s="143" t="s">
        <v>125</v>
      </c>
      <c r="K49" s="123">
        <f>NETWORKDAYS.INTL(E59,H59,"0111111",$R$36:$S$54)</f>
        <v>3</v>
      </c>
      <c r="L49" s="123">
        <f>NETWORKDAYS.INTL(E59,H59,"1011111",$R$36:$S$54)</f>
        <v>3</v>
      </c>
      <c r="M49" s="123">
        <f>NETWORKDAYS.INTL(E59,H59,"1101111",$R$36:$S$54)</f>
        <v>2</v>
      </c>
      <c r="N49" s="123">
        <f>NETWORKDAYS.INTL(E59,H59,"1110111",$R$36:$S$54)</f>
        <v>2</v>
      </c>
      <c r="O49" s="123">
        <f>NETWORKDAYS.INTL(E59,H59,"1111011",$R$36:$S$54)</f>
        <v>2</v>
      </c>
      <c r="P49" s="124">
        <f>NETWORKDAYS.INTL(E59,H59,1,$R$36:$S$54)</f>
        <v>12</v>
      </c>
      <c r="Q49" s="48"/>
      <c r="R49" s="403">
        <v>45418</v>
      </c>
      <c r="S49" s="404"/>
      <c r="T49" s="405"/>
      <c r="U49" s="159" t="s">
        <v>104</v>
      </c>
      <c r="V49" s="160"/>
      <c r="W49" s="388">
        <f>DATE(YEAR($B$9+42),MONTH($B$9+42),31)</f>
        <v>45230</v>
      </c>
      <c r="X49" s="389"/>
    </row>
    <row r="50" spans="1:24" s="50" customFormat="1" ht="23.25" customHeight="1">
      <c r="B50" s="447" t="s">
        <v>126</v>
      </c>
      <c r="C50" s="448"/>
      <c r="D50" s="448"/>
      <c r="E50" s="465">
        <v>45231</v>
      </c>
      <c r="F50" s="465"/>
      <c r="G50" s="108"/>
      <c r="H50" s="166">
        <v>45233</v>
      </c>
      <c r="I50" s="73"/>
      <c r="J50" s="122" t="s">
        <v>80</v>
      </c>
      <c r="K50" s="123">
        <f>NETWORKDAYS.INTL(W45,W56,"0111111",$R$36:$S$54)</f>
        <v>3</v>
      </c>
      <c r="L50" s="123">
        <f>NETWORKDAYS.INTL(W45,W56,"1011111",$R$36:$S$54)</f>
        <v>4</v>
      </c>
      <c r="M50" s="123">
        <f>NETWORKDAYS.INTL(W45,W56,"1101111",$R$36:$S$54)</f>
        <v>4</v>
      </c>
      <c r="N50" s="123">
        <f>NETWORKDAYS.INTL(W45,W56,"1110111",$R$36:$S$54)</f>
        <v>4</v>
      </c>
      <c r="O50" s="123">
        <f>NETWORKDAYS.INTL(W45,W56,"1111011",$R$36:$S$54)</f>
        <v>5</v>
      </c>
      <c r="P50" s="124">
        <f>NETWORKDAYS.INTL(W45,W56,1,$R$36:$S$54)</f>
        <v>20</v>
      </c>
      <c r="R50" s="403">
        <v>45459</v>
      </c>
      <c r="S50" s="404"/>
      <c r="T50" s="405"/>
      <c r="U50" s="159" t="s">
        <v>106</v>
      </c>
      <c r="V50" s="160"/>
      <c r="W50" s="388">
        <f>H51</f>
        <v>45260</v>
      </c>
      <c r="X50" s="389"/>
    </row>
    <row r="51" spans="1:24" s="50" customFormat="1" ht="23.25" customHeight="1">
      <c r="B51" s="499" t="s">
        <v>128</v>
      </c>
      <c r="C51" s="500"/>
      <c r="D51" s="500"/>
      <c r="E51" s="458">
        <v>45236</v>
      </c>
      <c r="F51" s="458"/>
      <c r="G51" s="108"/>
      <c r="H51" s="167">
        <v>45260</v>
      </c>
      <c r="I51" s="68"/>
      <c r="J51" s="122" t="s">
        <v>81</v>
      </c>
      <c r="K51" s="123">
        <f>NETWORKDAYS.INTL(W46,W57,"0111111",$R$36:$S$54)</f>
        <v>3</v>
      </c>
      <c r="L51" s="123">
        <f>NETWORKDAYS.INTL(W46,W57,"1011111",$R$36:$S$54)</f>
        <v>3</v>
      </c>
      <c r="M51" s="123">
        <f>NETWORKDAYS.INTL(W46,W57,"1101111",$R$36:$S$54)</f>
        <v>2</v>
      </c>
      <c r="N51" s="123">
        <f>NETWORKDAYS.INTL(W46,W57,"1110111",$R$36:$S$54)</f>
        <v>3</v>
      </c>
      <c r="O51" s="123">
        <f>NETWORKDAYS.INTL(W46,W57,"1111011",$R$36:$S$54)</f>
        <v>3</v>
      </c>
      <c r="P51" s="124">
        <f>NETWORKDAYS.INTL(W46,W57,1,$R$36:$S$54)</f>
        <v>14</v>
      </c>
      <c r="R51" s="406">
        <v>45460</v>
      </c>
      <c r="S51" s="407"/>
      <c r="T51" s="408"/>
      <c r="U51" s="159" t="s">
        <v>127</v>
      </c>
      <c r="V51" s="160"/>
      <c r="W51" s="388">
        <f>DATE(YEAR($R$9+42),MONTH($R$9+42),31)</f>
        <v>45291</v>
      </c>
      <c r="X51" s="389"/>
    </row>
    <row r="52" spans="1:24" s="50" customFormat="1" ht="24.75" customHeight="1">
      <c r="B52" s="499"/>
      <c r="C52" s="500"/>
      <c r="D52" s="500"/>
      <c r="E52" s="144"/>
      <c r="F52" s="48"/>
      <c r="G52" s="48"/>
      <c r="H52" s="100"/>
      <c r="I52" s="101"/>
      <c r="J52" s="126" t="s">
        <v>79</v>
      </c>
      <c r="K52" s="127">
        <f>SUM(K45:K51)</f>
        <v>17</v>
      </c>
      <c r="L52" s="127">
        <f>SUM(L45:L51)</f>
        <v>20</v>
      </c>
      <c r="M52" s="127">
        <f>SUM(M45:M51)</f>
        <v>19</v>
      </c>
      <c r="N52" s="145">
        <f>SUM(N45:N51)</f>
        <v>20</v>
      </c>
      <c r="O52" s="145">
        <f>SUM(O45:O51)</f>
        <v>21</v>
      </c>
      <c r="P52" s="121">
        <f>SUM(K52:O52)</f>
        <v>97</v>
      </c>
      <c r="R52" s="403">
        <v>45299</v>
      </c>
      <c r="S52" s="404"/>
      <c r="T52" s="405"/>
      <c r="U52" s="409" t="s">
        <v>130</v>
      </c>
      <c r="V52" s="410"/>
      <c r="W52" s="388">
        <f>H54</f>
        <v>45303</v>
      </c>
      <c r="X52" s="389"/>
    </row>
    <row r="53" spans="1:24" s="50" customFormat="1" ht="21.75" customHeight="1" thickBot="1">
      <c r="B53" s="447" t="s">
        <v>98</v>
      </c>
      <c r="C53" s="448"/>
      <c r="D53" s="448"/>
      <c r="E53" s="497">
        <v>45306</v>
      </c>
      <c r="F53" s="498"/>
      <c r="G53" s="109"/>
      <c r="H53" s="102">
        <v>45314</v>
      </c>
      <c r="I53" s="101"/>
      <c r="J53" s="105"/>
      <c r="P53" s="136"/>
      <c r="R53" s="411"/>
      <c r="S53" s="412"/>
      <c r="T53" s="413"/>
      <c r="U53" s="409"/>
      <c r="V53" s="410"/>
      <c r="W53" s="388">
        <f>H45</f>
        <v>45351</v>
      </c>
      <c r="X53" s="389"/>
    </row>
    <row r="54" spans="1:24" ht="23.25" customHeight="1" thickTop="1">
      <c r="A54" s="50"/>
      <c r="B54" s="449" t="s">
        <v>118</v>
      </c>
      <c r="C54" s="450"/>
      <c r="D54" s="450"/>
      <c r="E54" s="496">
        <v>45294</v>
      </c>
      <c r="F54" s="496"/>
      <c r="G54" s="109"/>
      <c r="H54" s="103">
        <v>45303</v>
      </c>
      <c r="I54" s="68"/>
      <c r="J54" s="451" t="s">
        <v>123</v>
      </c>
      <c r="K54" s="452"/>
      <c r="L54" s="452"/>
      <c r="M54" s="452"/>
      <c r="N54" s="452"/>
      <c r="O54" s="452"/>
      <c r="P54" s="453"/>
      <c r="Q54" s="50"/>
      <c r="R54" s="411"/>
      <c r="S54" s="412"/>
      <c r="T54" s="413"/>
      <c r="U54" s="414"/>
      <c r="V54" s="415"/>
      <c r="W54" s="388">
        <f>DATE(YEAR($R$18+42),MONTH($R$18+42),31)</f>
        <v>45382</v>
      </c>
      <c r="X54" s="389"/>
    </row>
    <row r="55" spans="1:24" s="45" customFormat="1" ht="23.25" customHeight="1">
      <c r="A55" s="50"/>
      <c r="B55" s="449"/>
      <c r="C55" s="450"/>
      <c r="D55" s="450"/>
      <c r="E55" s="454">
        <v>45315</v>
      </c>
      <c r="F55" s="455"/>
      <c r="G55" s="110"/>
      <c r="H55" s="168">
        <v>45322</v>
      </c>
      <c r="I55" s="68"/>
      <c r="J55" s="456" t="s">
        <v>60</v>
      </c>
      <c r="K55" s="457"/>
      <c r="L55" s="50"/>
      <c r="M55" s="457" t="s">
        <v>61</v>
      </c>
      <c r="N55" s="457"/>
      <c r="O55" s="457"/>
      <c r="P55" s="130" t="s">
        <v>79</v>
      </c>
      <c r="Q55" s="50"/>
      <c r="R55" s="411"/>
      <c r="S55" s="412"/>
      <c r="T55" s="413"/>
      <c r="U55" s="414"/>
      <c r="V55" s="415"/>
      <c r="W55" s="388">
        <f>H58</f>
        <v>45387</v>
      </c>
      <c r="X55" s="389"/>
    </row>
    <row r="56" spans="1:24" s="48" customFormat="1" ht="21" customHeight="1">
      <c r="A56" s="67"/>
      <c r="B56" s="146"/>
      <c r="C56" s="147"/>
      <c r="D56" s="147"/>
      <c r="E56" s="43"/>
      <c r="F56" s="43"/>
      <c r="G56" s="111"/>
      <c r="H56" s="148"/>
      <c r="I56" s="104"/>
      <c r="J56" s="492">
        <f>P43/5</f>
        <v>17.600000000000001</v>
      </c>
      <c r="K56" s="493"/>
      <c r="L56" s="43"/>
      <c r="M56" s="494">
        <f>P52/5</f>
        <v>19.399999999999999</v>
      </c>
      <c r="N56" s="494"/>
      <c r="O56" s="494"/>
      <c r="P56" s="169">
        <f>SUM(J56+M56)</f>
        <v>37</v>
      </c>
      <c r="Q56" s="43"/>
      <c r="R56" s="411"/>
      <c r="S56" s="412"/>
      <c r="T56" s="413"/>
      <c r="U56" s="414"/>
      <c r="V56" s="415"/>
      <c r="W56" s="388">
        <f>DATE(YEAR($J$27+42),MONTH($J$27+42),31)</f>
        <v>45443</v>
      </c>
      <c r="X56" s="389"/>
    </row>
    <row r="57" spans="1:24" s="50" customFormat="1" ht="23.25" customHeight="1" thickBot="1">
      <c r="A57" s="467" t="s">
        <v>30</v>
      </c>
      <c r="B57" s="468" t="s">
        <v>89</v>
      </c>
      <c r="C57" s="469"/>
      <c r="D57" s="469"/>
      <c r="E57" s="495">
        <v>45390</v>
      </c>
      <c r="F57" s="495"/>
      <c r="G57" s="111"/>
      <c r="H57" s="106">
        <v>45394</v>
      </c>
      <c r="I57" s="104"/>
      <c r="J57" s="131"/>
      <c r="K57" s="45"/>
      <c r="L57" s="45"/>
      <c r="M57" s="45"/>
      <c r="N57" s="45"/>
      <c r="O57" s="45"/>
      <c r="P57" s="132"/>
      <c r="Q57" s="45"/>
      <c r="R57" s="470"/>
      <c r="S57" s="471"/>
      <c r="T57" s="472"/>
      <c r="U57" s="473"/>
      <c r="V57" s="474"/>
      <c r="W57" s="475">
        <f>H49</f>
        <v>45467</v>
      </c>
      <c r="X57" s="476"/>
    </row>
    <row r="58" spans="1:24" s="50" customFormat="1" ht="23.25" customHeight="1" thickTop="1">
      <c r="A58" s="467"/>
      <c r="B58" s="449" t="s">
        <v>119</v>
      </c>
      <c r="C58" s="450"/>
      <c r="D58" s="450"/>
      <c r="E58" s="496">
        <v>45384</v>
      </c>
      <c r="F58" s="496"/>
      <c r="G58" s="112"/>
      <c r="H58" s="103">
        <v>45387</v>
      </c>
      <c r="I58" s="68"/>
      <c r="J58" s="477" t="s">
        <v>91</v>
      </c>
      <c r="K58" s="478"/>
      <c r="L58" s="478"/>
      <c r="M58" s="478"/>
      <c r="N58" s="478"/>
      <c r="O58" s="478"/>
      <c r="P58" s="479"/>
      <c r="Q58" s="48"/>
      <c r="R58" s="480" t="s">
        <v>122</v>
      </c>
      <c r="S58" s="481"/>
      <c r="T58" s="481"/>
      <c r="U58" s="481"/>
      <c r="V58" s="481"/>
      <c r="W58" s="481"/>
      <c r="X58" s="482"/>
    </row>
    <row r="59" spans="1:24" s="50" customFormat="1" ht="27" customHeight="1">
      <c r="A59" s="467"/>
      <c r="B59" s="449"/>
      <c r="C59" s="450"/>
      <c r="D59" s="450"/>
      <c r="E59" s="496">
        <v>45397</v>
      </c>
      <c r="F59" s="496"/>
      <c r="G59" s="113"/>
      <c r="H59" s="103">
        <v>45412</v>
      </c>
      <c r="I59" s="68"/>
      <c r="J59" s="133"/>
      <c r="K59" s="134"/>
      <c r="L59" s="489">
        <f>SUM(P43,P52)</f>
        <v>185</v>
      </c>
      <c r="M59" s="489"/>
      <c r="N59" s="135"/>
      <c r="P59" s="136"/>
      <c r="R59" s="483"/>
      <c r="S59" s="484"/>
      <c r="T59" s="484"/>
      <c r="U59" s="484"/>
      <c r="V59" s="484"/>
      <c r="W59" s="484"/>
      <c r="X59" s="485"/>
    </row>
    <row r="60" spans="1:24" s="50" customFormat="1" ht="23.25" customHeight="1" thickBot="1">
      <c r="A60" s="467"/>
      <c r="B60" s="105"/>
      <c r="C60" s="147"/>
      <c r="D60" s="147"/>
      <c r="E60" s="491"/>
      <c r="F60" s="491"/>
      <c r="G60" s="113"/>
      <c r="H60" s="136"/>
      <c r="I60" s="68"/>
      <c r="J60" s="137"/>
      <c r="K60" s="149"/>
      <c r="L60" s="490"/>
      <c r="M60" s="490"/>
      <c r="N60" s="150"/>
      <c r="O60" s="151"/>
      <c r="P60" s="152"/>
      <c r="Q60" s="136"/>
      <c r="R60" s="483"/>
      <c r="S60" s="484"/>
      <c r="T60" s="484"/>
      <c r="U60" s="484"/>
      <c r="V60" s="484"/>
      <c r="W60" s="484"/>
      <c r="X60" s="485"/>
    </row>
    <row r="61" spans="1:24" s="50" customFormat="1" ht="23.25" customHeight="1" thickTop="1" thickBot="1">
      <c r="A61" s="467"/>
      <c r="B61" s="153"/>
      <c r="C61" s="154"/>
      <c r="D61" s="154"/>
      <c r="E61" s="151"/>
      <c r="F61" s="151"/>
      <c r="G61" s="107"/>
      <c r="H61" s="152"/>
      <c r="I61" s="155"/>
      <c r="J61" s="128"/>
      <c r="K61" s="128"/>
      <c r="L61" s="156"/>
      <c r="M61" s="156"/>
      <c r="N61" s="129"/>
      <c r="O61" s="129"/>
      <c r="P61" s="129"/>
      <c r="Q61" s="138"/>
      <c r="R61" s="486"/>
      <c r="S61" s="487"/>
      <c r="T61" s="487"/>
      <c r="U61" s="487"/>
      <c r="V61" s="487"/>
      <c r="W61" s="487"/>
      <c r="X61" s="488"/>
    </row>
    <row r="62" spans="1:24" s="50" customFormat="1" ht="23.25" customHeight="1" thickTop="1">
      <c r="I62" s="48"/>
    </row>
    <row r="63" spans="1:24" ht="23.25" customHeight="1"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</row>
    <row r="64" spans="1:24" ht="23.25" customHeight="1">
      <c r="I64" s="42"/>
    </row>
    <row r="65" spans="9:9" s="42" customFormat="1" ht="23.25" customHeight="1"/>
    <row r="66" spans="9:9" ht="23.25" customHeight="1">
      <c r="I66" s="42"/>
    </row>
    <row r="67" spans="9:9" ht="23.25" customHeight="1">
      <c r="I67" s="42"/>
    </row>
    <row r="68" spans="9:9" ht="23.25" customHeight="1">
      <c r="I68" s="42"/>
    </row>
    <row r="69" spans="9:9" ht="23.25" customHeight="1">
      <c r="I69" s="42"/>
    </row>
    <row r="70" spans="9:9" ht="23.25" customHeight="1">
      <c r="I70" s="42"/>
    </row>
    <row r="71" spans="9:9" ht="23.25" customHeight="1">
      <c r="I71" s="42"/>
    </row>
  </sheetData>
  <sheetProtection algorithmName="SHA-512" hashValue="CWnuNRhsrLbycKuHDvr60N0qrV63fccAqRis0OOSjS+WH+8UPZvqjKysbK3xrkCs7+kydh8BizaB7lQ3W5TECw==" saltValue="Pr5DFisdh8IlF3kNFeTfwg==" spinCount="100000" sheet="1" objects="1" scenarios="1" selectLockedCells="1"/>
  <mergeCells count="109">
    <mergeCell ref="R56:T56"/>
    <mergeCell ref="U56:V56"/>
    <mergeCell ref="W56:X56"/>
    <mergeCell ref="A57:A61"/>
    <mergeCell ref="B57:D57"/>
    <mergeCell ref="R57:T57"/>
    <mergeCell ref="U57:V57"/>
    <mergeCell ref="W57:X57"/>
    <mergeCell ref="J58:P58"/>
    <mergeCell ref="R58:X61"/>
    <mergeCell ref="L59:M60"/>
    <mergeCell ref="E60:F60"/>
    <mergeCell ref="J56:K56"/>
    <mergeCell ref="M56:O56"/>
    <mergeCell ref="E57:F57"/>
    <mergeCell ref="B58:D59"/>
    <mergeCell ref="E58:F58"/>
    <mergeCell ref="E59:F59"/>
    <mergeCell ref="B53:D53"/>
    <mergeCell ref="B54:D55"/>
    <mergeCell ref="J54:P54"/>
    <mergeCell ref="E55:F55"/>
    <mergeCell ref="J55:K55"/>
    <mergeCell ref="M55:O55"/>
    <mergeCell ref="E51:F51"/>
    <mergeCell ref="B47:H47"/>
    <mergeCell ref="B48:D49"/>
    <mergeCell ref="E48:F48"/>
    <mergeCell ref="E49:F49"/>
    <mergeCell ref="B50:D50"/>
    <mergeCell ref="E50:F50"/>
    <mergeCell ref="E53:F53"/>
    <mergeCell ref="E54:F54"/>
    <mergeCell ref="B51:D52"/>
    <mergeCell ref="W48:X48"/>
    <mergeCell ref="W49:X49"/>
    <mergeCell ref="W46:X46"/>
    <mergeCell ref="W47:X47"/>
    <mergeCell ref="W44:X44"/>
    <mergeCell ref="J44:P44"/>
    <mergeCell ref="B45:E45"/>
    <mergeCell ref="F45:G45"/>
    <mergeCell ref="B46:E46"/>
    <mergeCell ref="F46:G46"/>
    <mergeCell ref="W45:X45"/>
    <mergeCell ref="R47:T47"/>
    <mergeCell ref="R48:T48"/>
    <mergeCell ref="R49:T49"/>
    <mergeCell ref="F44:G44"/>
    <mergeCell ref="A2:A7"/>
    <mergeCell ref="W35:X35"/>
    <mergeCell ref="B9:H9"/>
    <mergeCell ref="J9:P9"/>
    <mergeCell ref="R9:X9"/>
    <mergeCell ref="B18:H18"/>
    <mergeCell ref="J18:P18"/>
    <mergeCell ref="R18:X18"/>
    <mergeCell ref="B27:H27"/>
    <mergeCell ref="J27:P27"/>
    <mergeCell ref="R27:X27"/>
    <mergeCell ref="B35:H35"/>
    <mergeCell ref="J35:P35"/>
    <mergeCell ref="W43:X43"/>
    <mergeCell ref="B44:E44"/>
    <mergeCell ref="W39:X39"/>
    <mergeCell ref="R44:T44"/>
    <mergeCell ref="R45:T45"/>
    <mergeCell ref="R46:T46"/>
    <mergeCell ref="W41:X41"/>
    <mergeCell ref="W42:X42"/>
    <mergeCell ref="R41:T41"/>
    <mergeCell ref="U41:V41"/>
    <mergeCell ref="R42:T42"/>
    <mergeCell ref="R43:T43"/>
    <mergeCell ref="B43:H43"/>
    <mergeCell ref="W54:X54"/>
    <mergeCell ref="W55:X55"/>
    <mergeCell ref="W52:X52"/>
    <mergeCell ref="W53:X53"/>
    <mergeCell ref="W50:X50"/>
    <mergeCell ref="W51:X51"/>
    <mergeCell ref="R50:T50"/>
    <mergeCell ref="R51:T51"/>
    <mergeCell ref="R52:T52"/>
    <mergeCell ref="U52:V52"/>
    <mergeCell ref="R53:T53"/>
    <mergeCell ref="U53:V53"/>
    <mergeCell ref="R54:T54"/>
    <mergeCell ref="U54:V54"/>
    <mergeCell ref="R55:T55"/>
    <mergeCell ref="U55:V55"/>
    <mergeCell ref="P1:X1"/>
    <mergeCell ref="R36:T36"/>
    <mergeCell ref="U36:V36"/>
    <mergeCell ref="R37:T37"/>
    <mergeCell ref="U37:V37"/>
    <mergeCell ref="B1:O1"/>
    <mergeCell ref="W40:X40"/>
    <mergeCell ref="W37:X37"/>
    <mergeCell ref="W38:X38"/>
    <mergeCell ref="R38:T38"/>
    <mergeCell ref="U38:V38"/>
    <mergeCell ref="R39:T39"/>
    <mergeCell ref="U39:V39"/>
    <mergeCell ref="R40:T40"/>
    <mergeCell ref="U40:V40"/>
    <mergeCell ref="R35:V35"/>
    <mergeCell ref="W36:X36"/>
    <mergeCell ref="J36:P36"/>
  </mergeCells>
  <conditionalFormatting sqref="B9 B10:H15">
    <cfRule type="containsBlanks" dxfId="61" priority="12">
      <formula>LEN(TRIM(B9))=0</formula>
    </cfRule>
  </conditionalFormatting>
  <conditionalFormatting sqref="B9 J9 R9 B18 J18 R18 B27 J27 R27 B35 J36 J44">
    <cfRule type="expression" dxfId="60" priority="18">
      <formula>$F$45=1</formula>
    </cfRule>
  </conditionalFormatting>
  <conditionalFormatting sqref="B18 B19:H24">
    <cfRule type="containsBlanks" dxfId="59" priority="9">
      <formula>LEN(TRIM(B18))=0</formula>
    </cfRule>
  </conditionalFormatting>
  <conditionalFormatting sqref="B27 B28:H33">
    <cfRule type="containsBlanks" dxfId="58" priority="6">
      <formula>LEN(TRIM(B27))=0</formula>
    </cfRule>
  </conditionalFormatting>
  <conditionalFormatting sqref="B35 B36:H41">
    <cfRule type="containsBlanks" dxfId="57" priority="2">
      <formula>LEN(TRIM(B35))=0</formula>
    </cfRule>
    <cfRule type="containsBlanks" priority="3">
      <formula>LEN(TRIM(B35))=0</formula>
    </cfRule>
  </conditionalFormatting>
  <conditionalFormatting sqref="B11:H16 J11:P16 R11:X16 B20:H25 J20:P25 R20:X25 B29:H34 J29:P34 R29:X34 B37:H42">
    <cfRule type="expression" dxfId="56" priority="46">
      <formula>OR(WEEKDAY(B11,1)=1,WEEKDAY(B11,1)=7)</formula>
    </cfRule>
  </conditionalFormatting>
  <conditionalFormatting sqref="B20:H25">
    <cfRule type="expression" dxfId="55" priority="13">
      <formula>AND($R$37&lt;&gt;"",B20=$R$37)</formula>
    </cfRule>
  </conditionalFormatting>
  <conditionalFormatting sqref="B37:H41">
    <cfRule type="expression" dxfId="53" priority="47">
      <formula>AND($R$45&lt;&gt;"",B37=$R$45)</formula>
    </cfRule>
    <cfRule type="expression" dxfId="52" priority="48">
      <formula>AND($R$50&lt;&gt;"",B37=$R$50)</formula>
    </cfRule>
  </conditionalFormatting>
  <conditionalFormatting sqref="J9 J10:P16">
    <cfRule type="containsBlanks" dxfId="50" priority="11">
      <formula>LEN(TRIM(J9))=0</formula>
    </cfRule>
  </conditionalFormatting>
  <conditionalFormatting sqref="J18 J19:P24">
    <cfRule type="containsBlanks" dxfId="49" priority="8">
      <formula>LEN(TRIM(J18))=0</formula>
    </cfRule>
  </conditionalFormatting>
  <conditionalFormatting sqref="J27 J28:P33">
    <cfRule type="containsBlanks" dxfId="48" priority="5">
      <formula>LEN(TRIM(J27))=0</formula>
    </cfRule>
  </conditionalFormatting>
  <conditionalFormatting sqref="J19:P24">
    <cfRule type="expression" dxfId="47" priority="21">
      <formula>AND($D$47&lt;&gt;"",J19=$D$47)</formula>
    </cfRule>
    <cfRule type="expression" dxfId="46" priority="22">
      <formula>AND(#REF!&lt;&gt;"",J19=#REF!)</formula>
    </cfRule>
    <cfRule type="expression" dxfId="45" priority="23">
      <formula>AND(#REF!&lt;&gt;"",J19=#REF!)</formula>
    </cfRule>
    <cfRule type="expression" dxfId="44" priority="19">
      <formula>AND(#REF!&lt;&gt;"",J19=#REF!)</formula>
    </cfRule>
    <cfRule type="expression" dxfId="43" priority="20">
      <formula>AND($F$47&lt;&gt;"",J19=$F$47)</formula>
    </cfRule>
  </conditionalFormatting>
  <conditionalFormatting sqref="J19:P25">
    <cfRule type="expression" dxfId="42" priority="32">
      <formula>AND($E$49&lt;&gt;"",J19=$E$49)</formula>
    </cfRule>
    <cfRule type="expression" dxfId="41" priority="31">
      <formula>AND($H$49&lt;&gt;"",J19=$H$49)</formula>
    </cfRule>
  </conditionalFormatting>
  <conditionalFormatting sqref="J20:P25 R11:X16 B11:H16 J11:P16 B20:H25 R20:X25 B29:H34 J29:P34 R29:X34 B37:H42">
    <cfRule type="expression" dxfId="40" priority="38">
      <formula>AND($R$53&lt;&gt;"",B11=$R$53)</formula>
    </cfRule>
    <cfRule type="expression" dxfId="39" priority="39">
      <formula>AND($R$52&lt;&gt;"",B11=$R$52)</formula>
    </cfRule>
    <cfRule type="expression" dxfId="38" priority="40">
      <formula>AND($R$51&lt;&gt;"",B11=$R$51)</formula>
    </cfRule>
    <cfRule type="expression" dxfId="37" priority="41">
      <formula>AND($R$50&lt;&gt;"",B11=$R$50)</formula>
    </cfRule>
    <cfRule type="expression" dxfId="36" priority="33">
      <formula>AND($R$57&lt;&gt;"",B11=$R$57)</formula>
    </cfRule>
    <cfRule type="expression" dxfId="35" priority="43">
      <formula>AND($R$48&lt;&gt;"",B11=$R$48)</formula>
    </cfRule>
    <cfRule type="expression" dxfId="34" priority="44">
      <formula>AND($R$47&lt;&gt;"",B11=$R$47)</formula>
    </cfRule>
    <cfRule type="expression" dxfId="33" priority="45">
      <formula>AND($R$46&lt;&gt;"",B11=$R$46)</formula>
    </cfRule>
    <cfRule type="expression" dxfId="32" priority="34">
      <formula>AND($R$56&lt;&gt;"",B11=$R$56)</formula>
    </cfRule>
    <cfRule type="expression" dxfId="31" priority="42">
      <formula>AND($R$49&lt;&gt;"",B11=$R$49)</formula>
    </cfRule>
    <cfRule type="expression" dxfId="30" priority="35">
      <formula>AND(#REF!&lt;&gt;"",B11=#REF!)</formula>
    </cfRule>
    <cfRule type="expression" dxfId="29" priority="36">
      <formula>AND($R$55&lt;&gt;"",B11=$R$55)</formula>
    </cfRule>
    <cfRule type="expression" dxfId="28" priority="37">
      <formula>AND($R$54&lt;&gt;"",B11=$R$54)</formula>
    </cfRule>
  </conditionalFormatting>
  <conditionalFormatting sqref="J20:P25">
    <cfRule type="expression" dxfId="27" priority="25">
      <formula>AND($H$47&lt;&gt;"",J20=$H$47)</formula>
    </cfRule>
    <cfRule type="expression" dxfId="26" priority="24">
      <formula>AND($I$46&lt;&gt;"",J20=$I$46)</formula>
    </cfRule>
    <cfRule type="expression" dxfId="25" priority="26">
      <formula>AND($H$47&lt;&gt;"",J21=$H$47)</formula>
    </cfRule>
    <cfRule type="expression" dxfId="24" priority="27">
      <formula>AND(#REF!&lt;&gt;"",J20=#REF!)</formula>
    </cfRule>
    <cfRule type="expression" dxfId="23" priority="28">
      <formula>AND(#REF!&lt;&gt;"",J20=#REF!)</formula>
    </cfRule>
    <cfRule type="expression" dxfId="22" priority="29">
      <formula>AND($R$38&lt;&gt;"",J20=$R$38)</formula>
    </cfRule>
    <cfRule type="expression" dxfId="21" priority="30">
      <formula>AND($R$39&lt;&gt;"",J20=$R$39)</formula>
    </cfRule>
  </conditionalFormatting>
  <conditionalFormatting sqref="J29:P33">
    <cfRule type="expression" dxfId="20" priority="51">
      <formula>AND(#REF!&lt;&gt;"",J29=#REF!)</formula>
    </cfRule>
    <cfRule type="expression" dxfId="19" priority="52">
      <formula>AND($R$48&lt;&gt;"",J29=$R$48)</formula>
    </cfRule>
  </conditionalFormatting>
  <conditionalFormatting sqref="J29:P34">
    <cfRule type="expression" dxfId="18" priority="56">
      <formula>AND(#REF!&lt;&gt;"",J29=#REF!)</formula>
    </cfRule>
    <cfRule type="expression" dxfId="17" priority="53">
      <formula>AND(#REF!&lt;&gt;"",J29=#REF!)</formula>
    </cfRule>
    <cfRule type="expression" dxfId="16" priority="54">
      <formula>AND(#REF!&lt;&gt;"",J29=#REF!)</formula>
    </cfRule>
    <cfRule type="expression" dxfId="15" priority="55">
      <formula>AND(#REF!&lt;&gt;"",J29=#REF!)</formula>
    </cfRule>
    <cfRule type="expression" dxfId="14" priority="57">
      <formula>AND(#REF!&lt;&gt;"",J29=#REF!)</formula>
    </cfRule>
    <cfRule type="expression" dxfId="13" priority="58">
      <formula>AND($R$42&lt;&gt;"",J29=$R$42)</formula>
    </cfRule>
    <cfRule type="expression" dxfId="12" priority="59">
      <formula>AND($R$47&lt;&gt;"",J29=$R$47)</formula>
    </cfRule>
  </conditionalFormatting>
  <conditionalFormatting sqref="R9 R10:X16">
    <cfRule type="containsBlanks" dxfId="11" priority="10">
      <formula>LEN(TRIM(R9))=0</formula>
    </cfRule>
  </conditionalFormatting>
  <conditionalFormatting sqref="R18 R19:X24">
    <cfRule type="containsBlanks" dxfId="10" priority="7">
      <formula>LEN(TRIM(R18))=0</formula>
    </cfRule>
  </conditionalFormatting>
  <conditionalFormatting sqref="R27 R28:X33">
    <cfRule type="containsBlanks" dxfId="9" priority="4">
      <formula>LEN(TRIM(R27))=0</formula>
    </cfRule>
  </conditionalFormatting>
  <conditionalFormatting sqref="R46">
    <cfRule type="expression" dxfId="8" priority="1">
      <formula>AND($R$46&lt;&gt;"",R20=$R$46)</formula>
    </cfRule>
  </conditionalFormatting>
  <conditionalFormatting sqref="R29:W34">
    <cfRule type="expression" dxfId="7" priority="60">
      <formula>AND($R$43&lt;&gt;"",R29=$R$43)</formula>
    </cfRule>
  </conditionalFormatting>
  <conditionalFormatting sqref="R11:X16">
    <cfRule type="expression" dxfId="6" priority="17">
      <formula>AND(#REF!&lt;&gt;"",R11=#REF!)</formula>
    </cfRule>
    <cfRule type="expression" dxfId="5" priority="16">
      <formula>AND($R$36&lt;&gt;"",R11=$R$36)</formula>
    </cfRule>
    <cfRule type="expression" dxfId="4" priority="15">
      <formula>AND(#REF!&lt;&gt;"",$R$11=#REF!)</formula>
    </cfRule>
    <cfRule type="expression" dxfId="3" priority="14">
      <formula>AND(#REF!&lt;&gt;"",R11=#REF!)</formula>
    </cfRule>
  </conditionalFormatting>
  <conditionalFormatting sqref="R20:X25">
    <cfRule type="expression" dxfId="2" priority="61">
      <formula>AND($R$41&lt;&gt;"",R20=$R$41)</formula>
    </cfRule>
  </conditionalFormatting>
  <conditionalFormatting sqref="R29:X33">
    <cfRule type="expression" dxfId="1" priority="62">
      <formula>AND($R$49&lt;&gt;"",R29=$R$49)</formula>
    </cfRule>
    <cfRule type="expression" dxfId="0" priority="63">
      <formula>AND($R$44&lt;&gt;"",R29=$R$44)</formula>
    </cfRule>
  </conditionalFormatting>
  <pageMargins left="7.3611111111111113E-2" right="9.6979166666666672E-2" top="9.6979166666666672E-2" bottom="0.11041666666666666" header="0.3" footer="0.3"/>
  <pageSetup paperSize="9" scale="53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id="{AC8DA28B-9568-485A-BBEB-309DDF1BADD8}">
            <xm:f>NOT(ISERROR(SEARCH(AND($R$47&lt;&gt;"",B11=$R$47),B11)))</xm:f>
            <xm:f>AND($R$47&lt;&gt;"",B11=$R$47)</xm:f>
            <x14:dxf>
              <font>
                <b/>
                <i val="0"/>
                <color theme="0"/>
              </font>
              <fill>
                <patternFill>
                  <bgColor rgb="FF92D050"/>
                </patternFill>
              </fill>
            </x14:dxf>
          </x14:cfRule>
          <xm:sqref>B37:H41 B11:X16 B20:X25 B29:X34</xm:sqref>
        </x14:conditionalFormatting>
        <x14:conditionalFormatting xmlns:xm="http://schemas.microsoft.com/office/excel/2006/main">
          <x14:cfRule type="containsText" priority="50" operator="containsText" id="{289B0A63-6D6F-4927-A72F-41A8F12F9F6E}">
            <xm:f>NOT(ISERROR(SEARCH(AND($R$46&lt;&gt;"",B11=$R$46),B11)))</xm:f>
            <xm:f>AND($R$46&lt;&gt;"",B11=$R$46)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B11:X16 B20:X25 B29:X34 B37:H41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5C3B-DA2C-4665-9C71-0F2625C204BA}">
  <sheetPr>
    <tabColor theme="9" tint="-0.249977111117893"/>
  </sheetPr>
  <dimension ref="A1:E18"/>
  <sheetViews>
    <sheetView showGridLines="0" view="pageLayout" topLeftCell="A12" zoomScaleNormal="100" workbookViewId="0">
      <selection activeCell="D18" sqref="D18"/>
    </sheetView>
  </sheetViews>
  <sheetFormatPr defaultColWidth="21.1640625" defaultRowHeight="39" customHeight="1"/>
  <cols>
    <col min="1" max="1" width="21.1640625" style="62"/>
    <col min="2" max="3" width="21.1640625" style="63"/>
    <col min="4" max="4" width="23.83203125" style="63" customWidth="1"/>
    <col min="5" max="5" width="21.1640625" style="63"/>
    <col min="6" max="16384" width="21.1640625" style="62"/>
  </cols>
  <sheetData>
    <row r="1" spans="1:5" ht="39" customHeight="1">
      <c r="A1" s="61"/>
    </row>
    <row r="2" spans="1:5" ht="39" customHeight="1">
      <c r="A2" s="501" t="s">
        <v>83</v>
      </c>
      <c r="B2" s="501"/>
      <c r="C2" s="501"/>
      <c r="D2" s="501"/>
      <c r="E2" s="501"/>
    </row>
    <row r="3" spans="1:5" ht="39" customHeight="1">
      <c r="A3" s="501" t="s">
        <v>84</v>
      </c>
      <c r="B3" s="501"/>
      <c r="C3" s="501"/>
      <c r="D3" s="501"/>
      <c r="E3" s="501"/>
    </row>
    <row r="4" spans="1:5" ht="39" customHeight="1">
      <c r="B4" s="64" t="s">
        <v>85</v>
      </c>
      <c r="C4" s="64" t="s">
        <v>86</v>
      </c>
      <c r="D4" s="64" t="s">
        <v>87</v>
      </c>
    </row>
    <row r="5" spans="1:5" ht="39" customHeight="1">
      <c r="B5" s="64">
        <v>1</v>
      </c>
      <c r="C5" s="65">
        <v>0.33333333333333331</v>
      </c>
      <c r="D5" s="65">
        <v>0.36458333333333331</v>
      </c>
    </row>
    <row r="6" spans="1:5" ht="39" customHeight="1">
      <c r="B6" s="64">
        <v>2</v>
      </c>
      <c r="C6" s="65">
        <v>0.36805555555555558</v>
      </c>
      <c r="D6" s="65">
        <v>0.39930555555555558</v>
      </c>
    </row>
    <row r="7" spans="1:5" ht="39" customHeight="1">
      <c r="B7" s="64">
        <v>3</v>
      </c>
      <c r="C7" s="65">
        <v>0.40972222222222227</v>
      </c>
      <c r="D7" s="65">
        <v>0.44097222222222227</v>
      </c>
    </row>
    <row r="8" spans="1:5" ht="39" customHeight="1">
      <c r="B8" s="64">
        <v>4</v>
      </c>
      <c r="C8" s="65">
        <v>0.44444444444444442</v>
      </c>
      <c r="D8" s="65">
        <v>0.47569444444444442</v>
      </c>
    </row>
    <row r="9" spans="1:5" ht="39" customHeight="1">
      <c r="B9" s="64">
        <v>5</v>
      </c>
      <c r="C9" s="65">
        <v>0.4826388888888889</v>
      </c>
      <c r="D9" s="65">
        <v>0.51388888888888895</v>
      </c>
    </row>
    <row r="10" spans="1:5" ht="39" customHeight="1">
      <c r="B10" s="64">
        <v>6</v>
      </c>
      <c r="C10" s="65">
        <v>0.51736111111111105</v>
      </c>
      <c r="D10" s="65">
        <v>0.54861111111111105</v>
      </c>
    </row>
    <row r="11" spans="1:5" ht="39" customHeight="1">
      <c r="A11" s="501" t="s">
        <v>88</v>
      </c>
      <c r="B11" s="501"/>
      <c r="C11" s="501"/>
      <c r="D11" s="501"/>
      <c r="E11" s="501"/>
    </row>
    <row r="12" spans="1:5" ht="39" customHeight="1">
      <c r="B12" s="64" t="s">
        <v>85</v>
      </c>
      <c r="C12" s="64" t="s">
        <v>86</v>
      </c>
      <c r="D12" s="64" t="s">
        <v>87</v>
      </c>
    </row>
    <row r="13" spans="1:5" ht="39" customHeight="1">
      <c r="B13" s="64">
        <v>1</v>
      </c>
      <c r="C13" s="65">
        <v>0.5625</v>
      </c>
      <c r="D13" s="65">
        <v>0.59375</v>
      </c>
    </row>
    <row r="14" spans="1:5" ht="39" customHeight="1">
      <c r="B14" s="64">
        <v>2</v>
      </c>
      <c r="C14" s="65">
        <v>0.59722222222222221</v>
      </c>
      <c r="D14" s="65">
        <v>0.62847222222222221</v>
      </c>
    </row>
    <row r="15" spans="1:5" ht="39" customHeight="1">
      <c r="B15" s="64">
        <v>3</v>
      </c>
      <c r="C15" s="65">
        <v>0.63888888888888895</v>
      </c>
      <c r="D15" s="65">
        <v>0.67013888888888884</v>
      </c>
    </row>
    <row r="16" spans="1:5" ht="39" customHeight="1">
      <c r="B16" s="64">
        <v>4</v>
      </c>
      <c r="C16" s="65">
        <v>0.67361111111111116</v>
      </c>
      <c r="D16" s="65">
        <v>0.70486111111111116</v>
      </c>
    </row>
    <row r="17" spans="2:4" ht="39" customHeight="1">
      <c r="B17" s="64">
        <v>5</v>
      </c>
      <c r="C17" s="65">
        <v>0.71180555555555547</v>
      </c>
      <c r="D17" s="65">
        <v>0.74305555555555547</v>
      </c>
    </row>
    <row r="18" spans="2:4" ht="39" customHeight="1">
      <c r="B18" s="64">
        <v>6</v>
      </c>
      <c r="C18" s="65">
        <v>0.74652777777777779</v>
      </c>
      <c r="D18" s="65">
        <v>0.77430555555555547</v>
      </c>
    </row>
  </sheetData>
  <mergeCells count="3">
    <mergeCell ref="A2:E2"/>
    <mergeCell ref="A3:E3"/>
    <mergeCell ref="A11:E11"/>
  </mergeCells>
  <pageMargins left="0.22916666666666666" right="0.1875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E7A5-0E8D-4B79-9CBD-4290079355D3}">
  <sheetPr>
    <tabColor theme="1"/>
  </sheetPr>
  <dimension ref="A1:AU63"/>
  <sheetViews>
    <sheetView showGridLines="0" view="pageLayout" topLeftCell="B22" zoomScale="60" zoomScaleNormal="110" zoomScalePageLayoutView="60" workbookViewId="0">
      <selection activeCell="C44" sqref="C44:E44"/>
    </sheetView>
  </sheetViews>
  <sheetFormatPr defaultColWidth="8" defaultRowHeight="12.75"/>
  <cols>
    <col min="4" max="4" width="13.1640625" customWidth="1"/>
    <col min="5" max="5" width="12.6640625" customWidth="1"/>
    <col min="6" max="7" width="5" customWidth="1"/>
    <col min="8" max="9" width="7.33203125" customWidth="1"/>
    <col min="10" max="10" width="10" customWidth="1"/>
    <col min="11" max="11" width="9.1640625" customWidth="1"/>
    <col min="13" max="14" width="5.1640625" customWidth="1"/>
    <col min="15" max="15" width="6" customWidth="1"/>
    <col min="16" max="16" width="4.83203125" customWidth="1"/>
    <col min="17" max="17" width="7.5" customWidth="1"/>
    <col min="18" max="18" width="7" customWidth="1"/>
    <col min="19" max="20" width="5" customWidth="1"/>
    <col min="21" max="21" width="4.83203125" customWidth="1"/>
    <col min="22" max="22" width="4.33203125" customWidth="1"/>
    <col min="23" max="23" width="6" customWidth="1"/>
    <col min="24" max="24" width="6.83203125" customWidth="1"/>
    <col min="25" max="25" width="7.33203125" customWidth="1"/>
    <col min="26" max="26" width="4.6640625" customWidth="1"/>
    <col min="27" max="27" width="6.1640625" customWidth="1"/>
    <col min="28" max="28" width="8.6640625" customWidth="1"/>
    <col min="29" max="29" width="8.33203125" customWidth="1"/>
    <col min="30" max="30" width="7.6640625" customWidth="1"/>
    <col min="31" max="31" width="4.33203125" customWidth="1"/>
    <col min="32" max="32" width="4.1640625" customWidth="1"/>
    <col min="33" max="33" width="10.1640625" customWidth="1"/>
    <col min="34" max="34" width="9.6640625" customWidth="1"/>
    <col min="35" max="36" width="0" hidden="1" customWidth="1"/>
    <col min="37" max="43" width="8" hidden="1" customWidth="1"/>
    <col min="44" max="44" width="0" hidden="1" customWidth="1"/>
  </cols>
  <sheetData>
    <row r="1" spans="1:47" ht="15" customHeight="1">
      <c r="B1" s="3"/>
      <c r="C1" s="573" t="s">
        <v>0</v>
      </c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3"/>
      <c r="AC1" s="573"/>
      <c r="AD1" s="573"/>
      <c r="AE1" s="573"/>
      <c r="AF1" s="573"/>
      <c r="AG1" s="573"/>
      <c r="AH1" s="57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2.75" customHeight="1">
      <c r="A2" s="3"/>
      <c r="B2" s="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3"/>
      <c r="AD2" s="573"/>
      <c r="AE2" s="573"/>
      <c r="AF2" s="573"/>
      <c r="AG2" s="573"/>
      <c r="AH2" s="57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2.75" customHeight="1">
      <c r="A3" s="3"/>
      <c r="B3" s="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73"/>
      <c r="AG3" s="573"/>
      <c r="AH3" s="57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30" customHeight="1"/>
    <row r="5" spans="1:47" ht="12.75" customHeight="1"/>
    <row r="6" spans="1:47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ht="12.75" customHeight="1"/>
    <row r="11" spans="1:47" ht="12.7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"/>
      <c r="N11" s="1"/>
      <c r="O11" s="1"/>
    </row>
    <row r="12" spans="1:47" ht="12.75" customHeight="1"/>
    <row r="13" spans="1:47" ht="47.25" customHeight="1"/>
    <row r="14" spans="1:47" ht="12.75" customHeight="1"/>
    <row r="17" spans="1:47">
      <c r="D17" s="2"/>
    </row>
    <row r="23" spans="1:47" ht="12.75" customHeight="1">
      <c r="B23" s="1"/>
      <c r="C23" s="572" t="s">
        <v>18</v>
      </c>
      <c r="D23" s="572"/>
      <c r="E23" s="572"/>
      <c r="F23" s="572"/>
      <c r="G23" s="572"/>
      <c r="H23" s="572"/>
      <c r="I23" s="572"/>
      <c r="J23" s="572"/>
      <c r="K23" s="572"/>
      <c r="L23" s="572"/>
      <c r="M23" s="572"/>
      <c r="N23" s="572"/>
      <c r="O23" s="572"/>
      <c r="P23" s="572"/>
      <c r="Q23" s="572"/>
      <c r="R23" s="572"/>
      <c r="S23" s="572"/>
      <c r="T23" s="572"/>
      <c r="U23" s="572"/>
      <c r="V23" s="572"/>
      <c r="W23" s="572"/>
      <c r="X23" s="572"/>
      <c r="Y23" s="572"/>
      <c r="Z23" s="572"/>
      <c r="AA23" s="572"/>
      <c r="AB23" s="572"/>
      <c r="AC23" s="572"/>
      <c r="AD23" s="572"/>
      <c r="AE23" s="572"/>
      <c r="AF23" s="572"/>
      <c r="AG23" s="572"/>
      <c r="AH23" s="572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2.75" customHeight="1">
      <c r="A24" s="1"/>
      <c r="B24" s="1"/>
      <c r="C24" s="572"/>
      <c r="D24" s="572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572"/>
      <c r="V24" s="572"/>
      <c r="W24" s="572"/>
      <c r="X24" s="572"/>
      <c r="Y24" s="572"/>
      <c r="Z24" s="572"/>
      <c r="AA24" s="572"/>
      <c r="AB24" s="572"/>
      <c r="AC24" s="572"/>
      <c r="AD24" s="572"/>
      <c r="AE24" s="572"/>
      <c r="AF24" s="572"/>
      <c r="AG24" s="572"/>
      <c r="AH24" s="572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2.75" customHeight="1">
      <c r="A25" s="1"/>
      <c r="B25" s="1"/>
      <c r="C25" s="572"/>
      <c r="D25" s="572"/>
      <c r="E25" s="572"/>
      <c r="F25" s="572"/>
      <c r="G25" s="572"/>
      <c r="H25" s="572"/>
      <c r="I25" s="572"/>
      <c r="J25" s="572"/>
      <c r="K25" s="572"/>
      <c r="L25" s="572"/>
      <c r="M25" s="572"/>
      <c r="N25" s="572"/>
      <c r="O25" s="572"/>
      <c r="P25" s="572"/>
      <c r="Q25" s="572"/>
      <c r="R25" s="572"/>
      <c r="S25" s="572"/>
      <c r="T25" s="572"/>
      <c r="U25" s="572"/>
      <c r="V25" s="572"/>
      <c r="W25" s="572"/>
      <c r="X25" s="572"/>
      <c r="Y25" s="572"/>
      <c r="Z25" s="572"/>
      <c r="AA25" s="572"/>
      <c r="AB25" s="572"/>
      <c r="AC25" s="572"/>
      <c r="AD25" s="572"/>
      <c r="AE25" s="572"/>
      <c r="AF25" s="572"/>
      <c r="AG25" s="572"/>
      <c r="AH25" s="57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2.75" customHeight="1">
      <c r="B26" s="3"/>
      <c r="C26" s="571" t="s">
        <v>16</v>
      </c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1"/>
      <c r="W26" s="571"/>
      <c r="X26" s="571"/>
      <c r="Y26" s="571"/>
      <c r="Z26" s="571"/>
      <c r="AA26" s="571"/>
      <c r="AB26" s="571"/>
      <c r="AC26" s="571"/>
      <c r="AD26" s="571"/>
      <c r="AE26" s="571"/>
      <c r="AF26" s="571"/>
      <c r="AG26" s="571"/>
      <c r="AH26" s="571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ht="12.75" customHeight="1">
      <c r="A27" s="3"/>
      <c r="B27" s="3"/>
      <c r="C27" s="571"/>
      <c r="D27" s="571"/>
      <c r="E27" s="571"/>
      <c r="F27" s="571"/>
      <c r="G27" s="571"/>
      <c r="H27" s="571"/>
      <c r="I27" s="571"/>
      <c r="J27" s="571"/>
      <c r="K27" s="571"/>
      <c r="L27" s="571"/>
      <c r="M27" s="571"/>
      <c r="N27" s="571"/>
      <c r="O27" s="571"/>
      <c r="P27" s="571"/>
      <c r="Q27" s="571"/>
      <c r="R27" s="571"/>
      <c r="S27" s="571"/>
      <c r="T27" s="571"/>
      <c r="U27" s="571"/>
      <c r="V27" s="571"/>
      <c r="W27" s="571"/>
      <c r="X27" s="571"/>
      <c r="Y27" s="571"/>
      <c r="Z27" s="571"/>
      <c r="AA27" s="571"/>
      <c r="AB27" s="571"/>
      <c r="AC27" s="571"/>
      <c r="AD27" s="571"/>
      <c r="AE27" s="571"/>
      <c r="AF27" s="571"/>
      <c r="AG27" s="571"/>
      <c r="AH27" s="571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ht="12.75" customHeight="1">
      <c r="A28" s="3"/>
      <c r="B28" s="3"/>
      <c r="C28" s="571"/>
      <c r="D28" s="571"/>
      <c r="E28" s="571"/>
      <c r="F28" s="571"/>
      <c r="G28" s="571"/>
      <c r="H28" s="571"/>
      <c r="I28" s="571"/>
      <c r="J28" s="571"/>
      <c r="K28" s="571"/>
      <c r="L28" s="571"/>
      <c r="M28" s="571"/>
      <c r="N28" s="571"/>
      <c r="O28" s="571"/>
      <c r="P28" s="571"/>
      <c r="Q28" s="571"/>
      <c r="R28" s="571"/>
      <c r="S28" s="571"/>
      <c r="T28" s="571"/>
      <c r="U28" s="571"/>
      <c r="V28" s="571"/>
      <c r="W28" s="571"/>
      <c r="X28" s="571"/>
      <c r="Y28" s="571"/>
      <c r="Z28" s="571"/>
      <c r="AA28" s="571"/>
      <c r="AB28" s="571"/>
      <c r="AC28" s="571"/>
      <c r="AD28" s="571"/>
      <c r="AE28" s="571"/>
      <c r="AF28" s="571"/>
      <c r="AG28" s="571"/>
      <c r="AH28" s="571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ht="12.75" customHeight="1">
      <c r="B29" s="3"/>
      <c r="C29" s="571" t="s">
        <v>20</v>
      </c>
      <c r="D29" s="571"/>
      <c r="E29" s="571"/>
      <c r="F29" s="571"/>
      <c r="G29" s="571"/>
      <c r="H29" s="571"/>
      <c r="I29" s="571"/>
      <c r="J29" s="571"/>
      <c r="K29" s="571"/>
      <c r="L29" s="571"/>
      <c r="M29" s="571"/>
      <c r="N29" s="571"/>
      <c r="O29" s="571"/>
      <c r="P29" s="571"/>
      <c r="Q29" s="571"/>
      <c r="R29" s="571"/>
      <c r="S29" s="571"/>
      <c r="T29" s="571"/>
      <c r="U29" s="571"/>
      <c r="V29" s="571"/>
      <c r="W29" s="571"/>
      <c r="X29" s="571"/>
      <c r="Y29" s="571"/>
      <c r="Z29" s="571"/>
      <c r="AA29" s="571"/>
      <c r="AB29" s="571"/>
      <c r="AC29" s="571"/>
      <c r="AD29" s="571"/>
      <c r="AE29" s="571"/>
      <c r="AF29" s="571"/>
      <c r="AG29" s="571"/>
      <c r="AH29" s="571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ht="12.75" customHeight="1">
      <c r="A30" s="3"/>
      <c r="B30" s="3"/>
      <c r="C30" s="571"/>
      <c r="D30" s="571"/>
      <c r="E30" s="571"/>
      <c r="F30" s="571"/>
      <c r="G30" s="571"/>
      <c r="H30" s="571"/>
      <c r="I30" s="571"/>
      <c r="J30" s="571"/>
      <c r="K30" s="571"/>
      <c r="L30" s="571"/>
      <c r="M30" s="571"/>
      <c r="N30" s="571"/>
      <c r="O30" s="571"/>
      <c r="P30" s="571"/>
      <c r="Q30" s="571"/>
      <c r="R30" s="571"/>
      <c r="S30" s="571"/>
      <c r="T30" s="571"/>
      <c r="U30" s="571"/>
      <c r="V30" s="571"/>
      <c r="W30" s="571"/>
      <c r="X30" s="571"/>
      <c r="Y30" s="571"/>
      <c r="Z30" s="571"/>
      <c r="AA30" s="571"/>
      <c r="AB30" s="571"/>
      <c r="AC30" s="571"/>
      <c r="AD30" s="571"/>
      <c r="AE30" s="571"/>
      <c r="AF30" s="571"/>
      <c r="AG30" s="571"/>
      <c r="AH30" s="571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ht="12.75" customHeight="1">
      <c r="A31" s="3"/>
      <c r="B31" s="3"/>
      <c r="C31" s="571"/>
      <c r="D31" s="571"/>
      <c r="E31" s="571"/>
      <c r="F31" s="571"/>
      <c r="G31" s="571"/>
      <c r="H31" s="571"/>
      <c r="I31" s="571"/>
      <c r="J31" s="571"/>
      <c r="K31" s="571"/>
      <c r="L31" s="571"/>
      <c r="M31" s="571"/>
      <c r="N31" s="571"/>
      <c r="O31" s="571"/>
      <c r="P31" s="571"/>
      <c r="Q31" s="571"/>
      <c r="R31" s="571"/>
      <c r="S31" s="571"/>
      <c r="T31" s="571"/>
      <c r="U31" s="571"/>
      <c r="V31" s="571"/>
      <c r="W31" s="571"/>
      <c r="X31" s="571"/>
      <c r="Y31" s="571"/>
      <c r="Z31" s="571"/>
      <c r="AA31" s="571"/>
      <c r="AB31" s="571"/>
      <c r="AC31" s="571"/>
      <c r="AD31" s="571"/>
      <c r="AE31" s="571"/>
      <c r="AF31" s="571"/>
      <c r="AG31" s="571"/>
      <c r="AH31" s="571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ht="12.75" customHeight="1">
      <c r="B32" s="3"/>
      <c r="C32" s="571" t="s">
        <v>19</v>
      </c>
      <c r="D32" s="571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  <c r="P32" s="571"/>
      <c r="Q32" s="571"/>
      <c r="R32" s="571"/>
      <c r="S32" s="571"/>
      <c r="T32" s="571"/>
      <c r="U32" s="571"/>
      <c r="V32" s="571"/>
      <c r="W32" s="571"/>
      <c r="X32" s="571"/>
      <c r="Y32" s="571"/>
      <c r="Z32" s="571"/>
      <c r="AA32" s="571"/>
      <c r="AB32" s="571"/>
      <c r="AC32" s="571"/>
      <c r="AD32" s="571"/>
      <c r="AE32" s="571"/>
      <c r="AF32" s="571"/>
      <c r="AG32" s="571"/>
      <c r="AH32" s="571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ht="12.75" customHeight="1">
      <c r="A33" s="3"/>
      <c r="B33" s="3"/>
      <c r="C33" s="571"/>
      <c r="D33" s="571"/>
      <c r="E33" s="571"/>
      <c r="F33" s="571"/>
      <c r="G33" s="571"/>
      <c r="H33" s="571"/>
      <c r="I33" s="571"/>
      <c r="J33" s="571"/>
      <c r="K33" s="571"/>
      <c r="L33" s="571"/>
      <c r="M33" s="571"/>
      <c r="N33" s="571"/>
      <c r="O33" s="571"/>
      <c r="P33" s="571"/>
      <c r="Q33" s="571"/>
      <c r="R33" s="571"/>
      <c r="S33" s="571"/>
      <c r="T33" s="571"/>
      <c r="U33" s="571"/>
      <c r="V33" s="571"/>
      <c r="W33" s="571"/>
      <c r="X33" s="571"/>
      <c r="Y33" s="571"/>
      <c r="Z33" s="571"/>
      <c r="AA33" s="571"/>
      <c r="AB33" s="571"/>
      <c r="AC33" s="571"/>
      <c r="AD33" s="571"/>
      <c r="AE33" s="571"/>
      <c r="AF33" s="571"/>
      <c r="AG33" s="571"/>
      <c r="AH33" s="571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ht="12.75" customHeight="1">
      <c r="B34" s="38"/>
      <c r="C34" s="571"/>
      <c r="D34" s="571"/>
      <c r="E34" s="571"/>
      <c r="F34" s="571"/>
      <c r="G34" s="571"/>
      <c r="H34" s="571"/>
      <c r="I34" s="571"/>
      <c r="J34" s="571"/>
      <c r="K34" s="571"/>
      <c r="L34" s="571"/>
      <c r="M34" s="571"/>
      <c r="N34" s="571"/>
      <c r="O34" s="571"/>
      <c r="P34" s="571"/>
      <c r="Q34" s="571"/>
      <c r="R34" s="571"/>
      <c r="S34" s="571"/>
      <c r="T34" s="571"/>
      <c r="U34" s="571"/>
      <c r="V34" s="571"/>
      <c r="W34" s="571"/>
      <c r="X34" s="571"/>
      <c r="Y34" s="571"/>
      <c r="Z34" s="571"/>
      <c r="AA34" s="571"/>
      <c r="AB34" s="571"/>
      <c r="AC34" s="571"/>
      <c r="AD34" s="571"/>
      <c r="AE34" s="571"/>
      <c r="AF34" s="571"/>
      <c r="AG34" s="571"/>
      <c r="AH34" s="571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2.75" customHeight="1">
      <c r="A35" s="38"/>
      <c r="B35" s="38"/>
      <c r="C35" s="571" t="s">
        <v>17</v>
      </c>
      <c r="D35" s="571"/>
      <c r="E35" s="571"/>
      <c r="F35" s="571"/>
      <c r="G35" s="571"/>
      <c r="H35" s="571"/>
      <c r="I35" s="571"/>
      <c r="J35" s="571"/>
      <c r="K35" s="571"/>
      <c r="L35" s="571"/>
      <c r="M35" s="571"/>
      <c r="N35" s="571"/>
      <c r="O35" s="571"/>
      <c r="P35" s="571"/>
      <c r="Q35" s="571"/>
      <c r="R35" s="571"/>
      <c r="S35" s="571"/>
      <c r="T35" s="571"/>
      <c r="U35" s="571"/>
      <c r="V35" s="571"/>
      <c r="W35" s="571"/>
      <c r="X35" s="571"/>
      <c r="Y35" s="571"/>
      <c r="Z35" s="571"/>
      <c r="AA35" s="571"/>
      <c r="AB35" s="571"/>
      <c r="AC35" s="571"/>
      <c r="AD35" s="571"/>
      <c r="AE35" s="571"/>
      <c r="AF35" s="571"/>
      <c r="AG35" s="571"/>
      <c r="AH35" s="571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19.5" customHeight="1">
      <c r="C36" s="571"/>
      <c r="D36" s="571"/>
      <c r="E36" s="571"/>
      <c r="F36" s="571"/>
      <c r="G36" s="571"/>
      <c r="H36" s="571"/>
      <c r="I36" s="571"/>
      <c r="J36" s="571"/>
      <c r="K36" s="571"/>
      <c r="L36" s="571"/>
      <c r="M36" s="571"/>
      <c r="N36" s="571"/>
      <c r="O36" s="571"/>
      <c r="P36" s="571"/>
      <c r="Q36" s="571"/>
      <c r="R36" s="571"/>
      <c r="S36" s="571"/>
      <c r="T36" s="571"/>
      <c r="U36" s="571"/>
      <c r="V36" s="571"/>
      <c r="W36" s="571"/>
      <c r="X36" s="571"/>
      <c r="Y36" s="571"/>
      <c r="Z36" s="571"/>
      <c r="AA36" s="571"/>
      <c r="AB36" s="571"/>
      <c r="AC36" s="571"/>
      <c r="AD36" s="571"/>
      <c r="AE36" s="571"/>
      <c r="AF36" s="571"/>
      <c r="AG36" s="571"/>
      <c r="AH36" s="571"/>
    </row>
    <row r="37" spans="1:47" ht="12.75" customHeight="1"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571"/>
      <c r="AB37" s="571"/>
      <c r="AC37" s="571"/>
      <c r="AD37" s="571"/>
      <c r="AE37" s="571"/>
      <c r="AF37" s="571"/>
      <c r="AG37" s="571"/>
      <c r="AH37" s="571"/>
    </row>
    <row r="38" spans="1:47" ht="12.75" customHeight="1"/>
    <row r="39" spans="1:47" ht="12.75" customHeight="1"/>
    <row r="40" spans="1:47">
      <c r="G40" s="549"/>
      <c r="H40" s="549"/>
      <c r="I40" s="549"/>
      <c r="J40" s="549"/>
      <c r="K40" s="549"/>
      <c r="L40" s="549"/>
      <c r="M40" s="549"/>
      <c r="N40" s="549"/>
      <c r="O40" s="549"/>
      <c r="P40" s="549"/>
      <c r="Q40" s="549"/>
      <c r="R40" s="549"/>
    </row>
    <row r="41" spans="1:47" ht="12.75" customHeight="1"/>
    <row r="42" spans="1:47" ht="12.75" customHeight="1" thickBot="1"/>
    <row r="43" spans="1:47" ht="27.75" customHeight="1">
      <c r="C43" s="532" t="s">
        <v>133</v>
      </c>
      <c r="D43" s="533"/>
      <c r="E43" s="534"/>
      <c r="F43" s="535" t="s">
        <v>131</v>
      </c>
      <c r="G43" s="536"/>
      <c r="H43" s="536"/>
      <c r="I43" s="536"/>
      <c r="J43" s="536"/>
      <c r="K43" s="536"/>
      <c r="L43" s="536"/>
      <c r="M43" s="536"/>
      <c r="N43" s="537"/>
      <c r="O43" s="538" t="s">
        <v>132</v>
      </c>
      <c r="P43" s="539"/>
      <c r="Q43" s="539"/>
      <c r="R43" s="539"/>
      <c r="S43" s="539"/>
      <c r="T43" s="539"/>
      <c r="U43" s="539"/>
      <c r="V43" s="539"/>
      <c r="W43" s="539"/>
      <c r="X43" s="539"/>
      <c r="Y43" s="540"/>
      <c r="Z43" s="550" t="s">
        <v>23</v>
      </c>
      <c r="AA43" s="551"/>
      <c r="AB43" s="551"/>
      <c r="AC43" s="551"/>
      <c r="AD43" s="551"/>
      <c r="AE43" s="551"/>
      <c r="AF43" s="551"/>
      <c r="AG43" s="551"/>
      <c r="AH43" s="552"/>
    </row>
    <row r="44" spans="1:47" ht="33" customHeight="1">
      <c r="C44" s="507" t="s">
        <v>43</v>
      </c>
      <c r="D44" s="508"/>
      <c r="E44" s="509"/>
      <c r="F44" s="510" t="s">
        <v>44</v>
      </c>
      <c r="G44" s="511"/>
      <c r="H44" s="511" t="s">
        <v>45</v>
      </c>
      <c r="I44" s="511"/>
      <c r="J44" s="39" t="s">
        <v>53</v>
      </c>
      <c r="K44" s="39" t="s">
        <v>52</v>
      </c>
      <c r="L44" s="516" t="s">
        <v>15</v>
      </c>
      <c r="M44" s="516"/>
      <c r="N44" s="517"/>
      <c r="O44" s="512" t="s">
        <v>44</v>
      </c>
      <c r="P44" s="513"/>
      <c r="Q44" s="513" t="s">
        <v>45</v>
      </c>
      <c r="R44" s="513"/>
      <c r="S44" s="524" t="s">
        <v>53</v>
      </c>
      <c r="T44" s="524"/>
      <c r="U44" s="502" t="s">
        <v>52</v>
      </c>
      <c r="V44" s="503"/>
      <c r="W44" s="514" t="s">
        <v>15</v>
      </c>
      <c r="X44" s="514"/>
      <c r="Y44" s="515"/>
      <c r="Z44" s="518" t="s">
        <v>44</v>
      </c>
      <c r="AA44" s="504"/>
      <c r="AB44" s="504" t="s">
        <v>45</v>
      </c>
      <c r="AC44" s="504"/>
      <c r="AD44" s="40" t="s">
        <v>53</v>
      </c>
      <c r="AE44" s="553" t="s">
        <v>52</v>
      </c>
      <c r="AF44" s="554"/>
      <c r="AG44" s="505" t="s">
        <v>15</v>
      </c>
      <c r="AH44" s="506"/>
      <c r="AL44" s="4" t="e">
        <f>'6-1'!$AD$8</f>
        <v>#DIV/0!</v>
      </c>
      <c r="AM44" s="4" t="e">
        <f>'6-2'!$AD$8</f>
        <v>#DIV/0!</v>
      </c>
      <c r="AN44" s="4" t="e">
        <f>'6-3'!$AD$8</f>
        <v>#DIV/0!</v>
      </c>
      <c r="AO44" s="4" t="e">
        <f>'6-4'!$AD$8</f>
        <v>#DIV/0!</v>
      </c>
      <c r="AP44" s="4" t="e">
        <f>'6-5'!$AD$8</f>
        <v>#DIV/0!</v>
      </c>
      <c r="AQ44" s="4" t="e">
        <f>'6-6'!$AD$8</f>
        <v>#DIV/0!</v>
      </c>
      <c r="AR44" s="4" t="e">
        <f>#REF!</f>
        <v>#REF!</v>
      </c>
    </row>
    <row r="45" spans="1:47" ht="30.75" customHeight="1">
      <c r="C45" s="526" t="s">
        <v>63</v>
      </c>
      <c r="D45" s="527"/>
      <c r="E45" s="528"/>
      <c r="F45" s="529" cm="1">
        <f t="array" ref="F45">SUM('6-1'!X3:Y3+'6-2'!X3:Y3+'6-3'!X3:Y3+'6-4'!X3:Y3+'6-5'!X3:Y3+'6-6'!X3:Y3)</f>
        <v>0</v>
      </c>
      <c r="G45" s="530"/>
      <c r="H45" s="531" t="e">
        <f>F45/$L$45</f>
        <v>#DIV/0!</v>
      </c>
      <c r="I45" s="531"/>
      <c r="J45" s="39">
        <f>SUM('6-1'!AB3,'6-2'!AB3,'6-3'!AB3,'6-4'!AB3,'6-5'!AB3,'6-6'!AB3)</f>
        <v>0</v>
      </c>
      <c r="K45" s="39">
        <f>SUM('6-1'!AC3,'6-2'!AC3,'6-3'!AC3,'6-4'!AC3,'6-5'!AC3,'6-6'!AC3)</f>
        <v>0</v>
      </c>
      <c r="L45" s="511">
        <f>SUM(F45:G49)</f>
        <v>0</v>
      </c>
      <c r="M45" s="511"/>
      <c r="N45" s="525"/>
      <c r="O45" s="548">
        <f>SUM('6-1'!AG3:AH3,'6-2'!AG3:AH3,'6-3'!AG3:AH3,'6-4'!AG3:AH3,'6-5'!AG3:AH3,'6-6'!AG3:AH3)</f>
        <v>0</v>
      </c>
      <c r="P45" s="519"/>
      <c r="Q45" s="523" t="e">
        <f>O45/$W$45</f>
        <v>#DIV/0!</v>
      </c>
      <c r="R45" s="523"/>
      <c r="S45" s="524">
        <f>SUM('6-1'!AK3:AL3,'6-2'!AK3:AL3,'6-3'!AK3:AL3,'6-4'!AK3:AL3,'6-5'!AK3:AL3,'6-6'!AK3:AL3)</f>
        <v>0</v>
      </c>
      <c r="T45" s="524"/>
      <c r="U45" s="524">
        <f>SUM('6-1'!AM3:AN3,'6-2'!AM3:AN3,'6-3'!AM3:AN3,'6-4'!AM3:AN3,'6-5'!AM3:AN3,'6-6'!AM3:AN3)</f>
        <v>0</v>
      </c>
      <c r="V45" s="524"/>
      <c r="W45" s="513">
        <f>SUM(O45:P49)</f>
        <v>0</v>
      </c>
      <c r="X45" s="513"/>
      <c r="Y45" s="522"/>
      <c r="Z45" s="521">
        <f>SUM('6-1'!AR3:AS3,'6-2'!AR3:AS3,'6-3'!AR3:AS3,'6-4'!AR3:AS3,'6-5'!AR3:AS3,'6-6'!AR3:AS3)</f>
        <v>0</v>
      </c>
      <c r="AA45" s="505"/>
      <c r="AB45" s="558" t="e">
        <f>Z45/$AG$45</f>
        <v>#DIV/0!</v>
      </c>
      <c r="AC45" s="558"/>
      <c r="AD45" s="40">
        <f>SUM('6-1'!AV3,'6-2'!AV3,'6-3'!AV3,'6-4'!AV3,'6-5'!AV3,'6-6'!AV3)</f>
        <v>0</v>
      </c>
      <c r="AE45" s="554">
        <f>SUM('6-1'!AW3,'6-2'!AW3,'6-3'!AW3,'6-4'!AW3,'6-5'!AW3,'6-6'!AW3)</f>
        <v>0</v>
      </c>
      <c r="AF45" s="555"/>
      <c r="AG45" s="504">
        <f>SUM(Z45:AA49)</f>
        <v>0</v>
      </c>
      <c r="AH45" s="559"/>
      <c r="AL45" s="4" t="e">
        <f>'6-1'!$AO$8</f>
        <v>#DIV/0!</v>
      </c>
      <c r="AM45" s="4" t="e">
        <f>'6-2'!$AO$8</f>
        <v>#DIV/0!</v>
      </c>
      <c r="AN45" s="4" t="e">
        <f>'6-3'!$AO$8</f>
        <v>#DIV/0!</v>
      </c>
      <c r="AO45" s="4" t="e">
        <f>'6-4'!$AO$8</f>
        <v>#DIV/0!</v>
      </c>
      <c r="AP45" s="4" t="e">
        <f>'6-5'!$AO$8</f>
        <v>#DIV/0!</v>
      </c>
      <c r="AQ45" s="4" t="e">
        <f>'6-6'!$AO$8</f>
        <v>#DIV/0!</v>
      </c>
      <c r="AR45" s="4" t="e">
        <f>#REF!</f>
        <v>#REF!</v>
      </c>
    </row>
    <row r="46" spans="1:47" ht="30" customHeight="1">
      <c r="C46" s="526" t="s">
        <v>64</v>
      </c>
      <c r="D46" s="527"/>
      <c r="E46" s="528"/>
      <c r="F46" s="529" cm="1">
        <f t="array" ref="F46">SUM('6-1'!X4:Y4+'6-2'!X4:Y4+'6-3'!X4:Y4+'6-4'!X4:Y4+'6-5'!X4:Y4+'6-6'!X4:Y4)</f>
        <v>0</v>
      </c>
      <c r="G46" s="530"/>
      <c r="H46" s="531" t="e">
        <f>F46/$L$45</f>
        <v>#DIV/0!</v>
      </c>
      <c r="I46" s="531"/>
      <c r="J46" s="39">
        <f>SUM('6-1'!AB4,'6-2'!AB4,'6-3'!AB4,'6-4'!AB4,'6-5'!AB4,'6-6'!AB4)</f>
        <v>0</v>
      </c>
      <c r="K46" s="39">
        <f>SUM('6-1'!AC4,'6-2'!AC4,'6-3'!AC4,'6-4'!AC4,'6-5'!AC4,'6-6'!AC4)</f>
        <v>0</v>
      </c>
      <c r="L46" s="544" t="s">
        <v>48</v>
      </c>
      <c r="M46" s="544"/>
      <c r="N46" s="545"/>
      <c r="O46" s="548">
        <f>SUM('6-1'!AG4:AH4,'6-2'!AG4:AH4,'6-3'!AG4:AH4,'6-4'!AG4:AH4,'6-5'!AG4:AH4,'6-6'!AG4:AH4)</f>
        <v>0</v>
      </c>
      <c r="P46" s="519"/>
      <c r="Q46" s="523" t="e">
        <f>O46/$W$45</f>
        <v>#DIV/0!</v>
      </c>
      <c r="R46" s="523"/>
      <c r="S46" s="524">
        <f>SUM('6-1'!AK4:AL4,'6-2'!AK4:AL4,'6-3'!AK4:AL4,'6-4'!AK4:AL4,'6-5'!AK4:AL4,'6-6'!AK4:AL4)</f>
        <v>0</v>
      </c>
      <c r="T46" s="524"/>
      <c r="U46" s="524">
        <f>SUM('6-1'!AM4:AN4,'6-2'!AM4:AN4,'6-3'!AM4:AN4,'6-4'!AM4:AN4,'6-5'!AM4:AN4,'6-6'!AM4:AN4)</f>
        <v>0</v>
      </c>
      <c r="V46" s="524"/>
      <c r="W46" s="519" t="s">
        <v>48</v>
      </c>
      <c r="X46" s="519"/>
      <c r="Y46" s="520"/>
      <c r="Z46" s="521">
        <f>SUM('6-1'!AR4:AS4,'6-2'!AR4:AS4,'6-3'!AR4:AS4,'6-4'!AR4:AS4,'6-5'!AR4:AS4,'6-6'!AR4:AS4)</f>
        <v>0</v>
      </c>
      <c r="AA46" s="505"/>
      <c r="AB46" s="558" t="e">
        <f>Z46/$AG$45</f>
        <v>#DIV/0!</v>
      </c>
      <c r="AC46" s="558"/>
      <c r="AD46" s="40">
        <f>SUM('6-1'!AV4,'6-2'!AV4,'6-3'!AV4,'6-4'!AV4,'6-5'!AV4,'6-6'!AV4)</f>
        <v>0</v>
      </c>
      <c r="AE46" s="554">
        <f>SUM('6-1'!AW4,'6-2'!AW4,'6-3'!AW4,'6-4'!AW4,'6-5'!AW4,'6-6'!AW4)</f>
        <v>0</v>
      </c>
      <c r="AF46" s="555"/>
      <c r="AG46" s="556" t="s">
        <v>48</v>
      </c>
      <c r="AH46" s="557"/>
      <c r="AL46" s="4" t="e">
        <f>'6-1'!$AY$8</f>
        <v>#DIV/0!</v>
      </c>
      <c r="AM46" s="4" t="e">
        <f>'6-2'!$AY$8</f>
        <v>#DIV/0!</v>
      </c>
      <c r="AN46" s="4" t="e">
        <f>'6-3'!$AY$8</f>
        <v>#DIV/0!</v>
      </c>
      <c r="AO46" s="4" t="e">
        <f>'6-4'!$AY$8</f>
        <v>#DIV/0!</v>
      </c>
      <c r="AP46" s="4" t="e">
        <f>'6-5'!$AY$8</f>
        <v>#DIV/0!</v>
      </c>
      <c r="AQ46" s="4" t="e">
        <f>'6-6'!$AY$8</f>
        <v>#DIV/0!</v>
      </c>
      <c r="AR46" s="4" t="e">
        <f>#REF!</f>
        <v>#REF!</v>
      </c>
    </row>
    <row r="47" spans="1:47" ht="35.25" customHeight="1">
      <c r="C47" s="526" t="s">
        <v>13</v>
      </c>
      <c r="D47" s="527"/>
      <c r="E47" s="528"/>
      <c r="F47" s="529" cm="1">
        <f t="array" ref="F47">SUM('6-1'!X5:Y5+'6-2'!X5:Y5+'6-3'!X5:Y5+'6-4'!X5:Y5+'6-5'!X5:Y5+'6-6'!X5:Y5)</f>
        <v>0</v>
      </c>
      <c r="G47" s="530"/>
      <c r="H47" s="531" t="e">
        <f>F47/$L$45</f>
        <v>#DIV/0!</v>
      </c>
      <c r="I47" s="531"/>
      <c r="J47" s="39">
        <f>SUM('6-1'!AB5,'6-2'!AB5,'6-3'!AB5,'6-4'!AB5,'6-5'!AB5,'6-6'!AB5)</f>
        <v>0</v>
      </c>
      <c r="K47" s="39">
        <f>SUM('6-1'!AC5,'6-2'!AC5,'6-3'!AC5,'6-4'!AC5,'6-5'!AC5,'6-6'!AC5)</f>
        <v>0</v>
      </c>
      <c r="L47" s="544">
        <f>SUM(F45:G48)</f>
        <v>0</v>
      </c>
      <c r="M47" s="544"/>
      <c r="N47" s="545"/>
      <c r="O47" s="548">
        <f>SUM('6-1'!AG5:AH5,'6-2'!AG5:AH5,'6-3'!AG5:AH5,'6-4'!AG5:AH5,'6-5'!AG5:AH5,'6-6'!AG5:AH5)</f>
        <v>0</v>
      </c>
      <c r="P47" s="519"/>
      <c r="Q47" s="523" t="e">
        <f>O47/$W$45</f>
        <v>#DIV/0!</v>
      </c>
      <c r="R47" s="523"/>
      <c r="S47" s="524">
        <f>SUM('6-1'!AK5:AL5,'6-2'!AK5:AL5,'6-3'!AK5:AL5,'6-4'!AK5:AL5,'6-5'!AK5:AL5,'6-6'!AK5:AL5)</f>
        <v>0</v>
      </c>
      <c r="T47" s="524"/>
      <c r="U47" s="524">
        <f>SUM('6-1'!AM5:AN5,'6-2'!AM5:AN5,'6-3'!AM5:AN5,'6-4'!AM5:AN5,'6-5'!AM5:AN5,'6-6'!AM5:AN5)</f>
        <v>0</v>
      </c>
      <c r="V47" s="524"/>
      <c r="W47" s="519">
        <f>SUM(O45:P48)</f>
        <v>0</v>
      </c>
      <c r="X47" s="519"/>
      <c r="Y47" s="520"/>
      <c r="Z47" s="521">
        <f>SUM('6-1'!AR5:AS5,'6-2'!AR5:AS5,'6-3'!AR5:AS5,'6-4'!AR5:AS5,'6-5'!AR5:AS5,'6-6'!AR5:AS5)</f>
        <v>0</v>
      </c>
      <c r="AA47" s="505"/>
      <c r="AB47" s="558" t="e">
        <f>Z47/$AG$45</f>
        <v>#DIV/0!</v>
      </c>
      <c r="AC47" s="558"/>
      <c r="AD47" s="40">
        <f>SUM('6-1'!AV5,'6-2'!AV5,'6-3'!AV5,'6-4'!AV5,'6-5'!AV5,'6-6'!AV5)</f>
        <v>0</v>
      </c>
      <c r="AE47" s="554">
        <f>SUM('6-1'!AW5,'6-2'!AW5,'6-3'!AW5,'6-4'!AW5,'6-5'!AW5,'6-6'!AW5)</f>
        <v>0</v>
      </c>
      <c r="AF47" s="555"/>
      <c r="AG47" s="556">
        <f>SUM(Y45:Z48)</f>
        <v>0</v>
      </c>
      <c r="AH47" s="557"/>
    </row>
    <row r="48" spans="1:47" ht="31.5" customHeight="1">
      <c r="C48" s="526" t="s">
        <v>65</v>
      </c>
      <c r="D48" s="527"/>
      <c r="E48" s="528"/>
      <c r="F48" s="529" cm="1">
        <f t="array" ref="F48">SUM('6-1'!X6:Y6+'6-2'!X6:Y6+'6-3'!X6:Y6+'6-4'!X6:Y6+'6-5'!X6:Y6+'6-6'!X6:Y6)</f>
        <v>0</v>
      </c>
      <c r="G48" s="530"/>
      <c r="H48" s="531" t="e">
        <f>F48/$L$45</f>
        <v>#DIV/0!</v>
      </c>
      <c r="I48" s="531"/>
      <c r="J48" s="39">
        <f>SUM('6-1'!AB6,'6-2'!AB6,'6-3'!AB6,'6-4'!AB6,'6-5'!AB6,'6-6'!AB6)</f>
        <v>0</v>
      </c>
      <c r="K48" s="39">
        <f>SUM('6-1'!AC6,'6-2'!AC6,'6-3'!AC6,'6-4'!AC6,'6-5'!AC6,'6-6'!AC6)</f>
        <v>0</v>
      </c>
      <c r="L48" s="544" t="s">
        <v>49</v>
      </c>
      <c r="M48" s="544"/>
      <c r="N48" s="545"/>
      <c r="O48" s="548">
        <f>SUM('6-1'!AG6:AH6,'6-2'!AG6:AH6,'6-3'!AG6:AH6,'6-4'!AG6:AH6,'6-5'!AG6:AH6,'6-6'!AG6:AH6)</f>
        <v>0</v>
      </c>
      <c r="P48" s="519"/>
      <c r="Q48" s="523" t="e">
        <f>O48/$W$45</f>
        <v>#DIV/0!</v>
      </c>
      <c r="R48" s="523"/>
      <c r="S48" s="524">
        <f>SUM('6-1'!AK6:AL6,'6-2'!AK6:AL6,'6-3'!AK6:AL6,'6-4'!AK6:AL6,'6-5'!AK6:AL6,'6-6'!AK6:AL6)</f>
        <v>0</v>
      </c>
      <c r="T48" s="524"/>
      <c r="U48" s="524">
        <f>SUM('6-1'!AM6:AN6,'6-2'!AM6:AN6,'6-3'!AM6:AN6,'6-4'!AM6:AN6,'6-5'!AM6:AN6,'6-6'!AM6:AN6)</f>
        <v>0</v>
      </c>
      <c r="V48" s="524"/>
      <c r="W48" s="519" t="s">
        <v>49</v>
      </c>
      <c r="X48" s="519"/>
      <c r="Y48" s="520"/>
      <c r="Z48" s="521">
        <f>SUM('6-1'!AR6:AS6,'6-2'!AR6:AS6,'6-3'!AR6:AS6,'6-4'!AR6:AS6,'6-5'!AR6:AS6,'6-6'!AR6:AS6)</f>
        <v>0</v>
      </c>
      <c r="AA48" s="505"/>
      <c r="AB48" s="558" t="e">
        <f>Z48/$AG$45</f>
        <v>#DIV/0!</v>
      </c>
      <c r="AC48" s="558"/>
      <c r="AD48" s="40">
        <f>SUM('6-1'!AV6,'6-2'!AV6,'6-3'!AV6,'6-4'!AV6,'6-5'!AV6,'6-6'!AV6)</f>
        <v>0</v>
      </c>
      <c r="AE48" s="554">
        <f>SUM('6-1'!AW6,'6-2'!AW6,'6-3'!AW6,'6-4'!AW6,'6-5'!AW6,'6-6'!AW6)</f>
        <v>0</v>
      </c>
      <c r="AF48" s="555"/>
      <c r="AG48" s="556" t="s">
        <v>49</v>
      </c>
      <c r="AH48" s="557"/>
    </row>
    <row r="49" spans="3:34" ht="28.5" customHeight="1">
      <c r="C49" s="526" t="s">
        <v>66</v>
      </c>
      <c r="D49" s="527"/>
      <c r="E49" s="528"/>
      <c r="F49" s="529" cm="1">
        <f t="array" ref="F49">SUM('6-1'!X7:Y7+'6-2'!X7:Y7+'6-3'!X7:Y7+'6-4'!X7:Y7+'6-5'!X7:Y7+'6-6'!X7:Y7)</f>
        <v>0</v>
      </c>
      <c r="G49" s="530"/>
      <c r="H49" s="531" t="e">
        <f>F49/$L$45</f>
        <v>#DIV/0!</v>
      </c>
      <c r="I49" s="531"/>
      <c r="J49" s="39">
        <f>SUM('6-1'!AB7,'6-2'!AB7,'6-3'!AB7,'6-4'!AB7,'6-5'!AB7,'6-6'!AB7)</f>
        <v>0</v>
      </c>
      <c r="K49" s="39">
        <f>SUM('6-1'!AC7,'6-2'!AC7,'6-3'!AC7,'6-4'!AC7,'6-5'!AC7,'6-6'!AC7)</f>
        <v>0</v>
      </c>
      <c r="L49" s="544">
        <f>F49</f>
        <v>0</v>
      </c>
      <c r="M49" s="544"/>
      <c r="N49" s="545"/>
      <c r="O49" s="548">
        <f>SUM('6-1'!AG7:AH7,'6-2'!AG7:AH7,'6-3'!AG7:AH7,'6-4'!AG7:AH7,'6-5'!AG7:AH7,'6-6'!AG7:AH7)</f>
        <v>0</v>
      </c>
      <c r="P49" s="519"/>
      <c r="Q49" s="523" t="e">
        <f>O49/$W$45</f>
        <v>#DIV/0!</v>
      </c>
      <c r="R49" s="523"/>
      <c r="S49" s="524">
        <f>SUM('6-1'!AK7:AL7,'6-2'!AK7:AL7,'6-3'!AK7:AL7,'6-4'!AK7:AL7,'6-5'!AK7:AL7,'6-6'!AK7:AL7)</f>
        <v>0</v>
      </c>
      <c r="T49" s="524"/>
      <c r="U49" s="524">
        <f>SUM('6-1'!AM7:AN7,'6-2'!AM7:AN7,'6-3'!AM7:AN7,'6-4'!AM7:AN7,'6-5'!AM7:AN7,'6-6'!AM7:AN7)</f>
        <v>0</v>
      </c>
      <c r="V49" s="524"/>
      <c r="W49" s="519">
        <f>O49</f>
        <v>0</v>
      </c>
      <c r="X49" s="519"/>
      <c r="Y49" s="520"/>
      <c r="Z49" s="521">
        <f>SUM('6-1'!AR7:AS7,'6-2'!AR7:AS7,'6-3'!AR7:AS7,'6-4'!AR7:AS7,'6-5'!AR7:AS7,'6-6'!AR7:AS7)</f>
        <v>0</v>
      </c>
      <c r="AA49" s="505"/>
      <c r="AB49" s="558" t="e">
        <f>Z49/$AG$45</f>
        <v>#DIV/0!</v>
      </c>
      <c r="AC49" s="558"/>
      <c r="AD49" s="40">
        <f>SUM('6-1'!AV7,'6-2'!AV7,'6-3'!AV7,'6-4'!AV7,'6-5'!AV7,'6-6'!AV7)</f>
        <v>0</v>
      </c>
      <c r="AE49" s="554">
        <f>SUM('6-1'!AW7,'6-2'!AW7,'6-3'!AW7,'6-4'!AW7,'6-5'!AW7,'6-6'!AW7)</f>
        <v>0</v>
      </c>
      <c r="AF49" s="555"/>
      <c r="AG49" s="556">
        <f>Z49</f>
        <v>0</v>
      </c>
      <c r="AH49" s="557"/>
    </row>
    <row r="50" spans="3:34" ht="34.5" customHeight="1" thickBot="1">
      <c r="C50" s="541" t="s">
        <v>62</v>
      </c>
      <c r="D50" s="542"/>
      <c r="E50" s="543"/>
      <c r="F50" s="562" t="s">
        <v>60</v>
      </c>
      <c r="G50" s="563"/>
      <c r="H50" s="563"/>
      <c r="I50" s="563"/>
      <c r="J50" s="563"/>
      <c r="K50" s="564"/>
      <c r="L50" s="546" t="e">
        <f>AVERAGEIF(AL44:AR44,"&gt;=1")</f>
        <v>#DIV/0!</v>
      </c>
      <c r="M50" s="546"/>
      <c r="N50" s="547"/>
      <c r="O50" s="565" t="s">
        <v>61</v>
      </c>
      <c r="P50" s="566"/>
      <c r="Q50" s="566"/>
      <c r="R50" s="566"/>
      <c r="S50" s="566"/>
      <c r="T50" s="566"/>
      <c r="U50" s="566"/>
      <c r="V50" s="567"/>
      <c r="W50" s="546" t="e">
        <f>AVERAGEIF(AL45:AR45,"&gt;=1")</f>
        <v>#DIV/0!</v>
      </c>
      <c r="X50" s="546"/>
      <c r="Y50" s="547"/>
      <c r="Z50" s="568" t="s">
        <v>24</v>
      </c>
      <c r="AA50" s="569"/>
      <c r="AB50" s="569"/>
      <c r="AC50" s="569"/>
      <c r="AD50" s="569"/>
      <c r="AE50" s="569"/>
      <c r="AF50" s="570"/>
      <c r="AG50" s="560" t="e">
        <f>AVERAGEIF(AL46:AR46,"&gt;=1")</f>
        <v>#DIV/0!</v>
      </c>
      <c r="AH50" s="561"/>
    </row>
    <row r="51" spans="3:34" ht="38.25" customHeight="1"/>
    <row r="56" spans="3:34" ht="30" customHeight="1"/>
    <row r="57" spans="3:34" ht="28.5" customHeight="1"/>
    <row r="58" spans="3:34" ht="30.75" customHeight="1"/>
    <row r="59" spans="3:34" ht="30" customHeight="1"/>
    <row r="60" spans="3:34" ht="29.25" customHeight="1"/>
    <row r="61" spans="3:34" ht="30" customHeight="1"/>
    <row r="62" spans="3:34" ht="30.75" customHeight="1"/>
    <row r="63" spans="3:34" ht="31.5" customHeight="1"/>
  </sheetData>
  <sheetProtection selectLockedCells="1"/>
  <mergeCells count="96">
    <mergeCell ref="C29:AH31"/>
    <mergeCell ref="C26:AH28"/>
    <mergeCell ref="C23:AH25"/>
    <mergeCell ref="C1:AH3"/>
    <mergeCell ref="C35:AH37"/>
    <mergeCell ref="C32:AH34"/>
    <mergeCell ref="AG50:AH50"/>
    <mergeCell ref="F50:K50"/>
    <mergeCell ref="O50:V50"/>
    <mergeCell ref="Z50:AF50"/>
    <mergeCell ref="AE48:AF48"/>
    <mergeCell ref="AE49:AF49"/>
    <mergeCell ref="O48:P48"/>
    <mergeCell ref="Z48:AA48"/>
    <mergeCell ref="Z49:AA49"/>
    <mergeCell ref="AB49:AC49"/>
    <mergeCell ref="AB48:AC48"/>
    <mergeCell ref="AG48:AH48"/>
    <mergeCell ref="AG49:AH49"/>
    <mergeCell ref="W48:Y48"/>
    <mergeCell ref="W49:Y49"/>
    <mergeCell ref="W50:Y50"/>
    <mergeCell ref="Z43:AH43"/>
    <mergeCell ref="AE44:AF44"/>
    <mergeCell ref="AE45:AF45"/>
    <mergeCell ref="AE46:AF46"/>
    <mergeCell ref="AE47:AF47"/>
    <mergeCell ref="AG47:AH47"/>
    <mergeCell ref="AB47:AC47"/>
    <mergeCell ref="AB46:AC46"/>
    <mergeCell ref="AG46:AH46"/>
    <mergeCell ref="AB45:AC45"/>
    <mergeCell ref="AG45:AH45"/>
    <mergeCell ref="Q46:R46"/>
    <mergeCell ref="Q48:R48"/>
    <mergeCell ref="Q49:R49"/>
    <mergeCell ref="S46:T46"/>
    <mergeCell ref="S48:T48"/>
    <mergeCell ref="U49:V49"/>
    <mergeCell ref="U48:V48"/>
    <mergeCell ref="S47:T47"/>
    <mergeCell ref="U47:V47"/>
    <mergeCell ref="G40:R40"/>
    <mergeCell ref="L47:N47"/>
    <mergeCell ref="L48:N48"/>
    <mergeCell ref="L46:N46"/>
    <mergeCell ref="O45:P45"/>
    <mergeCell ref="O46:P46"/>
    <mergeCell ref="O47:P47"/>
    <mergeCell ref="H47:I47"/>
    <mergeCell ref="Q47:R47"/>
    <mergeCell ref="U46:V46"/>
    <mergeCell ref="Q44:R44"/>
    <mergeCell ref="S44:T44"/>
    <mergeCell ref="C43:E43"/>
    <mergeCell ref="F43:N43"/>
    <mergeCell ref="O43:Y43"/>
    <mergeCell ref="C49:E49"/>
    <mergeCell ref="C50:E50"/>
    <mergeCell ref="F49:G49"/>
    <mergeCell ref="H49:I49"/>
    <mergeCell ref="L49:N49"/>
    <mergeCell ref="L50:N50"/>
    <mergeCell ref="O49:P49"/>
    <mergeCell ref="S49:T49"/>
    <mergeCell ref="C47:E47"/>
    <mergeCell ref="C48:E48"/>
    <mergeCell ref="F47:G47"/>
    <mergeCell ref="F48:G48"/>
    <mergeCell ref="H48:I48"/>
    <mergeCell ref="C46:E46"/>
    <mergeCell ref="F45:G45"/>
    <mergeCell ref="F46:G46"/>
    <mergeCell ref="H46:I46"/>
    <mergeCell ref="H45:I45"/>
    <mergeCell ref="Q45:R45"/>
    <mergeCell ref="S45:T45"/>
    <mergeCell ref="U45:V45"/>
    <mergeCell ref="L45:N45"/>
    <mergeCell ref="C45:E45"/>
    <mergeCell ref="W46:Y46"/>
    <mergeCell ref="W47:Y47"/>
    <mergeCell ref="Z45:AA45"/>
    <mergeCell ref="Z46:AA46"/>
    <mergeCell ref="Z47:AA47"/>
    <mergeCell ref="W45:Y45"/>
    <mergeCell ref="U44:V44"/>
    <mergeCell ref="AB44:AC44"/>
    <mergeCell ref="AG44:AH44"/>
    <mergeCell ref="C44:E44"/>
    <mergeCell ref="F44:G44"/>
    <mergeCell ref="O44:P44"/>
    <mergeCell ref="W44:Y44"/>
    <mergeCell ref="L44:N44"/>
    <mergeCell ref="H44:I44"/>
    <mergeCell ref="Z44:AA44"/>
  </mergeCells>
  <pageMargins left="0.48214285714285715" right="0.39285714285714285" top="0.484375" bottom="0.56402439024390238" header="0.3" footer="0.3"/>
  <pageSetup paperSize="9" scale="6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Shpjegim</vt:lpstr>
      <vt:lpstr>6-1</vt:lpstr>
      <vt:lpstr>6-2</vt:lpstr>
      <vt:lpstr>6-3</vt:lpstr>
      <vt:lpstr>6-4</vt:lpstr>
      <vt:lpstr>6-5</vt:lpstr>
      <vt:lpstr>6-6</vt:lpstr>
      <vt:lpstr>Kalendari</vt:lpstr>
      <vt:lpstr>Orari i ziles</vt:lpstr>
      <vt:lpstr>Koveri</vt:lpstr>
      <vt:lpstr>'6-1'!Print_Area</vt:lpstr>
      <vt:lpstr>'6-2'!Print_Area</vt:lpstr>
      <vt:lpstr>'6-3'!Print_Area</vt:lpstr>
      <vt:lpstr>'6-4'!Print_Area</vt:lpstr>
      <vt:lpstr>'6-5'!Print_Area</vt:lpstr>
      <vt:lpstr>'6-6'!Print_Area</vt:lpstr>
      <vt:lpstr>Kalendari!Print_Area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GURI</dc:creator>
  <cp:lastModifiedBy>NASER GURI</cp:lastModifiedBy>
  <cp:lastPrinted>2023-08-23T14:36:03Z</cp:lastPrinted>
  <dcterms:created xsi:type="dcterms:W3CDTF">2022-09-09T20:10:48Z</dcterms:created>
  <dcterms:modified xsi:type="dcterms:W3CDTF">2023-08-26T07:13:06Z</dcterms:modified>
</cp:coreProperties>
</file>